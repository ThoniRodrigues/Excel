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tables/table14.xml" ContentType="application/vnd.openxmlformats-officedocument.spreadsheetml.table+xml"/>
  <Override PartName="/xl/drawings/drawing13.xml" ContentType="application/vnd.openxmlformats-officedocument.drawing+xml"/>
  <Override PartName="/xl/tables/table15.xml" ContentType="application/vnd.openxmlformats-officedocument.spreadsheetml.table+xml"/>
  <Override PartName="/xl/drawings/drawing14.xml" ContentType="application/vnd.openxmlformats-officedocument.drawing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honi\OneDrive\Área de Trabalho\"/>
    </mc:Choice>
  </mc:AlternateContent>
  <xr:revisionPtr revIDLastSave="0" documentId="13_ncr:1_{A13D9358-8AEA-441C-8643-B39F0C00280D}" xr6:coauthVersionLast="47" xr6:coauthVersionMax="47" xr10:uidLastSave="{00000000-0000-0000-0000-000000000000}"/>
  <bookViews>
    <workbookView xWindow="-108" yWindow="-108" windowWidth="23256" windowHeight="12576" tabRatio="824" firstSheet="2" activeTab="17" xr2:uid="{A149AD8A-67C3-4F0C-A5B0-FA7D5F21FFC9}"/>
  </bookViews>
  <sheets>
    <sheet name="CONSOLIDADO" sheetId="34" r:id="rId1"/>
    <sheet name="OCORRENCIAS" sheetId="33" r:id="rId2"/>
    <sheet name="ANALISE" sheetId="32" r:id="rId3"/>
    <sheet name="RAIA" sheetId="3" r:id="rId4"/>
    <sheet name="DROGASIL" sheetId="20" r:id="rId5"/>
    <sheet name="DSP" sheetId="4" r:id="rId6"/>
    <sheet name="PACHECO" sheetId="5" r:id="rId7"/>
    <sheet name="PANVEL" sheetId="1" r:id="rId8"/>
    <sheet name="ONOFRE" sheetId="18" r:id="rId9"/>
    <sheet name="QUALIDOC" sheetId="6" r:id="rId10"/>
    <sheet name="DROGAL" sheetId="7" r:id="rId11"/>
    <sheet name="P.MENOS" sheetId="2" r:id="rId12"/>
    <sheet name="TAB PROD" sheetId="23" state="hidden" r:id="rId13"/>
    <sheet name="DNE" sheetId="16" r:id="rId14"/>
    <sheet name="NISSEI" sheetId="17" r:id="rId15"/>
    <sheet name="EXTRAFARMA" sheetId="8" r:id="rId16"/>
    <sheet name="DROGAO" sheetId="19" r:id="rId17"/>
    <sheet name="VENÂNCIO" sheetId="15" r:id="rId18"/>
    <sheet name="INSUMOS" sheetId="9" state="hidden" r:id="rId19"/>
    <sheet name="TABELA DE PRODUTOS" sheetId="10" state="hidden" r:id="rId20"/>
  </sheets>
  <definedNames>
    <definedName name="_xlnm._FilterDatabase" localSheetId="19" hidden="1">'TABELA DE PRODUTOS'!$A$1:$M$1</definedName>
    <definedName name="DadosExternos_1" localSheetId="1" hidden="1">OCORRENCIAS!$A$1:$L$962</definedName>
    <definedName name="DadosExternos_2" localSheetId="0" hidden="1">'CONSOLIDADO'!$A$1:$V$962</definedName>
  </definedNames>
  <calcPr calcId="191029"/>
  <pivotCaches>
    <pivotCache cacheId="47" r:id="rId21"/>
    <pivotCache cacheId="53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6" l="1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28" i="6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29" i="6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26" i="6"/>
  <c r="A27" i="6"/>
  <c r="U76" i="6" l="1"/>
  <c r="U6" i="6"/>
  <c r="U6" i="15"/>
  <c r="U6" i="19"/>
  <c r="U6" i="8"/>
  <c r="U6" i="17"/>
  <c r="U6" i="16"/>
  <c r="U6" i="7"/>
  <c r="U6" i="18"/>
  <c r="U6" i="1"/>
  <c r="U6" i="5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6" i="4"/>
  <c r="U6" i="20"/>
  <c r="U6" i="3"/>
  <c r="U6" i="2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U62" i="20"/>
  <c r="U63" i="20"/>
  <c r="U64" i="20"/>
  <c r="U65" i="20"/>
  <c r="U66" i="20"/>
  <c r="U67" i="20"/>
  <c r="U68" i="20"/>
  <c r="U69" i="20"/>
  <c r="U70" i="20"/>
  <c r="U71" i="20"/>
  <c r="U72" i="20"/>
  <c r="U73" i="20"/>
  <c r="U74" i="20"/>
  <c r="U75" i="20"/>
  <c r="U76" i="20"/>
  <c r="U77" i="20"/>
  <c r="U78" i="20"/>
  <c r="U79" i="20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A15" i="6"/>
  <c r="A16" i="6"/>
  <c r="A17" i="6"/>
  <c r="A18" i="6"/>
  <c r="A19" i="6"/>
  <c r="A20" i="6"/>
  <c r="A21" i="6"/>
  <c r="A22" i="6"/>
  <c r="A23" i="6"/>
  <c r="A24" i="6"/>
  <c r="A25" i="6"/>
  <c r="A10" i="6"/>
  <c r="A11" i="6"/>
  <c r="A12" i="6"/>
  <c r="A13" i="6"/>
  <c r="A14" i="6"/>
  <c r="G74" i="20"/>
  <c r="F74" i="20"/>
  <c r="G73" i="20"/>
  <c r="F73" i="20"/>
  <c r="G72" i="20"/>
  <c r="F72" i="20"/>
  <c r="G71" i="20"/>
  <c r="F71" i="20"/>
  <c r="G70" i="20"/>
  <c r="F70" i="20"/>
  <c r="G69" i="20"/>
  <c r="F69" i="20"/>
  <c r="G68" i="20"/>
  <c r="F68" i="20"/>
  <c r="G67" i="20"/>
  <c r="F67" i="20"/>
  <c r="G66" i="20"/>
  <c r="F66" i="20"/>
  <c r="G65" i="20"/>
  <c r="F65" i="20"/>
  <c r="G64" i="20"/>
  <c r="F64" i="20"/>
  <c r="G63" i="20"/>
  <c r="F63" i="20"/>
  <c r="G62" i="20"/>
  <c r="F62" i="20"/>
  <c r="G61" i="20"/>
  <c r="F61" i="20"/>
  <c r="G60" i="20"/>
  <c r="F60" i="20"/>
  <c r="G59" i="20"/>
  <c r="F59" i="20"/>
  <c r="G58" i="20"/>
  <c r="F58" i="20"/>
  <c r="G57" i="20"/>
  <c r="F57" i="20"/>
  <c r="G56" i="20"/>
  <c r="F56" i="20"/>
  <c r="G55" i="20"/>
  <c r="F55" i="20"/>
  <c r="G54" i="20"/>
  <c r="F54" i="20"/>
  <c r="G53" i="20"/>
  <c r="F53" i="20"/>
  <c r="G52" i="20"/>
  <c r="F52" i="20"/>
  <c r="G51" i="20"/>
  <c r="F51" i="20"/>
  <c r="G50" i="20"/>
  <c r="F50" i="20"/>
  <c r="G49" i="20"/>
  <c r="F49" i="20"/>
  <c r="G48" i="20"/>
  <c r="F48" i="20"/>
  <c r="G47" i="20"/>
  <c r="F47" i="20"/>
  <c r="G46" i="20"/>
  <c r="F46" i="20"/>
  <c r="G45" i="20"/>
  <c r="F45" i="20"/>
  <c r="G44" i="20"/>
  <c r="F44" i="20"/>
  <c r="G43" i="20"/>
  <c r="F43" i="20"/>
  <c r="G72" i="4"/>
  <c r="F72" i="4"/>
  <c r="G71" i="4"/>
  <c r="F71" i="4"/>
  <c r="G70" i="4"/>
  <c r="F70" i="4"/>
  <c r="G69" i="4"/>
  <c r="F69" i="4"/>
  <c r="G68" i="4"/>
  <c r="F68" i="4"/>
  <c r="G67" i="4"/>
  <c r="F67" i="4"/>
  <c r="G66" i="4"/>
  <c r="F66" i="4"/>
  <c r="G65" i="4"/>
  <c r="F65" i="4"/>
  <c r="G64" i="4"/>
  <c r="F64" i="4"/>
  <c r="G63" i="4"/>
  <c r="F63" i="4"/>
  <c r="G62" i="4"/>
  <c r="F62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7" i="4"/>
  <c r="F47" i="4"/>
  <c r="G46" i="4"/>
  <c r="F46" i="4"/>
  <c r="G45" i="4"/>
  <c r="F45" i="4"/>
  <c r="G74" i="1"/>
  <c r="F74" i="1"/>
  <c r="G73" i="1"/>
  <c r="F73" i="1"/>
  <c r="G72" i="1"/>
  <c r="F72" i="1"/>
  <c r="G71" i="1"/>
  <c r="F71" i="1"/>
  <c r="G70" i="1"/>
  <c r="F70" i="1"/>
  <c r="G69" i="1"/>
  <c r="F69" i="1"/>
  <c r="G68" i="1"/>
  <c r="F68" i="1"/>
  <c r="G67" i="1"/>
  <c r="F67" i="1"/>
  <c r="G66" i="1"/>
  <c r="F66" i="1"/>
  <c r="G65" i="1"/>
  <c r="F65" i="1"/>
  <c r="G64" i="1"/>
  <c r="F64" i="1"/>
  <c r="G63" i="1"/>
  <c r="F63" i="1"/>
  <c r="G62" i="1"/>
  <c r="F62" i="1"/>
  <c r="G61" i="1"/>
  <c r="F61" i="1"/>
  <c r="G60" i="1"/>
  <c r="F60" i="1"/>
  <c r="G59" i="1"/>
  <c r="F59" i="1"/>
  <c r="G58" i="1"/>
  <c r="F58" i="1"/>
  <c r="G57" i="1"/>
  <c r="F57" i="1"/>
  <c r="G56" i="1"/>
  <c r="F56" i="1"/>
  <c r="G55" i="1"/>
  <c r="F55" i="1"/>
  <c r="G54" i="1"/>
  <c r="F54" i="1"/>
  <c r="G53" i="1"/>
  <c r="F53" i="1"/>
  <c r="G52" i="1"/>
  <c r="F52" i="1"/>
  <c r="G51" i="1"/>
  <c r="F51" i="1"/>
  <c r="G50" i="1"/>
  <c r="F50" i="1"/>
  <c r="G49" i="1"/>
  <c r="F49" i="1"/>
  <c r="G48" i="1"/>
  <c r="F48" i="1"/>
  <c r="G47" i="1"/>
  <c r="F47" i="1"/>
  <c r="G46" i="1"/>
  <c r="F46" i="1"/>
  <c r="G45" i="1"/>
  <c r="F45" i="1"/>
  <c r="G44" i="1"/>
  <c r="F44" i="1"/>
  <c r="F76" i="6"/>
  <c r="G76" i="6"/>
  <c r="F73" i="4"/>
  <c r="G73" i="4"/>
  <c r="F74" i="4"/>
  <c r="G74" i="4"/>
  <c r="F75" i="4"/>
  <c r="G75" i="4"/>
  <c r="F76" i="4"/>
  <c r="G76" i="4"/>
  <c r="F77" i="4"/>
  <c r="G77" i="4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E1840" i="23" l="1"/>
  <c r="E1839" i="23"/>
  <c r="G1839" i="23" s="1"/>
  <c r="E1838" i="23"/>
  <c r="G1838" i="23" s="1"/>
  <c r="E1837" i="23"/>
  <c r="G1837" i="23" s="1"/>
  <c r="E1836" i="23"/>
  <c r="G1836" i="23" s="1"/>
  <c r="E1786" i="23"/>
  <c r="E1785" i="23"/>
  <c r="E1784" i="23"/>
  <c r="E1783" i="23"/>
  <c r="E1782" i="23"/>
  <c r="E1781" i="23"/>
  <c r="E2" i="23"/>
  <c r="C6" i="18" l="1"/>
  <c r="C6" i="17"/>
  <c r="C6" i="16"/>
  <c r="C6" i="15"/>
  <c r="C6" i="1" l="1"/>
  <c r="C6" i="8" l="1"/>
  <c r="E1840" i="10" l="1"/>
  <c r="E1839" i="10"/>
  <c r="G1839" i="10" s="1"/>
  <c r="E1838" i="10"/>
  <c r="G1838" i="10" s="1"/>
  <c r="E1837" i="10"/>
  <c r="G1837" i="10" s="1"/>
  <c r="E1836" i="10"/>
  <c r="G1836" i="10" s="1"/>
  <c r="E1786" i="10"/>
  <c r="E1785" i="10"/>
  <c r="E1784" i="10"/>
  <c r="E1783" i="10"/>
  <c r="E1782" i="10"/>
  <c r="E1781" i="10"/>
  <c r="E2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1EB4CB-9831-4E23-B3E6-A384FE0CE56F}" keepAlive="1" name="Consulta - CONSOLIDADO" description="Conexão com a consulta 'CONSOLIDADO' na pasta de trabalho." type="5" refreshedVersion="7" background="1" saveData="1">
    <dbPr connection="Provider=Microsoft.Mashup.OleDb.1;Data Source=$Workbook$;Location=CONSOLIDADO;Extended Properties=&quot;&quot;" command="SELECT * FROM [CONSOLIDADO]"/>
  </connection>
  <connection id="2" xr16:uid="{60082BCD-06D1-49BF-82A4-DCBFB1B6D227}" keepAlive="1" name="Consulta - OCORRENCIAS" description="Conexão com a consulta 'OCORRENCIAS' na pasta de trabalho." type="5" refreshedVersion="7" background="1" saveData="1">
    <dbPr connection="Provider=Microsoft.Mashup.OleDb.1;Data Source=$Workbook$;Location=OCORRENCIAS;Extended Properties=&quot;&quot;" command="SELECT * FROM [OCORRENCIAS]"/>
  </connection>
</connections>
</file>

<file path=xl/sharedStrings.xml><?xml version="1.0" encoding="utf-8"?>
<sst xmlns="http://schemas.openxmlformats.org/spreadsheetml/2006/main" count="29941" uniqueCount="1328">
  <si>
    <t>Rede</t>
  </si>
  <si>
    <t>Semana do mês</t>
  </si>
  <si>
    <t>Data Monitoria</t>
  </si>
  <si>
    <t>Insumos para Teste</t>
  </si>
  <si>
    <t>Identificação do programa</t>
  </si>
  <si>
    <t>Produtos</t>
  </si>
  <si>
    <t>EAN</t>
  </si>
  <si>
    <t>Tipo de Campanha</t>
  </si>
  <si>
    <t>Preço Site</t>
  </si>
  <si>
    <t>Preço do programa</t>
  </si>
  <si>
    <t>Tipo Paciente</t>
  </si>
  <si>
    <t>LGPD</t>
  </si>
  <si>
    <t>Adesão</t>
  </si>
  <si>
    <t>Teste segiu sem erro?</t>
  </si>
  <si>
    <t>Problemas Identificados</t>
  </si>
  <si>
    <t>Responsável pela correção</t>
  </si>
  <si>
    <t>Nº chamado</t>
  </si>
  <si>
    <t>Ações Tomadas</t>
  </si>
  <si>
    <t>Abertura de chamado</t>
  </si>
  <si>
    <t>Prazo de correção</t>
  </si>
  <si>
    <t>Deadline</t>
  </si>
  <si>
    <t>Chamado encerrado?</t>
  </si>
  <si>
    <t>RAIA</t>
  </si>
  <si>
    <t>Sim</t>
  </si>
  <si>
    <t>VITALUX PLUS OMEGA 3 . 30 CPS</t>
  </si>
  <si>
    <t>Não</t>
  </si>
  <si>
    <t/>
  </si>
  <si>
    <t>MIND 10MG 30 COM</t>
  </si>
  <si>
    <t xml:space="preserve">DRENATAN 0,05MG/ML SOL.OFT   </t>
  </si>
  <si>
    <t>SELOZOK 25MG 30 CPR</t>
  </si>
  <si>
    <t xml:space="preserve">LUNE SUBL 5MG B1 CT BL 30 CP   </t>
  </si>
  <si>
    <t>ONE SHOT</t>
  </si>
  <si>
    <t>CONDRES COLAGENO . 30 CAPS</t>
  </si>
  <si>
    <t>XARELTO 10 MG 10 CPRS</t>
  </si>
  <si>
    <t>Systane Ul Colírio Com 10ml</t>
  </si>
  <si>
    <t>DROGASIL</t>
  </si>
  <si>
    <t>DIOVAN HCT 80/12.5MG 28 CP</t>
  </si>
  <si>
    <t>MIND 20MG 30 COM</t>
  </si>
  <si>
    <t>MICARDIS HCT, TABS 80+25MG 30 BLI BR</t>
  </si>
  <si>
    <t>CONDRES ULTRA . 30 CAPS</t>
  </si>
  <si>
    <t>P.MENOS</t>
  </si>
  <si>
    <t xml:space="preserve">TRAVAMED 0,04MG/ML SOL OFT.   </t>
  </si>
  <si>
    <t xml:space="preserve">LIFEPEN G - roxa (A1601xx01)   </t>
  </si>
  <si>
    <t>DSP</t>
  </si>
  <si>
    <t>CONDRES ULTRA . 90 CAPS</t>
  </si>
  <si>
    <t>PACHECO</t>
  </si>
  <si>
    <t>PANVEL</t>
  </si>
  <si>
    <t>ONOFRE</t>
  </si>
  <si>
    <t>Xalatan Sol. Oftalmica 2.5 ml 1 frasco</t>
  </si>
  <si>
    <t>DROGAL</t>
  </si>
  <si>
    <t>DNE</t>
  </si>
  <si>
    <t>NISSEI</t>
  </si>
  <si>
    <t>EXTRAFARMA</t>
  </si>
  <si>
    <t>DROGAO</t>
  </si>
  <si>
    <t>VENÂNCIO</t>
  </si>
  <si>
    <t>(Tudo)</t>
  </si>
  <si>
    <t>Com erro</t>
  </si>
  <si>
    <t>Rótulos de Coluna</t>
  </si>
  <si>
    <t>SEMANA MÊS</t>
  </si>
  <si>
    <t>Total Geral</t>
  </si>
  <si>
    <t>Contagem de Adesão</t>
  </si>
  <si>
    <t>REDES</t>
  </si>
  <si>
    <t>MONITORIA</t>
  </si>
  <si>
    <t>ACOMPANHAMENTO DE OCORRÊNCIAS</t>
  </si>
  <si>
    <t>Industria</t>
  </si>
  <si>
    <t>Alcon</t>
  </si>
  <si>
    <t>Biolab</t>
  </si>
  <si>
    <t>ASTRA</t>
  </si>
  <si>
    <t>Hypera</t>
  </si>
  <si>
    <t>BAYER</t>
  </si>
  <si>
    <t>Novartis</t>
  </si>
  <si>
    <t>BOEHRINGER</t>
  </si>
  <si>
    <t>Biomm</t>
  </si>
  <si>
    <t>Data de hoje:</t>
  </si>
  <si>
    <t>UPJOHN</t>
  </si>
  <si>
    <t>Código ADM</t>
  </si>
  <si>
    <t>Produto</t>
  </si>
  <si>
    <t>Ean</t>
  </si>
  <si>
    <t>ADM</t>
  </si>
  <si>
    <t>Código Campanha</t>
  </si>
  <si>
    <t>Campanha</t>
  </si>
  <si>
    <t>Limite de Unidades</t>
  </si>
  <si>
    <t>Regra da Campanha/Desconto</t>
  </si>
  <si>
    <t>UF</t>
  </si>
  <si>
    <t>Cidade</t>
  </si>
  <si>
    <t>CORUS H 100/25G 30 COMP</t>
  </si>
  <si>
    <t>ACHE</t>
  </si>
  <si>
    <t>PADRÃO CORUS 01/05/2011</t>
  </si>
  <si>
    <t>Desconto Flat</t>
  </si>
  <si>
    <t>ZZBR</t>
  </si>
  <si>
    <t>Todas</t>
  </si>
  <si>
    <t>CORUS H 50/125MG 30 COMP</t>
  </si>
  <si>
    <t>ALENIA 6 MCGS/100 MCGS 60 CAP – INALADOR . . .</t>
  </si>
  <si>
    <t>PADRÃO ALENIA 01/07/2014</t>
  </si>
  <si>
    <t>CE</t>
  </si>
  <si>
    <t>MG</t>
  </si>
  <si>
    <t>ALENIA 6 MCGS /200 MCGS 60 CAP – REFIL . . .</t>
  </si>
  <si>
    <t>ALENIA 6 MCGS/200 MCGS 60 CAP–INALADOR . . .</t>
  </si>
  <si>
    <t xml:space="preserve">DERMOMAX 40 MG/G CREM DERM CT BG X 30G   </t>
  </si>
  <si>
    <t>DERMOMAX</t>
  </si>
  <si>
    <t>1 a 5 unid. 10%
6 a 10 unid. 16%
11 a 20 unid. 20%
a partir de 21 unid 25%</t>
  </si>
  <si>
    <t>DERMOMAX CRM</t>
  </si>
  <si>
    <t>Campanha CRM</t>
  </si>
  <si>
    <t xml:space="preserve">35%  à partir  de 6 unidades </t>
  </si>
  <si>
    <t>ALENIA 12 MCGS/400 MCGS 60 CAP – REFIL . . .</t>
  </si>
  <si>
    <t>ALENIA 12 MCGS/400 MCGS 60 CAP-INALADOR . . .</t>
  </si>
  <si>
    <t>CORUS 25MG 30 COMP</t>
  </si>
  <si>
    <t xml:space="preserve">TRAUM RETARD 100MG COMR BLX10 CL A2   </t>
  </si>
  <si>
    <t>CAMPANHA TRAUM CRM</t>
  </si>
  <si>
    <t>TRAUM</t>
  </si>
  <si>
    <t xml:space="preserve">NEO DECAPEPTYL FA+DILX2ML 3,75MG  </t>
  </si>
  <si>
    <t>PADRÃO NEODECA</t>
  </si>
  <si>
    <t xml:space="preserve">DIOSMIN SDU 900MG+100MG CT 15 LAR/LIMAO   </t>
  </si>
  <si>
    <t>PADRÃO DIOSMIN</t>
  </si>
  <si>
    <t>RJ</t>
  </si>
  <si>
    <t>BELFORD ROXO</t>
  </si>
  <si>
    <t>DUQUE DE CAXIAS</t>
  </si>
  <si>
    <t>ITAGUAI</t>
  </si>
  <si>
    <t>MAGE</t>
  </si>
  <si>
    <t>MESQUITA</t>
  </si>
  <si>
    <t>NILOPOLIS</t>
  </si>
  <si>
    <t>NITEROI</t>
  </si>
  <si>
    <t>NOVA IGUACU</t>
  </si>
  <si>
    <t>QUEIMADOS</t>
  </si>
  <si>
    <t>RIO DE JANEIRO</t>
  </si>
  <si>
    <t>SAO GONCALO</t>
  </si>
  <si>
    <t>SAO JOAO DE MERITI</t>
  </si>
  <si>
    <t>SC</t>
  </si>
  <si>
    <t>FLORIANOPOLIS</t>
  </si>
  <si>
    <t>PADRÃO DIOSMIN 03/11/2010</t>
  </si>
  <si>
    <t>DIOSMIN DEZEMBRO/2016</t>
  </si>
  <si>
    <t xml:space="preserve">DIOSMIN SDU 900MG+100MG CT 30 ABACAXI   </t>
  </si>
  <si>
    <t>BA</t>
  </si>
  <si>
    <t>SALVADOR</t>
  </si>
  <si>
    <t xml:space="preserve">LEUCOGEN XAROPE 120 ML   </t>
  </si>
  <si>
    <t>LEUCOGEN PADRÃO</t>
  </si>
  <si>
    <t>OMEPRAMIX BLX7 . . .</t>
  </si>
  <si>
    <t>OMEPRAMIX BLX7</t>
  </si>
  <si>
    <t>Preço Final</t>
  </si>
  <si>
    <t>AC</t>
  </si>
  <si>
    <t>OMEPRAMIX BLX7+28 . . .</t>
  </si>
  <si>
    <t xml:space="preserve">ARTROLIVE C/ 90 CAP   </t>
  </si>
  <si>
    <t>ARTROLIVE - 09 DE NOVEMBRO 2010</t>
  </si>
  <si>
    <t>PADRÃO ARTROLIVE - 30/09/2013</t>
  </si>
  <si>
    <t xml:space="preserve">ARTROLIVE C/ 30 CAP   </t>
  </si>
  <si>
    <t xml:space="preserve">DIOSMIN 500MG CX 30 COMP   </t>
  </si>
  <si>
    <t xml:space="preserve">DIOSMIN 500MG CX 60 COMP   </t>
  </si>
  <si>
    <t xml:space="preserve">NEO DECAPEPTYL LP FA+DIL 11,25MG  </t>
  </si>
  <si>
    <t xml:space="preserve">EXODUS 10MG COM 30 COMP   </t>
  </si>
  <si>
    <t>CAMPANHA EXODUS CRM</t>
  </si>
  <si>
    <t>Campanha CRM + Progressiva</t>
  </si>
  <si>
    <t>Mês 1 a 3: 20% - Mês 4 a 6: 25% - Mês 7 em diante: 30%</t>
  </si>
  <si>
    <t>RS</t>
  </si>
  <si>
    <t>EXODUS PROGRESSIVO MÊS 1</t>
  </si>
  <si>
    <t>Progressiva</t>
  </si>
  <si>
    <t>0% a 57,78%</t>
  </si>
  <si>
    <t>EXODUS PROGRESSIVO MÊS 7</t>
  </si>
  <si>
    <t xml:space="preserve">EXODUS 10MG COM 60 COMP   </t>
  </si>
  <si>
    <t>EXODUS PROGRESSIVO MÊS 2</t>
  </si>
  <si>
    <t>EXODUS PROGRESSIVO MÊS 8</t>
  </si>
  <si>
    <t xml:space="preserve">DIOSMIN SDU 900MG+100MG CT 30 LAR/LIMAO   </t>
  </si>
  <si>
    <t xml:space="preserve">ESSENCELE CORPO PROFUSE 200G   </t>
  </si>
  <si>
    <t>ESSENCELE PROFUSE</t>
  </si>
  <si>
    <t xml:space="preserve">NUTREL CREME SUAVIZANTE PROFUSE 60G   </t>
  </si>
  <si>
    <t>NUTREL PROFUSE</t>
  </si>
  <si>
    <t xml:space="preserve">ENSOLEI E UNIFORMIZAD FPS50 PROFUSE 6OG   </t>
  </si>
  <si>
    <t>ENSOLEI PROFUSE</t>
  </si>
  <si>
    <t xml:space="preserve">HIDRADEEP LABIAL PROFUSE  5,5G   </t>
  </si>
  <si>
    <t>HIDRADEEP PROFUSE</t>
  </si>
  <si>
    <t xml:space="preserve">REVANGE 37,5/325MG COMR BLX10   </t>
  </si>
  <si>
    <t>CAMPANHA REVANGE CRM</t>
  </si>
  <si>
    <t>REVANGE</t>
  </si>
  <si>
    <t xml:space="preserve">REVANGE 37,5/325MG COMR BLX20   </t>
  </si>
  <si>
    <t>OSTEOTRAT 35MG 4 COMP</t>
  </si>
  <si>
    <t>PADRÃO OSTEOTRAT</t>
  </si>
  <si>
    <t xml:space="preserve">EXODUS 20MG COM 30 COMP   </t>
  </si>
  <si>
    <t>EXODUS PROGRESSIVO MÊS 4</t>
  </si>
  <si>
    <t>EXODUS PROGRESSIVO MÊS 9</t>
  </si>
  <si>
    <t xml:space="preserve">EXODUS CPR REVEST 15MG X 60  30 </t>
  </si>
  <si>
    <t xml:space="preserve">EXODUS 20MG SOLUCAO ORAL - FRASCO 15ML   </t>
  </si>
  <si>
    <t>EXODUS PROGRESSIVO MÊS 5</t>
  </si>
  <si>
    <t>EXODUS PROGRESSIVO MÊS 10</t>
  </si>
  <si>
    <t xml:space="preserve">OSTEOBAN 150MG CX 1 COMP   </t>
  </si>
  <si>
    <t>PADRÃO OSTEOBAN</t>
  </si>
  <si>
    <t xml:space="preserve">PURIANCE GEL RENOV BGX60G PROFUSE   </t>
  </si>
  <si>
    <t>PURIANCE PROFUSE</t>
  </si>
  <si>
    <t xml:space="preserve">EXODUS 15MG COM 30 COMP   </t>
  </si>
  <si>
    <t>EXODUS PROGRESSIVO MÊS 6</t>
  </si>
  <si>
    <t>EXODUS PROGRESSIVO MÊS 11</t>
  </si>
  <si>
    <t xml:space="preserve">EXODUS CPR REVEST 20MG X 60  30 </t>
  </si>
  <si>
    <t xml:space="preserve">MOTORE 250MG CAP FRX60   </t>
  </si>
  <si>
    <t>MOTORE</t>
  </si>
  <si>
    <t xml:space="preserve">MOTORE 250MG CAP FRX120   </t>
  </si>
  <si>
    <t xml:space="preserve">ARTROLIVE SACHE COM 30 ENVELOPES   </t>
  </si>
  <si>
    <t xml:space="preserve">CLAIR GELCREM CLAREADOR PROFUSE 30G   </t>
  </si>
  <si>
    <t>CLAIR PROFUSE</t>
  </si>
  <si>
    <t xml:space="preserve">NEO DECAPEPTYL LP FA+DIL 22,5MG  </t>
  </si>
  <si>
    <t xml:space="preserve">NUTREL GEL DE LIMPEZA PROFUSE 100ML   </t>
  </si>
  <si>
    <t xml:space="preserve">RESIST 500MG FRASCO COM 30CAPS   </t>
  </si>
  <si>
    <t>PADRÃO RESIST</t>
  </si>
  <si>
    <t xml:space="preserve">PURIANCE SAB LIQ PROFUSE BGX140ML   </t>
  </si>
  <si>
    <t xml:space="preserve">PURIANCE SABONETE LÍQUIDO 60ML  </t>
  </si>
  <si>
    <t xml:space="preserve">ENSOLEI OILC TOQSECO PROFUSE 60G   </t>
  </si>
  <si>
    <t>ZOLFEST D 10MG 20 COMP</t>
  </si>
  <si>
    <t>CAMPANHA ZOLFEST CRM</t>
  </si>
  <si>
    <t>ZOLFEST D</t>
  </si>
  <si>
    <t xml:space="preserve">ENSOLEI EXTREME COLOR FPS 90 PROFUSE 50G   </t>
  </si>
  <si>
    <t xml:space="preserve">ENSOLEI AOX SERUM FPS 30 PROFUSE 50G   </t>
  </si>
  <si>
    <t xml:space="preserve">ESSENCELE FILLER R PROFUSE BGX30G   </t>
  </si>
  <si>
    <t xml:space="preserve">ESSENCELE FILLER C OLHOS PROFUSE BGX15G   </t>
  </si>
  <si>
    <t xml:space="preserve">ESSENCELE FILLER C PROFUSE BGX30G   </t>
  </si>
  <si>
    <t xml:space="preserve">RESIST 500MG FRASCO COM 90CAPS   </t>
  </si>
  <si>
    <t>Progressivo de 10% até 60%</t>
  </si>
  <si>
    <t>-</t>
  </si>
  <si>
    <t>PANT 50 MG/ML SOL CAPI SPRAY  X 50 ML . . .</t>
  </si>
  <si>
    <t>CAMPANHA PANT</t>
  </si>
  <si>
    <t>PANT CUPOM</t>
  </si>
  <si>
    <t>Campanha Cupom</t>
  </si>
  <si>
    <t xml:space="preserve">DENSIFIANT SERUM PROFUSE FRX30ML   </t>
  </si>
  <si>
    <t>DENSIFIANT PROFUSE</t>
  </si>
  <si>
    <t>DENSIFIANT FONDANT OLHOS - PROFUSE 15 G . . FRASCO</t>
  </si>
  <si>
    <t xml:space="preserve">DENSIFIANT CREME PROFUSE POTEX30G   </t>
  </si>
  <si>
    <t>UNTRAL 2,5 MG CAP DURA CT X 30 . . .</t>
  </si>
  <si>
    <t>UNTRAL</t>
  </si>
  <si>
    <t>UNTRAL CUPOM</t>
  </si>
  <si>
    <t>UNTRAL 2,5MG CAP BLX90 . . .</t>
  </si>
  <si>
    <t>AGUA DERMATOLOGICA PROFUSE TBX 50 ML</t>
  </si>
  <si>
    <t>AGUA DERMATOLOGICA PROFUSE</t>
  </si>
  <si>
    <t xml:space="preserve">AGUA DERMATOLOGICA PROFUSE TBX150ML   </t>
  </si>
  <si>
    <t xml:space="preserve">PURIANCE SAB BARRA PROFUSE 80G   </t>
  </si>
  <si>
    <t>KALIST 2MG 28 ENV</t>
  </si>
  <si>
    <t>KALIST - PADRAO</t>
  </si>
  <si>
    <t>LEUCOGEN 80 MG 30 CAP</t>
  </si>
  <si>
    <t xml:space="preserve">REGRESSA 8MG BLX30 CL (C1)   </t>
  </si>
  <si>
    <t>REGRESSA</t>
  </si>
  <si>
    <t>de 10% até 45,67%</t>
  </si>
  <si>
    <t xml:space="preserve">REGRESSA 16MG BLX30 CL (C1)   </t>
  </si>
  <si>
    <t xml:space="preserve">REGRESSA 24MG BLX30 CL (C1)   </t>
  </si>
  <si>
    <t>CLAIR CONCENTRE PROFUSE FRX30G . . .</t>
  </si>
  <si>
    <t>CLAIR OLHOS CORRECT COLOR CLAREADOR PROF 15 G .</t>
  </si>
  <si>
    <t>ENSOLEI ANTIACNE COL F30 PROFUSE 40 G .</t>
  </si>
  <si>
    <t xml:space="preserve">NUTREL CC CREAM BGX50G PROFUSE   </t>
  </si>
  <si>
    <t xml:space="preserve">ZETAR XAMPU ANTICASPA BGX200ML PROFUSE   </t>
  </si>
  <si>
    <t>ZETAR XAMPU ANTICASPA PROFUSE</t>
  </si>
  <si>
    <t>ZETAR CUPOM</t>
  </si>
  <si>
    <t xml:space="preserve">ZETAR XAMP ANTICASPA BGX150ML PROFUSE   </t>
  </si>
  <si>
    <t>NUTREL SUAV BALM PROFUSE BGX50G . . .</t>
  </si>
  <si>
    <t xml:space="preserve">ENSOLEI COMPACT COLOR FPS 50 PROFUSE 10 G </t>
  </si>
  <si>
    <t>TANISEA 500MG COMR  BLX 6</t>
  </si>
  <si>
    <t>TANISEA_PADRAO</t>
  </si>
  <si>
    <t>BRASILEIA</t>
  </si>
  <si>
    <t>CRUZEIRO DO SUL</t>
  </si>
  <si>
    <t>EPITACIOLANDIA</t>
  </si>
  <si>
    <t>AL</t>
  </si>
  <si>
    <t>AM</t>
  </si>
  <si>
    <t>MANAUS</t>
  </si>
  <si>
    <t>TABATINGA</t>
  </si>
  <si>
    <t>AP</t>
  </si>
  <si>
    <t>MACAPA</t>
  </si>
  <si>
    <t>SANTANA</t>
  </si>
  <si>
    <t>DF</t>
  </si>
  <si>
    <t>ES</t>
  </si>
  <si>
    <t>GO</t>
  </si>
  <si>
    <t>MA</t>
  </si>
  <si>
    <t>MS</t>
  </si>
  <si>
    <t>MT</t>
  </si>
  <si>
    <t>PA</t>
  </si>
  <si>
    <t>PB</t>
  </si>
  <si>
    <t>PE</t>
  </si>
  <si>
    <t>PI</t>
  </si>
  <si>
    <t>PR</t>
  </si>
  <si>
    <t>RN</t>
  </si>
  <si>
    <t>RO</t>
  </si>
  <si>
    <t>GUAJARA MIRIM</t>
  </si>
  <si>
    <t>RR</t>
  </si>
  <si>
    <t>BOA VISTA</t>
  </si>
  <si>
    <t>BONFIM</t>
  </si>
  <si>
    <t>SE</t>
  </si>
  <si>
    <t>SP</t>
  </si>
  <si>
    <t>TO</t>
  </si>
  <si>
    <t>TANISEA 20MG PO SUSOR FRVDX  100 ML</t>
  </si>
  <si>
    <t>TANISEA 20MG PO SUSOR FRVDX  45 ML</t>
  </si>
  <si>
    <t>NUTREL SAB BARRA PROFUSE 100G . .</t>
  </si>
  <si>
    <t xml:space="preserve">NUTREL GEL LIMPEZA SENSITIVE PROFUSE 150 ML  </t>
  </si>
  <si>
    <t>ARTROGEN DUO 30 SACHESX11G .</t>
  </si>
  <si>
    <t>ARTROGEN DUO PADRAO</t>
  </si>
  <si>
    <t>Preço Sugerido</t>
  </si>
  <si>
    <t>0% - Valor Sugerido R$ 108,56</t>
  </si>
  <si>
    <t>HIDRADEEP INTENSIVE 400G . . .</t>
  </si>
  <si>
    <t>HIDRADEEP INTENSIVE 200G . . .</t>
  </si>
  <si>
    <t>HIDRADEEP DAILY 200G . . .</t>
  </si>
  <si>
    <t>HIDRADEEP DAILY 400G . . .</t>
  </si>
  <si>
    <t>HIDRADEEP GEL DE BANHO 400ML . . .</t>
  </si>
  <si>
    <t>HIDRADEEP CALM 400G . . .</t>
  </si>
  <si>
    <t xml:space="preserve">NUTREL LIP REPAIR PROFUSE 7,5 G   </t>
  </si>
  <si>
    <t xml:space="preserve">ENSOLEI EXTREME 90+ COLOR PROFUSE 50G   </t>
  </si>
  <si>
    <t>SEMBLE FORT 30 CÁPSULAS . . .</t>
  </si>
  <si>
    <t>SEMBLE PROFUSE</t>
  </si>
  <si>
    <t>SEMBLE CUPOM</t>
  </si>
  <si>
    <t>SEMBLE COLLAGEN+ CT 30 SACHES . . .</t>
  </si>
  <si>
    <t>SEMBLE REVERSE CT BL X 60 CAPS . . .</t>
  </si>
  <si>
    <t>PURIANCE SABONETE LÍQUIDO 300ML . . .</t>
  </si>
  <si>
    <t>PRODENSIFIANT FONDANT + . . FRASCO</t>
  </si>
  <si>
    <t>PROFUSE DENSIFIANT SÉRUM + . . FRASCO</t>
  </si>
  <si>
    <t>REVANGE 325 MG + 37,5 MG 30 COM REVESTIDOS</t>
  </si>
  <si>
    <t>PANT 50MG SOL CAPI 2FRX50ML+1VALSPR PACK . . .</t>
  </si>
  <si>
    <t xml:space="preserve">ENSOLEI ULTRA SECO FPS 30 PROFUSE 50G   </t>
  </si>
  <si>
    <t xml:space="preserve">NUTREL SOL MICELAR FRX200ML PROFUSE   </t>
  </si>
  <si>
    <t xml:space="preserve">NUTREL SOL MICELAR FRX120ML PROFUSE   </t>
  </si>
  <si>
    <t>UNTRAL BASE FORTE LIQ FRX7ML 7ML 30 FRASCO</t>
  </si>
  <si>
    <t>VITALUX PLUS OMEGA 3 - PADRÃO JUN/2013</t>
  </si>
  <si>
    <t>Padrão + Kit</t>
  </si>
  <si>
    <t>15% até 2 unidades e 35% a partir de 3 unidades</t>
  </si>
  <si>
    <t>Systane UL . 10 ML</t>
  </si>
  <si>
    <t>SYSTANE</t>
  </si>
  <si>
    <t>15% na primeira unidade e em 2 ou mais 30%</t>
  </si>
  <si>
    <t>SYSTANE UL 10 ML OR . . .</t>
  </si>
  <si>
    <t>SYSTANE UL . 10 ML</t>
  </si>
  <si>
    <t>SYSTANE UL . 15 ML</t>
  </si>
  <si>
    <t>REPATHA 140MG/ML SOL INJ CT2 140MG/ML 10 .</t>
  </si>
  <si>
    <t>Amgen</t>
  </si>
  <si>
    <t>REPATHA</t>
  </si>
  <si>
    <t>Desconto progressivo</t>
  </si>
  <si>
    <t>10/mês</t>
  </si>
  <si>
    <t xml:space="preserve">Preço para 1 ou 2 unidades R$ 1.300,00 e acima de 3 undiades R$ 890,00 </t>
  </si>
  <si>
    <t>EVENITY 90 MG/ML SOL INJ CT 2 SER PREENC VD TRANS X 1,17ML</t>
  </si>
  <si>
    <t>EVENITY</t>
  </si>
  <si>
    <t xml:space="preserve">12 por CPF </t>
  </si>
  <si>
    <t>Desconto de 71% para compra de 1 ou 2 unidades e 81% acima de 3 unidades</t>
  </si>
  <si>
    <t xml:space="preserve">PROLIA 60MGML  </t>
  </si>
  <si>
    <t>PROLIA</t>
  </si>
  <si>
    <t>Prática de melhor preço</t>
  </si>
  <si>
    <t>Desonto 0% no Logix e desconto adicional para algumas redes</t>
  </si>
  <si>
    <t>ATACAND 16MG 30 CPRS</t>
  </si>
  <si>
    <t>ATACAND</t>
  </si>
  <si>
    <t>Progressivo + kit</t>
  </si>
  <si>
    <t>4 unidades - mensal</t>
  </si>
  <si>
    <t>Desconto 20% 1 caixa 20% 2 caixas 33,33% caixas 30% 4 caixas</t>
  </si>
  <si>
    <t>ATACAND 8MG 30 CPRS</t>
  </si>
  <si>
    <t>ATACAND HCT 16MG+12.5MG 30 CPRS</t>
  </si>
  <si>
    <t>SYMBICORT TURBUHALER 6/100 MCG 60 DOSES</t>
  </si>
  <si>
    <t>SYMBICORT</t>
  </si>
  <si>
    <t>Desonto Flat</t>
  </si>
  <si>
    <t>Desconto 35% padrão</t>
  </si>
  <si>
    <t>Symbicort - Campanha especial</t>
  </si>
  <si>
    <t>35% de desconto</t>
  </si>
  <si>
    <t>SYMBICORT TURBUHALER 6/200 MCG 60 DOSES</t>
  </si>
  <si>
    <t>CRESTOR 10MG 30 CPRS</t>
  </si>
  <si>
    <t>CRESTOR</t>
  </si>
  <si>
    <t>Desconto por unidade + Kit</t>
  </si>
  <si>
    <t>Desconto por unidade 1 caixa 20% / 2 caixas 50% aplicado na segunda unidade / 3 caixas L3P2 33,33% / 4 Caixas 30%</t>
  </si>
  <si>
    <t>One Shot</t>
  </si>
  <si>
    <t xml:space="preserve"> 1 unidade - 1 vez</t>
  </si>
  <si>
    <t>Desconto 40%</t>
  </si>
  <si>
    <t>CRESTOR 20MG 30 CPRS</t>
  </si>
  <si>
    <t>ATACAND HCT 8MG+12.5MG 30 CPRS</t>
  </si>
  <si>
    <t>SYMBICORT TURBUHALER 12/400 MCG 60 DOSES</t>
  </si>
  <si>
    <t>CAMPANHA ESPECIAL SELOZOK</t>
  </si>
  <si>
    <t>KIT - L3P2</t>
  </si>
  <si>
    <t>3 unidades mensal</t>
  </si>
  <si>
    <t>Desconto de 33,33% em cada caixa</t>
  </si>
  <si>
    <t>SELOZOK 50MG 30 CPR</t>
  </si>
  <si>
    <t>SELOZOK 100MG 30 CPR</t>
  </si>
  <si>
    <t>NEXIUM 20MG 28 CPRS</t>
  </si>
  <si>
    <t>NEXIUM</t>
  </si>
  <si>
    <t>NEXIUM 40MG 28 CPRS</t>
  </si>
  <si>
    <t>CRESTOR 40MG 30 CPRS</t>
  </si>
  <si>
    <t>SEROQUEL XRO 50MG 30 CPS</t>
  </si>
  <si>
    <t>SEROQUEL</t>
  </si>
  <si>
    <t>12 unidades mensal</t>
  </si>
  <si>
    <t>Desconto 25% padrão</t>
  </si>
  <si>
    <t>SEROQUEL XRO 200MG 30 CPS</t>
  </si>
  <si>
    <t>SEROQUEL XRO 300MG 30 CPS</t>
  </si>
  <si>
    <t>ATACAND COMB 16MG/2.5MG 30 CPRS</t>
  </si>
  <si>
    <t>ATACAND COMB 16MG/5MG 30 CPRS</t>
  </si>
  <si>
    <t>CRESTOR 05MG 30 CPRS</t>
  </si>
  <si>
    <t>CRESTOR 05MG 60 CPRS</t>
  </si>
  <si>
    <t xml:space="preserve">SELOZOK 25 MG COM REV LIB PROL CT X 60   </t>
  </si>
  <si>
    <t xml:space="preserve">SELOZOK 50 MG COM REV LIB PROL CT X 60   </t>
  </si>
  <si>
    <t xml:space="preserve">SELOZOK 100 MG COM REV LIB PROL CT X 60   </t>
  </si>
  <si>
    <t>SYMBICORT SPRAY 6 /100 MCG 120 DOSES</t>
  </si>
  <si>
    <t>SYMBICORT SPRAY 6 /200 MCG 120 DOSES</t>
  </si>
  <si>
    <t>ASPIRINA 100MG 30 CP PREVENT</t>
  </si>
  <si>
    <t>ASPIRINA COMBO XARELTO</t>
  </si>
  <si>
    <t>Agregada</t>
  </si>
  <si>
    <t>6 - Bimestre</t>
  </si>
  <si>
    <t xml:space="preserve">Desconto de 99% </t>
  </si>
  <si>
    <t xml:space="preserve">ASPIRINA PREVENT CPR 100MG x 30   </t>
  </si>
  <si>
    <t>XARELTO 180 USO AGUDO</t>
  </si>
  <si>
    <t>DESCONTO PADRÃO</t>
  </si>
  <si>
    <t>4 unidades  em 2 mês/meses</t>
  </si>
  <si>
    <t>DESCONTO DE 17%</t>
  </si>
  <si>
    <t xml:space="preserve">XARELTO CPR REVEST 10mg x 10   </t>
  </si>
  <si>
    <t>XARELTO SPAF</t>
  </si>
  <si>
    <t>XARELTO TEVt</t>
  </si>
  <si>
    <t>XARELTO TEVp</t>
  </si>
  <si>
    <t>XARELTO EP</t>
  </si>
  <si>
    <t>DESOCONTO PADRAO</t>
  </si>
  <si>
    <t>XARELTO SEM INFORMACOES</t>
  </si>
  <si>
    <t>Xarelto ONCO</t>
  </si>
  <si>
    <t>XARELTO 10 MG 30 CPRS</t>
  </si>
  <si>
    <t>PATAMAR POR DESCONTO</t>
  </si>
  <si>
    <t>6 unidades  em 2 mês/meses</t>
  </si>
  <si>
    <t>1 UNID A 1 UNID 34% DE DESCONTO
2 UNID A 2 UNID 67% DE DESCONTO
3 UNID A 3 UNID 78% DE DESCONTO
4 UNID A 4 UNID 67% DE DESCONTO
5 UNID A 5 UNID 73% DE DESCONTO
6 UNID A 6 UNID 78% DE DESCONTO
7 UNID A 7 UNID 71% DE DESCONTO
8 UNID A 8 UNID 75% DE DESCONTO
9 UNID A 9 UNID 78% DE DESCONTO
10 UNID A 10 UNID 73% DE DESCONTO
11 UNID A 11 UNID 76% DE DESCONTO
12 UNID A 12 UNID 78% DE DESCONTO
13 UNID A 13 UNID 74% DE DESCONTO
14 UNID A 14 UNID 76% DE DESCONTO
15 UNID A 15 UNID 78% DE DESCONTO
16 UNID A 16 UNID 75% DE DESCONTO
17 UNID A 17 UNID 76% DE DESCONTO
18 UNID A 18 UNID 78% DE DESCONTO
19 UNID A 19 UNID 75% DE DESCONTO
20 UNID A 20 UNID 76% DE DESCONTO
21 UNID A 21 UNID 78% DE DESCONTO
22 UNID A 22 UNID 76% DE DESCONTO
23 UNID A 23 UNID 77% DE DESCONTO
24 UNID A 24 UNID 78% DE DESCONTO
25 UNID A 25 UNID 76% DE DESCONTO
26 UNID A 26 UNID 77% DE DESCONTO
27 UNID A 27 UNID 45% DE DESCONTO
28 UNID A 28 UNID 45% DE DESCONTO
29 UNID A 29 UNID 45% DE DESCONTO
30 UNID A 30 UNID 45% DE DESCONTO
31 UNID A 31 UNID 45% DE DESCONTO
32 UNID A 32 UNID 45% DE DESCONTO
33 UNID A 33 UNID 45% DE DESCONTO
34 UNID A 34 UNID 45% DE DESCONTO
35 UNID A 35 UNID 45% DE DESCONTO
36 UNID A 36 UNID 45% DE DESCONTO
37 UNID A 37 UNID 45% DE DESCONTO
38 UNID A 38 UNID 45% DE DESCONTO
39 UNID A 39 UNID 45% DE DESCONTO
40 UNID A 40 UNID 45% DE DESCONTO
41 UNID A 41 UNID 45% DE DESCONTO
42 UNID A 42 UNID 45% DE DESCONTO
43 UNID A 43 UNID 45% DE DESCONTO
44 UNID A 44 UNID 45% DE DESCONTO
45 UNID A 45 UNID 45% DE DESCONTO
46 UNID A 46 UNID 45% DE DESCONTO
47 UNID A 47 UNID 45% DE DESCONTO
48 UNID A 48 UNID 45% DE DESCONTO
49 UNID A 49 UNID 45% DE DESCONTO
50 UNID A 50 UNID 45% DE DESCONTO
51 UNID A 51 UNID 45% DE DESCONTO
52 UNID A 52 UNID 45% DE DESCONTO
53 UNID A 53 UNID 45% DE DESCONTO
54 UNID A 54 UNID 45% DE DESCONTO
55 UNID A 55 UNID 45% DE DESCONTO
56 UNID A 56 UNID 45% DE DESCONTO
57 UNID A 57 UNID 45% DE DESCONTO
58 UNID A 58 UNID 45% DE DESCONTO
59 UNID A 59 UNID 45% DE DESCONTO
60 UNID A 60 UNID 45% DE DESCONTO
61 UNID A 61 UNID 45% DE DESCONTO
62 UNID A 62 UNID 45% DE DESCONTO
63 UNID A 63 UNID 45% DE DESCONTO
64 UNID A 64 UNID 45% DE DESCONTO
65 UNID A 65 UNID 45% DE DESCONTO
66 UNID A 66 UNID 45% DE DESCONTO
67 UNID A 67 UNID 45% DE DESCONTO
68 UNID A 68 UNID 45% DE DESCONTO
69 UNID A 69 UNID 45% DE DESCONTO
70 UNID A 70 UNID 45% DE DESCONTO
71 UNID A 71 UNID 45% DE DESCONTO
72 UNID A 72 UNID 45% DE DESCONTO
73 UNID A 73 UNID 45% DE DESCONTO
74 UNID A 74 UNID 45% DE DESCONTO
75 UNID A 75 UNID 45% DE DESCONTO
76 UNID A 76 UNID 45% DE DESCONTO
77 UNID A 77 UNID 45% DE DESCONTO
78 UNID A 78 UNID 45% DE DESCONTO
79 UNID A 79 UNID 45% DE DESCONTO
80 UNID A 80 UNID 45% DE DESCONTO
81 UNID A 81 UNID 45% DE DESCONTO
82 UNID A 82 UNID 45% DE DESCONTO
83 UNID A 83 UNID 45% DE DESCONTO
84 UNID A 84 UNID 45% DE DESCONTO
85 UNID A 85 UNID 45% DE DESCONTO
86 UNID A 86 UNID 45% DE DESCONTO
87 UNID A 87 UNID 45% DE DESCONTO
88 UNID A 88 UNID 45% DE DESCONTO
89 UNID A 89 UNID 45% DE DESCONTO
90 UNID A 90 UNID 45% DE DESCONTO
91 UNID A 91 UNID 45% DE DESCONTO
92 UNID A 92 UNID 45% DE DESCONTO
93 UNID A 93 UNID 45% DE DESCONTO
94 UNID A 94 UNID 45% DE DESCONTO
95 UNID A 95 UNID 45% DE DESCONTO
96 UNID A 96 UNID 45% DE DESCONTO
97 UNID A 97 UNID 45% DE DESCONTO
98 UNID A 98 UNID 45% DE DESCONTO
99 UNID A 99 UNID 45% DE DESCONTO</t>
  </si>
  <si>
    <t xml:space="preserve">XARELTO CPR REVEST 10mg x 30   </t>
  </si>
  <si>
    <t>Progressivo Patamar</t>
  </si>
  <si>
    <t>1 UNID A 1 UNID 17% DE DESCONTO
2 UNID A 2 UNID 17% DE DESCONTO
3 UNID A 3 UNID 20% DE DESCONTO
4 UNID A 4 UNID 20% DE DESCONTO
5 UNID A 5 UNID 20% DE DESCONTO
6 UNID A 6 UNID 25% DE DESCONTO
7 UNID A 7 UNID 25% DE DESCONTO
8 UNID A 8 UNID 25% DE DESCONTO
9 UNID A 9 UNID 30% DE DESCONTO
10 UNID A 10 UNID 30% DE DESCONTO
11 UNID A 11 UNID 35% DE DESCONTO
12 UNID A 12 UNID 35% DE DESCONTO
13 UNID A 13 UNID 45% DE DESCONTO
14 UNID A 14 UNID 45% DE DESCONTO
15 UNID A 15 UNID 45% DE DESCONTO
16 UNID A 16 UNID 45% DE DESCONTO
17 UNID A 17 UNID 45% DE DESCONTO
18 UNID A 18 UNID 45% DE DESCONTO
19 UNID A 19 UNID 45% DE DESCONTO
20 UNID A 20 UNID 45% DE DESCONTO
21 UNID A 21 UNID 45% DE DESCONTO
22 UNID A 22 UNID 45% DE DESCONTO
23 UNID A 23 UNID 45% DE DESCONTO
24 UNID A 24 UNID 45% DE DESCONTO
25 UNID A 25 UNID 45% DE DESCONTO
26 UNID A 26 UNID 45% DE DESCONTO
27 UNID A 27 UNID 45% DE DESCONTO
28 UNID A 28 UNID 45% DE DESCONTO
29 UNID A 29 UNID 45% DE DESCONTO
30 UNID A 30 UNID 45% DE DESCONTO
31 UNID A 31 UNID 45% DE DESCONTO
32 UNID A 32 UNID 45% DE DESCONTO
33 UNID A 33 UNID 45% DE DESCONTO
34 UNID A 34 UNID 45% DE DESCONTO
35 UNID A 35 UNID 45% DE DESCONTO
36 UNID A 36 UNID 45% DE DESCONTO
37 UNID A 37 UNID 45% DE DESCONTO
38 UNID A 38 UNID 45% DE DESCONTO
39 UNID A 39 UNID 45% DE DESCONTO
40 UNID A 40 UNID 45% DE DESCONTO
41 UNID A 41 UNID 45% DE DESCONTO
42 UNID A 42 UNID 45% DE DESCONTO
43 UNID A 43 UNID 45% DE DESCONTO
44 UNID A 44 UNID 45% DE DESCONTO
45 UNID A 45 UNID 45% DE DESCONTO
46 UNID A 46 UNID 45% DE DESCONTO
47 UNID A 47 UNID 45% DE DESCONTO
48 UNID A 48 UNID 45% DE DESCONTO
49 UNID A 49 UNID 45% DE DESCONTO
50 UNID A 50 UNID 45% DE DESCONTO
51 UNID A 51 UNID 45% DE DESCONTO
52 UNID A 52 UNID 45% DE DESCONTO
53 UNID A 53 UNID 45% DE DESCONTO
54 UNID A 54 UNID 45% DE DESCONTO
55 UNID A 55 UNID 45% DE DESCONTO
56 UNID A 56 UNID 45% DE DESCONTO
57 UNID A 57 UNID 45% DE DESCONTO
58 UNID A 58 UNID 45% DE DESCONTO
59 UNID A 59 UNID 45% DE DESCONTO
60 UNID A 60 UNID 45% DE DESCONTO
61 UNID A 61 UNID 45% DE DESCONTO
62 UNID A 62 UNID 45% DE DESCONTO
63 UNID A 63 UNID 45% DE DESCONTO
64 UNID A 64 UNID 45% DE DESCONTO
65 UNID A 65 UNID 45% DE DESCONTO
66 UNID A 66 UNID 45% DE DESCONTO
67 UNID A 67 UNID 45% DE DESCONTO
68 UNID A 68 UNID 45% DE DESCONTO
69 UNID A 69 UNID 45% DE DESCONTO
70 UNID A 70 UNID 45% DE DESCONTO
71 UNID A 71 UNID 45% DE DESCONTO
72 UNID A 72 UNID 45% DE DESCONTO
73 UNID A 73 UNID 45% DE DESCONTO
74 UNID A 74 UNID 45% DE DESCONTO
75 UNID A 75 UNID 45% DE DESCONTO
76 UNID A 76 UNID 45% DE DESCONTO
77 UNID A 77 UNID 45% DE DESCONTO
78 UNID A 78 UNID 45% DE DESCONTO
79 UNID A 79 UNID 45% DE DESCONTO
80 UNID A 80 UNID 45% DE DESCONTO
81 UNID A 81 UNID 45% DE DESCONTO
82 UNID A 82 UNID 45% DE DESCONTO
83 UNID A 83 UNID 45% DE DESCONTO
84 UNID A 84 UNID 45% DE DESCONTO
85 UNID A 85 UNID 45% DE DESCONTO
86 UNID A 86 UNID 45% DE DESCONTO
87 UNID A 87 UNID 45% DE DESCONTO
88 UNID A 88 UNID 45% DE DESCONTO
89 UNID A 89 UNID 45% DE DESCONTO
90 UNID A 90 UNID 45% DE DESCONTO
91 UNID A 91 UNID 45% DE DESCONTO
92 UNID A 92 UNID 45% DE DESCONTO
93 UNID A 93 UNID 45% DE DESCONTO
94 UNID A 94 UNID 45% DE DESCONTO
95 UNID A 95 UNID 45% DE DESCONTO
96 UNID A 96 UNID 45% DE DESCONTO
97 UNID A 97 UNID 45% DE DESCONTO
98 UNID A 98 UNID 45% DE DESCONTO
99 UNID A 99 UNID 45% DE DESCONTO</t>
  </si>
  <si>
    <t>1 UNID A 2 UNID 17% DE DESCONTO
2 UNID A 2 UNID 17% DE DESCONTO
3 UNID A 3 UNID 20% DE DESCONTO
4 UNID A 4 UNID 20% DE DESCONTO
5 UNID A 5 UNID 20% DE DESCONTO
6 UNID A 6 UNID 25% DE DESCONTO
7 UNID A 7 UNID 25% DE DESCONTO
8 UNID A 8 UNID 25% DE DESCONTO
9 UNID A 9 UNID 30% DE DESCONTO
10 UNID A 10 UNID 30% DE DESCONTO
11 UNID A 11 UNID 35% DE DESCONTO
12 UNID A 12 UNID 35% DE DESCONTO
13 UNID A 13 UNID 45% DE DESCONTO
14 UNID A 14 UNID 45% DE DESCONTO
15 UNID A 15 UNID 45% DE DESCONTO
16 UNID A 16 UNID 45% DE DESCONTO
17 UNID A 17 UNID 45% DE DESCONTO
18 UNID A 18 UNID 45% DE DESCONTO
19 UNID A 19 UNID 45% DE DESCONTO
20 UNID A 20 UNID 45% DE DESCONTO
21 UNID A 21 UNID 45% DE DESCONTO
22 UNID A 22 UNID 45% DE DESCONTO
23 UNID A 23 UNID 45% DE DESCONTO
24 UNID A 24 UNID 45% DE DESCONTO
25 UNID A 25 UNID 45% DE DESCONTO
26 UNID A 26 UNID 45% DE DESCONTO
27 UNID A 27 UNID 45% DE DESCONTO
28 UNID A 28 UNID 45% DE DESCONTO
29 UNID A 29 UNID 45% DE DESCONTO
30 UNID A 30 UNID 45% DE DESCONTO
31 UNID A 31 UNID 45% DE DESCONTO
32 UNID A 32 UNID 45% DE DESCONTO
33 UNID A 33 UNID 45% DE DESCONTO
34 UNID A 34 UNID 45% DE DESCONTO
35 UNID A 35 UNID 45% DE DESCONTO
36 UNID A 36 UNID 45% DE DESCONTO
37 UNID A 37 UNID 45% DE DESCONTO
38 UNID A 38 UNID 45% DE DESCONTO
39 UNID A 39 UNID 45% DE DESCONTO
40 UNID A 40 UNID 45% DE DESCONTO
41 UNID A 41 UNID 45% DE DESCONTO
42 UNID A 42 UNID 45% DE DESCONTO
43 UNID A 43 UNID 45% DE DESCONTO
44 UNID A 44 UNID 45% DE DESCONTO
45 UNID A 45 UNID 45% DE DESCONTO
46 UNID A 46 UNID 45% DE DESCONTO
47 UNID A 47 UNID 45% DE DESCONTO
48 UNID A 48 UNID 45% DE DESCONTO
49 UNID A 49 UNID 45% DE DESCONTO
50 UNID A 50 UNID 45% DE DESCONTO
51 UNID A 51 UNID 45% DE DESCONTO
52 UNID A 52 UNID 45% DE DESCONTO
53 UNID A 53 UNID 45% DE DESCONTO
54 UNID A 54 UNID 45% DE DESCONTO
55 UNID A 55 UNID 45% DE DESCONTO
56 UNID A 56 UNID 45% DE DESCONTO
57 UNID A 57 UNID 45% DE DESCONTO
58 UNID A 58 UNID 45% DE DESCONTO
59 UNID A 59 UNID 45% DE DESCONTO
60 UNID A 60 UNID 45% DE DESCONTO
61 UNID A 61 UNID 45% DE DESCONTO
62 UNID A 62 UNID 45% DE DESCONTO
63 UNID A 63 UNID 45% DE DESCONTO
64 UNID A 64 UNID 45% DE DESCONTO
65 UNID A 65 UNID 45% DE DESCONTO
66 UNID A 66 UNID 45% DE DESCONTO
67 UNID A 67 UNID 45% DE DESCONTO
68 UNID A 68 UNID 45% DE DESCONTO
69 UNID A 69 UNID 45% DE DESCONTO
70 UNID A 70 UNID 45% DE DESCONTO
71 UNID A 71 UNID 45% DE DESCONTO
72 UNID A 72 UNID 45% DE DESCONTO
73 UNID A 73 UNID 45% DE DESCONTO
74 UNID A 74 UNID 45% DE DESCONTO
75 UNID A 75 UNID 45% DE DESCONTO
76 UNID A 76 UNID 45% DE DESCONTO
77 UNID A 77 UNID 45% DE DESCONTO
78 UNID A 78 UNID 45% DE DESCONTO
79 UNID A 79 UNID 45% DE DESCONTO
80 UNID A 80 UNID 45% DE DESCONTO
81 UNID A 81 UNID 45% DE DESCONTO
82 UNID A 82 UNID 45% DE DESCONTO
83 UNID A 83 UNID 45% DE DESCONTO
84 UNID A 84 UNID 45% DE DESCONTO
85 UNID A 85 UNID 45% DE DESCONTO
86 UNID A 86 UNID 45% DE DESCONTO
87 UNID A 87 UNID 45% DE DESCONTO
88 UNID A 88 UNID 45% DE DESCONTO
89 UNID A 89 UNID 45% DE DESCONTO
90 UNID A 90 UNID 45% DE DESCONTO
91 UNID A 91 UNID 45% DE DESCONTO
92 UNID A 92 UNID 45% DE DESCONTO
93 UNID A 93 UNID 45% DE DESCONTO
94 UNID A 94 UNID 45% DE DESCONTO
95 UNID A 95 UNID 45% DE DESCONTO
96 UNID A 96 UNID 45% DE DESCONTO
97 UNID A 97 UNID 45% DE DESCONTO
98 UNID A 98 UNID 45% DE DESCONTO
99 UNID A 99 UNID 45% DE DESCONTO</t>
  </si>
  <si>
    <t>1 UNID A 1 UNID 0.% DE DESCONTO
2 UNID A 2 UNID 10% DE DESCONTO
3 UNID A 3 UNID 0.% DE DESCONTO
4 UNID A 4 UNID 20% DE DESCONTO
5 UNID A 5 UNID 20% DE DESCONTO
6 UNID A 6 UNID 25% DE DESCONTO
7 UNID A 7 UNID 25% DE DESCONTO
8 UNID A 8 UNID 25% DE DESCONTO
9 UNID A 9 UNID 30% DE DESCONTO
10 UNID A 10 UNID 30% DE DESCONTO
11 UNID A 11 UNID 35% DE DESCONTO
12 UNID A 12 UNID 35% DE DESCONTO
13 UNID A 13 UNID 45% DE DESCONTO
14 UNID A 14 UNID 45% DE DESCONTO
15 UNID A 15 UNID 45% DE DESCONTO
16 UNID A 16 UNID 45% DE DESCONTO
17 UNID A 17 UNID 45% DE DESCONTO
18 UNID A 18 UNID 45% DE DESCONTO
19 UNID A 19 UNID 45% DE DESCONTO
20 UNID A 20 UNID 45% DE DESCONTO
21 UNID A 21 UNID 45% DE DESCONTO
22 UNID A 22 UNID 45% DE DESCONTO
23 UNID A 23 UNID 45% DE DESCONTO
24 UNID A 24 UNID 45% DE DESCONTO
25 UNID A 25 UNID 45% DE DESCONTO
26 UNID A 26 UNID 45% DE DESCONTO
27 UNID A 27 UNID 45% DE DESCONTO
28 UNID A 28 UNID 45% DE DESCONTO
29 UNID A 29 UNID 45% DE DESCONTO
30 UNID A 30 UNID 45% DE DESCONTO
31 UNID A 31 UNID 45% DE DESCONTO
32 UNID A 32 UNID 45% DE DESCONTO
33 UNID A 33 UNID 45% DE DESCONTO
34 UNID A 34 UNID 45% DE DESCONTO
35 UNID A 35 UNID 45% DE DESCONTO
36 UNID A 36 UNID 45% DE DESCONTO
37 UNID A 37 UNID 45% DE DESCONTO
38 UNID A 38 UNID 45% DE DESCONTO
39 UNID A 39 UNID 45% DE DESCONTO
40 UNID A 40 UNID 45% DE DESCONTO
41 UNID A 41 UNID 45% DE DESCONTO
42 UNID A 42 UNID 45% DE DESCONTO
43 UNID A 43 UNID 45% DE DESCONTO
44 UNID A 44 UNID 45% DE DESCONTO
45 UNID A 45 UNID 45% DE DESCONTO
46 UNID A 46 UNID 45% DE DESCONTO
47 UNID A 47 UNID 45% DE DESCONTO
48 UNID A 48 UNID 45% DE DESCONTO
49 UNID A 49 UNID 45% DE DESCONTO
50 UNID A 50 UNID 45% DE DESCONTO
51 UNID A 51 UNID 45% DE DESCONTO
52 UNID A 52 UNID 45% DE DESCONTO
53 UNID A 53 UNID 45% DE DESCONTO
54 UNID A 54 UNID 45% DE DESCONTO
55 UNID A 55 UNID 45% DE DESCONTO
56 UNID A 56 UNID 45% DE DESCONTO
57 UNID A 57 UNID 45% DE DESCONTO
58 UNID A 58 UNID 45% DE DESCONTO
59 UNID A 59 UNID 45% DE DESCONTO
60 UNID A 60 UNID 45% DE DESCONTO
61 UNID A 61 UNID 45% DE DESCONTO
62 UNID A 62 UNID 45% DE DESCONTO
63 UNID A 63 UNID 45% DE DESCONTO
64 UNID A 64 UNID 45% DE DESCONTO
65 UNID A 65 UNID 45% DE DESCONTO
66 UNID A 66 UNID 45% DE DESCONTO
67 UNID A 67 UNID 45% DE DESCONTO
68 UNID A 68 UNID 45% DE DESCONTO
69 UNID A 69 UNID 45% DE DESCONTO
70 UNID A 70 UNID 45% DE DESCONTO
71 UNID A 71 UNID 45% DE DESCONTO
72 UNID A 72 UNID 45% DE DESCONTO
73 UNID A 73 UNID 45% DE DESCONTO
74 UNID A 74 UNID 45% DE DESCONTO
75 UNID A 75 UNID 45% DE DESCONTO
76 UNID A 76 UNID 45% DE DESCONTO
77 UNID A 77 UNID 45% DE DESCONTO
78 UNID A 78 UNID 45% DE DESCONTO
79 UNID A 79 UNID 45% DE DESCONTO
80 UNID A 80 UNID 45% DE DESCONTO
81 UNID A 81 UNID 45% DE DESCONTO
82 UNID A 82 UNID 45% DE DESCONTO
83 UNID A 83 UNID 45% DE DESCONTO
84 UNID A 84 UNID 45% DE DESCONTO
85 UNID A 85 UNID 45% DE DESCONTO
86 UNID A 86 UNID 45% DE DESCONTO
87 UNID A 87 UNID 45% DE DESCONTO
88 UNID A 88 UNID 45% DE DESCONTO
89 UNID A 89 UNID 45% DE DESCONTO
90 UNID A 90 UNID 45% DE DESCONTO
91 UNID A 91 UNID 45% DE DESCONTO
92 UNID A 92 UNID 45% DE DESCONTO
93 UNID A 93 UNID 45% DE DESCONTO
94 UNID A 94 UNID 45% DE DESCONTO
95 UNID A 95 UNID 45% DE DESCONTO
96 UNID A 96 UNID 45% DE DESCONTO
97 UNID A 97 UNID 45% DE DESCONTO
98 UNID A 98 UNID 45% DE DESCONTO
99 UNID A 99 UNID 45% DE DESCONTO</t>
  </si>
  <si>
    <t>1 UNID A 1 UNID 0.% DE DESCONTO
2 UNID A 2 UNID 50% DE DESCONTO
3 UNID A 3 UNID 0.% DE DESCONTO
4 UNID A 4 UNID 20% DE DESCONTO
5 UNID A 5 UNID 20% DE DESCONTO
6 UNID A 6 UNID 25% DE DESCONTO
7 UNID A 7 UNID 25% DE DESCONTO
8 UNID A 8 UNID 25% DE DESCONTO
9 UNID A 9 UNID 30% DE DESCONTO
10 UNID A 10 UNID 30% DE DESCONTO
11 UNID A 11 UNID 35% DE DESCONTO
12 UNID A 12 UNID 35% DE DESCONTO
13 UNID A 13 UNID 45% DE DESCONTO
14 UNID A 14 UNID 45% DE DESCONTO
15 UNID A 15 UNID 45% DE DESCONTO
16 UNID A 16 UNID 45% DE DESCONTO
17 UNID A 17 UNID 45% DE DESCONTO
18 UNID A 18 UNID 45% DE DESCONTO
19 UNID A 19 UNID 45% DE DESCONTO
20 UNID A 20 UNID 45% DE DESCONTO
21 UNID A 21 UNID 45% DE DESCONTO
22 UNID A 22 UNID 45% DE DESCONTO
23 UNID A 23 UNID 45% DE DESCONTO
24 UNID A 24 UNID 45% DE DESCONTO
25 UNID A 25 UNID 45% DE DESCONTO
26 UNID A 26 UNID 45% DE DESCONTO
27 UNID A 27 UNID 45% DE DESCONTO
28 UNID A 28 UNID 45% DE DESCONTO
29 UNID A 29 UNID 45% DE DESCONTO
30 UNID A 30 UNID 45% DE DESCONTO
31 UNID A 31 UNID 45% DE DESCONTO
32 UNID A 32 UNID 45% DE DESCONTO
33 UNID A 33 UNID 45% DE DESCONTO
34 UNID A 34 UNID 45% DE DESCONTO
35 UNID A 35 UNID 45% DE DESCONTO
36 UNID A 36 UNID 45% DE DESCONTO
37 UNID A 37 UNID 45% DE DESCONTO
38 UNID A 38 UNID 45% DE DESCONTO
39 UNID A 39 UNID 45% DE DESCONTO
40 UNID A 40 UNID 45% DE DESCONTO
41 UNID A 41 UNID 45% DE DESCONTO
42 UNID A 42 UNID 45% DE DESCONTO
43 UNID A 43 UNID 45% DE DESCONTO
44 UNID A 44 UNID 45% DE DESCONTO
45 UNID A 45 UNID 45% DE DESCONTO
46 UNID A 46 UNID 45% DE DESCONTO
47 UNID A 47 UNID 45% DE DESCONTO
48 UNID A 48 UNID 45% DE DESCONTO
49 UNID A 49 UNID 45% DE DESCONTO
50 UNID A 50 UNID 45% DE DESCONTO
51 UNID A 51 UNID 45% DE DESCONTO
52 UNID A 52 UNID 45% DE DESCONTO
53 UNID A 53 UNID 45% DE DESCONTO
54 UNID A 54 UNID 45% DE DESCONTO
55 UNID A 55 UNID 45% DE DESCONTO
56 UNID A 56 UNID 45% DE DESCONTO
57 UNID A 57 UNID 45% DE DESCONTO
58 UNID A 58 UNID 45% DE DESCONTO
59 UNID A 59 UNID 45% DE DESCONTO
60 UNID A 60 UNID 45% DE DESCONTO
61 UNID A 61 UNID 45% DE DESCONTO
62 UNID A 62 UNID 45% DE DESCONTO
63 UNID A 63 UNID 45% DE DESCONTO
64 UNID A 64 UNID 45% DE DESCONTO
65 UNID A 65 UNID 45% DE DESCONTO
66 UNID A 66 UNID 45% DE DESCONTO
67 UNID A 67 UNID 45% DE DESCONTO
68 UNID A 68 UNID 45% DE DESCONTO
69 UNID A 69 UNID 45% DE DESCONTO
70 UNID A 70 UNID 45% DE DESCONTO
71 UNID A 71 UNID 45% DE DESCONTO
72 UNID A 72 UNID 45% DE DESCONTO
73 UNID A 73 UNID 45% DE DESCONTO
74 UNID A 74 UNID 45% DE DESCONTO
75 UNID A 75 UNID 45% DE DESCONTO
76 UNID A 76 UNID 45% DE DESCONTO
77 UNID A 77 UNID 45% DE DESCONTO
78 UNID A 78 UNID 45% DE DESCONTO
79 UNID A 79 UNID 45% DE DESCONTO
80 UNID A 80 UNID 45% DE DESCONTO
81 UNID A 81 UNID 45% DE DESCONTO
82 UNID A 82 UNID 45% DE DESCONTO
83 UNID A 83 UNID 45% DE DESCONTO
84 UNID A 84 UNID 45% DE DESCONTO
85 UNID A 85 UNID 45% DE DESCONTO
86 UNID A 86 UNID 45% DE DESCONTO
87 UNID A 87 UNID 45% DE DESCONTO
88 UNID A 88 UNID 45% DE DESCONTO
89 UNID A 89 UNID 45% DE DESCONTO
90 UNID A 90 UNID 45% DE DESCONTO
91 UNID A 91 UNID 45% DE DESCONTO
92 UNID A 92 UNID 45% DE DESCONTO
93 UNID A 93 UNID 45% DE DESCONTO
94 UNID A 94 UNID 45% DE DESCONTO
95 UNID A 95 UNID 45% DE DESCONTO
96 UNID A 96 UNID 45% DE DESCONTO
97 UNID A 97 UNID 45% DE DESCONTO
98 UNID A 98 UNID 45% DE DESCONTO
99 UNID A 99 UNID 45% DE DESCONTO</t>
  </si>
  <si>
    <t>1 UNID A 1 UNID 25% DE DESCONTO
2 UNID A 2 UNID 25% DE DESCONTO
3 UNID A 3 UNID 35% DE DESCONTO
4 UNID A 4 UNID 20% DE DESCONTO
5 UNID A 5 UNID 20% DE DESCONTO
6 UNID A 6 UNID 25% DE DESCONTO
7 UNID A 7 UNID 25% DE DESCONTO
8 UNID A 8 UNID 25% DE DESCONTO
9 UNID A 9 UNID 30% DE DESCONTO
10 UNID A 10 UNID 30% DE DESCONTO
11 UNID A 11 UNID 35% DE DESCONTO
12 UNID A 12 UNID 35% DE DESCONTO
13 UNID A 13 UNID 45% DE DESCONTO
14 UNID A 14 UNID 45% DE DESCONTO
15 UNID A 15 UNID 45% DE DESCONTO
16 UNID A 16 UNID 45% DE DESCONTO
17 UNID A 17 UNID 45% DE DESCONTO
18 UNID A 18 UNID 45% DE DESCONTO
19 UNID A 19 UNID 45% DE DESCONTO
20 UNID A 20 UNID 45% DE DESCONTO
21 UNID A 21 UNID 45% DE DESCONTO
22 UNID A 22 UNID 45% DE DESCONTO
23 UNID A 23 UNID 45% DE DESCONTO
24 UNID A 24 UNID 45% DE DESCONTO
25 UNID A 25 UNID 45% DE DESCONTO
26 UNID A 26 UNID 45% DE DESCONTO
27 UNID A 27 UNID 45% DE DESCONTO
28 UNID A 28 UNID 45% DE DESCONTO
29 UNID A 29 UNID 45% DE DESCONTO
30 UNID A 30 UNID 45% DE DESCONTO
31 UNID A 31 UNID 45% DE DESCONTO
32 UNID A 32 UNID 45% DE DESCONTO
33 UNID A 33 UNID 45% DE DESCONTO
34 UNID A 34 UNID 45% DE DESCONTO
35 UNID A 35 UNID 45% DE DESCONTO
36 UNID A 36 UNID 45% DE DESCONTO
37 UNID A 37 UNID 45% DE DESCONTO
38 UNID A 38 UNID 45% DE DESCONTO
39 UNID A 39 UNID 45% DE DESCONTO
40 UNID A 40 UNID 45% DE DESCONTO
41 UNID A 41 UNID 45% DE DESCONTO
42 UNID A 42 UNID 45% DE DESCONTO
43 UNID A 43 UNID 45% DE DESCONTO
44 UNID A 44 UNID 45% DE DESCONTO
45 UNID A 45 UNID 45% DE DESCONTO
46 UNID A 46 UNID 45% DE DESCONTO
47 UNID A 47 UNID 45% DE DESCONTO
48 UNID A 48 UNID 45% DE DESCONTO
49 UNID A 49 UNID 45% DE DESCONTO
50 UNID A 50 UNID 45% DE DESCONTO
51 UNID A 51 UNID 45% DE DESCONTO
52 UNID A 52 UNID 45% DE DESCONTO
53 UNID A 53 UNID 45% DE DESCONTO
54 UNID A 54 UNID 45% DE DESCONTO
55 UNID A 55 UNID 45% DE DESCONTO
56 UNID A 56 UNID 45% DE DESCONTO
57 UNID A 57 UNID 45% DE DESCONTO
58 UNID A 58 UNID 45% DE DESCONTO
59 UNID A 59 UNID 45% DE DESCONTO
60 UNID A 60 UNID 45% DE DESCONTO
61 UNID A 61 UNID 45% DE DESCONTO
62 UNID A 62 UNID 45% DE DESCONTO
63 UNID A 63 UNID 45% DE DESCONTO
64 UNID A 64 UNID 45% DE DESCONTO
65 UNID A 65 UNID 45% DE DESCONTO
66 UNID A 66 UNID 45% DE DESCONTO
67 UNID A 67 UNID 45% DE DESCONTO
68 UNID A 68 UNID 45% DE DESCONTO
69 UNID A 69 UNID 45% DE DESCONTO
70 UNID A 70 UNID 45% DE DESCONTO
71 UNID A 71 UNID 45% DE DESCONTO
72 UNID A 72 UNID 45% DE DESCONTO
73 UNID A 73 UNID 45% DE DESCONTO
74 UNID A 74 UNID 45% DE DESCONTO
75 UNID A 75 UNID 45% DE DESCONTO
76 UNID A 76 UNID 45% DE DESCONTO
77 UNID A 77 UNID 45% DE DESCONTO
78 UNID A 78 UNID 45% DE DESCONTO
79 UNID A 79 UNID 45% DE DESCONTO
80 UNID A 80 UNID 45% DE DESCONTO
81 UNID A 81 UNID 45% DE DESCONTO
82 UNID A 82 UNID 45% DE DESCONTO
83 UNID A 83 UNID 45% DE DESCONTO
84 UNID A 84 UNID 45% DE DESCONTO
85 UNID A 85 UNID 45% DE DESCONTO
86 UNID A 86 UNID 45% DE DESCONTO
87 UNID A 87 UNID 45% DE DESCONTO
88 UNID A 88 UNID 45% DE DESCONTO
89 UNID A 89 UNID 45% DE DESCONTO
90 UNID A 90 UNID 45% DE DESCONTO
91 UNID A 91 UNID 45% DE DESCONTO
92 UNID A 92 UNID 45% DE DESCONTO
93 UNID A 93 UNID 45% DE DESCONTO
94 UNID A 94 UNID 45% DE DESCONTO
95 UNID A 95 UNID 45% DE DESCONTO
96 UNID A 96 UNID 45% DE DESCONTO
97 UNID A 97 UNID 45% DE DESCONTO
98 UNID A 98 UNID 45% DE DESCONTO
99 UNID A 99 UNID 45% DE DESCONTO</t>
  </si>
  <si>
    <t>Xarelto Baixa Renda</t>
  </si>
  <si>
    <t>2 unidades  em 1 mês/meses</t>
  </si>
  <si>
    <t>DESCONTO DE 55%</t>
  </si>
  <si>
    <t>YAZ 24 20MG 24 CPRS</t>
  </si>
  <si>
    <t>YAZ - ID</t>
  </si>
  <si>
    <t>4 Unidades - Bimestre</t>
  </si>
  <si>
    <t>da 1ª a 12ª caixa 34% a partir da 13ª caixa 40% + Kit de 3 unidades  40%</t>
  </si>
  <si>
    <t xml:space="preserve">YAZ CPR REVEST x 24   </t>
  </si>
  <si>
    <t>ESPECIAL YAZ</t>
  </si>
  <si>
    <t>Compra Única</t>
  </si>
  <si>
    <t>14 Compra Única</t>
  </si>
  <si>
    <t>Desconto Padrão de 40%</t>
  </si>
  <si>
    <t>YAZ PILOTO INTERIOR</t>
  </si>
  <si>
    <t xml:space="preserve">Padrão </t>
  </si>
  <si>
    <t>Desconto Flat 40%</t>
  </si>
  <si>
    <t>YAZ NOVA</t>
  </si>
  <si>
    <t>Desconto progressivo por patamar + Kit</t>
  </si>
  <si>
    <t>Da 1ª a 3 ª caixa 25% Da 4ª a 9ª caica 27,5% Da 10ªº a 15ª 30% Acima da 16ª 35% + Kit de 3 caixas na mesma compra 40%</t>
  </si>
  <si>
    <t>YAZ NOVA 2019</t>
  </si>
  <si>
    <t>1 UNID A 3 UNID 25% DE DESCONTO
4 UNID A 9 UNID 27% DE DESCONTO
10 UNID A 15 UNID 30% DE DESCONTO
16 UNID A 99 UNID 35% DE DESCONTO</t>
  </si>
  <si>
    <t>Regra Yaz 2019</t>
  </si>
  <si>
    <t>Desconto Flat + Kit</t>
  </si>
  <si>
    <t>Desconto Flat 25 % + Kit na compra de 33 unidades 40%</t>
  </si>
  <si>
    <t>NEBIDO 250MG/ML 1 AMPOLA</t>
  </si>
  <si>
    <t>NEBIDO INICIO COM IMPREGNACAO NEW</t>
  </si>
  <si>
    <t>2 unidades  em 2 mês/meses</t>
  </si>
  <si>
    <t>Desconto na 1 e 2 compra de 50% e na 3 compra em diante 0% de desconto</t>
  </si>
  <si>
    <t xml:space="preserve">NEBIDO AMP. 250MG 4ML x 1 /ML   </t>
  </si>
  <si>
    <t>NEBIDO IMPREGNACAO 2 CAIXAS</t>
  </si>
  <si>
    <t>1 UNID A 2 UNID 50.00
3 UNID A 3 UNID 30.00 DE DESCONTO 
4 UNID A 4 UNID 35.00 DE DESCONTO
5 UNID A 5 UNID 40.00 DE DESCONTO
6 UNID A 6 UNID 45.00 DE DESCONTO
7 UNID A 99 UNID 50.00 DE DESCONTO</t>
  </si>
  <si>
    <t>NEBIDO IMPREGNACAO 1 CAIXA</t>
  </si>
  <si>
    <t>1 UNID A 1 UNID 50 DE DESCONTO
2 UNID A 2 UNID 30 DE DESCONTO
3 UNID A 3 UNID 35 DE DESCONTO
4 UNID A 4 UNID 40 DE DESCONTO
5 UNID A 5 UNID 45 DE DESCONTO
6 UNID A 99 UNID 50 DE DESCONTO</t>
  </si>
  <si>
    <t>NEBIDO REGULAR</t>
  </si>
  <si>
    <t>3 unidades  em 2 mês/meses</t>
  </si>
  <si>
    <t>1 UNID A 1 UNID 30% DE DESCONTO
2 UNID A 2 UNID 35% DE DESCONTO
3 UNID A 3 UNID 40% DE DESCONTO
4 UNID A 4 UNID 45% DE DESCONTO
5 UNID A 99 UNID 50% DE DESCONTO</t>
  </si>
  <si>
    <t>NEBIDO 2018</t>
  </si>
  <si>
    <t>1 UNID A 1 UNID 25% DE DESCONTO
2 UNID A 2 UNID 30% DE DESCONTO
3 UNID A 3 UNID 35% DE DESCONTO
4 UNID A 99 UNID 40% DE DESCONTO</t>
  </si>
  <si>
    <t>XARELTO 15 MG 14 CPRS</t>
  </si>
  <si>
    <t xml:space="preserve">XARELTO CPR REVEST 15mg x 14   </t>
  </si>
  <si>
    <t>XARELTO 15 MG 28 CPRS</t>
  </si>
  <si>
    <t xml:space="preserve">XARELTO CPR REVEST 15mg x 28   </t>
  </si>
  <si>
    <t>XARELTO 20 MG 14 CPRS</t>
  </si>
  <si>
    <t xml:space="preserve">XARELTO CPR REVEST 20mg x 14   </t>
  </si>
  <si>
    <t>XARELTO 20 MG 28 CPRS</t>
  </si>
  <si>
    <t xml:space="preserve">XARELTO CPR REVEST 20mg x 28   </t>
  </si>
  <si>
    <t xml:space="preserve">MIRENA 1X1 EVO BR   </t>
  </si>
  <si>
    <t>BAYER PLUS</t>
  </si>
  <si>
    <t>3 Unidades - mensal</t>
  </si>
  <si>
    <t>Desconto padrão de 40%</t>
  </si>
  <si>
    <t>XARELTO 2,5 MG 30 CPRS</t>
  </si>
  <si>
    <t>XARELTO CAD</t>
  </si>
  <si>
    <t>XARELTO PAD</t>
  </si>
  <si>
    <t>XARELTO CAD OU PAD</t>
  </si>
  <si>
    <t>XARELTO 2,5 MG 60 CPRS</t>
  </si>
  <si>
    <t>1 UNID A 2 UNID 17% DE DESCONTO
3 UNID A 5 UNID 20% DE DESCONTO
6 UNID A 8 UNID 25% DE DESCONTO
9 UNID A 10 UNID 30% DE DESCONTO
11 UNID A 12 UNID 35% DE DESCONTO
13 UNID A 99 UNID 45% DE DESCONTO</t>
  </si>
  <si>
    <t>Yaz Flex 3MG+0.02 30 CPRS</t>
  </si>
  <si>
    <t>6 Unidades - Bimestre</t>
  </si>
  <si>
    <t>da 1ª a 12ª caixa 34% a partir da 13ª caixa 40% + Kit de 3 unidades  50%</t>
  </si>
  <si>
    <t xml:space="preserve">YAZ FLEX CPR REVEST 3.00MG x 30 /.02   </t>
  </si>
  <si>
    <t>YAZ 6 CAIXAS</t>
  </si>
  <si>
    <t>Kit</t>
  </si>
  <si>
    <t>50 % de desconto para compra de 3 unidades</t>
  </si>
  <si>
    <t>Da 1ª a 3 ª caixa 25% Da 4ª a 9ª caica 27,5% Da 10ªº a 15ª 30% Acima da 16ª 35% + Kit de 3 caixas na mesma compra 50%</t>
  </si>
  <si>
    <t>Desconto Flat 25 % + Kit na compra de 33 unidades 50%</t>
  </si>
  <si>
    <t>YAZ 24+4 1x bli 3MG+2 28 CPRS</t>
  </si>
  <si>
    <t xml:space="preserve">YAZ 24+4 CPR REVEST x 28   </t>
  </si>
  <si>
    <t>CAMPANHA YAZ 24+4</t>
  </si>
  <si>
    <t>1 UNID A 1 UNID 25% DE DESCONTO
2 UNID A 2 UNID 25% DE DESCONTO
3 UNID A 3 UNID 40% DE DESCONTO
4 UNID A 4 UNID 36% DE DESCONTO
5 UNID A 5 UNID 34% DE DESCONTO
6 UNID A 6 UNID 40% DE DESCONTO</t>
  </si>
  <si>
    <t xml:space="preserve">KYLEENA   </t>
  </si>
  <si>
    <t>Desativado</t>
  </si>
  <si>
    <t>Bepantol Sensicalm 275ml x1 1 Locao</t>
  </si>
  <si>
    <t>BEPANTOL 2019</t>
  </si>
  <si>
    <t>8 Unidades - Bimestre</t>
  </si>
  <si>
    <t>20% - 1 Unidade /  22,5% - 2_3 unidades /  25% - 4_5 unidade; / 30% - A partir da 6 Unidade</t>
  </si>
  <si>
    <t>PRESSPLUS 5MG/20MG 60 CAP</t>
  </si>
  <si>
    <t>PRESSPLUS</t>
  </si>
  <si>
    <t>Desconto flat</t>
  </si>
  <si>
    <t>3/mês</t>
  </si>
  <si>
    <t xml:space="preserve">Desconto de 20,00% </t>
  </si>
  <si>
    <t>MIND</t>
  </si>
  <si>
    <t xml:space="preserve">Desconto de 30,00% </t>
  </si>
  <si>
    <t>NEBILET 5MG 30 CPR</t>
  </si>
  <si>
    <t>Nebilet</t>
  </si>
  <si>
    <t>NEBILET 5MG 60 CPR</t>
  </si>
  <si>
    <t>NEBILET 5MG 90 CPR</t>
  </si>
  <si>
    <t xml:space="preserve">NUIT FLASH 5MG COM X 30 P344   </t>
  </si>
  <si>
    <t>Campanha Bom Sono</t>
  </si>
  <si>
    <t>Cupom - One Shot</t>
  </si>
  <si>
    <t>1 por CPF</t>
  </si>
  <si>
    <t>95% de desconto</t>
  </si>
  <si>
    <t>NEBILET 5MG 28 CPR</t>
  </si>
  <si>
    <t>NEBILET 5MG 56 CPR</t>
  </si>
  <si>
    <t>LIPLESS 100MG 60 CPR</t>
  </si>
  <si>
    <t>Lipless</t>
  </si>
  <si>
    <t>LIPLESS 100MG 90 CPR</t>
  </si>
  <si>
    <t>PRESSPLUS 5MG/10MG 60 CAP</t>
  </si>
  <si>
    <t>PANTOGAR  60 CAP</t>
  </si>
  <si>
    <t>Pantogar</t>
  </si>
  <si>
    <t xml:space="preserve">Desconto de 25,00% </t>
  </si>
  <si>
    <t>PANTOGAR  90 CAP</t>
  </si>
  <si>
    <t xml:space="preserve">ARADOIS H 100/25MG X 30 </t>
  </si>
  <si>
    <t>ARADOIS H</t>
  </si>
  <si>
    <t xml:space="preserve">ARADOIS H 100/25MG X 90 </t>
  </si>
  <si>
    <t xml:space="preserve">ARADOIS H 100/25MG X 60 </t>
  </si>
  <si>
    <t xml:space="preserve">ARADOIS H 50/12,5 MG X 60 </t>
  </si>
  <si>
    <t xml:space="preserve">ARADOIS H 50/12,5 MG X 90 </t>
  </si>
  <si>
    <t xml:space="preserve">ARADOIS H 50/12,5 MG X 30 </t>
  </si>
  <si>
    <t>PRESSPLUS 2,5MG/10MG 30 CAP</t>
  </si>
  <si>
    <t>PRESSPLUS 5MG/10MG 30 CAP</t>
  </si>
  <si>
    <t>PRESSPLUS 5MG/20MG 30 CAP</t>
  </si>
  <si>
    <t>LIPLESS 100MG 30 CPR</t>
  </si>
  <si>
    <t>OLANZYS 2.5MG 30 ANTIPSICOT</t>
  </si>
  <si>
    <t>OLANZYS</t>
  </si>
  <si>
    <t>OLANZYS 5MG 30 ANTIPSICOT</t>
  </si>
  <si>
    <t>OLANZYS 10MG 30 ANTIPSICOT</t>
  </si>
  <si>
    <t xml:space="preserve">MONESSA CAP X 90   </t>
  </si>
  <si>
    <t>MONESSA</t>
  </si>
  <si>
    <t xml:space="preserve">AGUD 500MG+30MG COM X 12   </t>
  </si>
  <si>
    <t>Campanha SEMDOR</t>
  </si>
  <si>
    <t>87% de desconto</t>
  </si>
  <si>
    <t xml:space="preserve">Glargilin 100 UI/ML SOL INJ CT CAR   </t>
  </si>
  <si>
    <t>Início de Tratamento Glargilin Refil</t>
  </si>
  <si>
    <t>Preço fixo na ponta de R$ 57,00</t>
  </si>
  <si>
    <t>Início de Tratamento Glargilin</t>
  </si>
  <si>
    <t xml:space="preserve">Afrezza  - 90  x 8UI   </t>
  </si>
  <si>
    <t>Biomm Mais Saude</t>
  </si>
  <si>
    <t>Preço fixo na ponta de R$ 800,00</t>
  </si>
  <si>
    <t>Biomm Mais Cupons Afrezza</t>
  </si>
  <si>
    <t>Cupom</t>
  </si>
  <si>
    <t>99,99% de desconto</t>
  </si>
  <si>
    <t xml:space="preserve">Afrezza  - 90  x 12UI   </t>
  </si>
  <si>
    <t>Preço fixo na ponta de R$ 900,00</t>
  </si>
  <si>
    <t xml:space="preserve">Afrezza  - 90  x 4UI + 90 x 8UI   </t>
  </si>
  <si>
    <t>Início de Tratamento LIFEPEN G</t>
  </si>
  <si>
    <t xml:space="preserve">Combo </t>
  </si>
  <si>
    <t>99,99% de desconto na compra do combo com Glargilin</t>
  </si>
  <si>
    <t>SPIRIVA RESPIMAT 60 DOSES 2 5 MCG (4ML)</t>
  </si>
  <si>
    <t>Início de Tratamento Spiriva</t>
  </si>
  <si>
    <t>1/mês</t>
  </si>
  <si>
    <t xml:space="preserve">Desconto de 99,99% </t>
  </si>
  <si>
    <t>Spiriva</t>
  </si>
  <si>
    <t>4/bimestral</t>
  </si>
  <si>
    <t>Desconto de 41,41% para compra de 1 ou 2 unidades e 52,80% no kit de 3 unidades</t>
  </si>
  <si>
    <t>Micardis HCT - Padrão</t>
  </si>
  <si>
    <t>Desconto de 39,82%</t>
  </si>
  <si>
    <t>Micardis HCT - Anual</t>
  </si>
  <si>
    <t>12/mês</t>
  </si>
  <si>
    <t>Micardis HCT - Migração</t>
  </si>
  <si>
    <t>4/mês</t>
  </si>
  <si>
    <t>MICARDIS PBM 40MG 30 CPR</t>
  </si>
  <si>
    <t>Micardis - Padrão</t>
  </si>
  <si>
    <t>Desconto de 43,37%</t>
  </si>
  <si>
    <t>MICARDIS,TABS 40MG 30 BLI ALU/ALU BR</t>
  </si>
  <si>
    <t>Micardis - Anual</t>
  </si>
  <si>
    <t>Micardis - Migração</t>
  </si>
  <si>
    <t>MICARDIS,TABS 80MG 30 BR</t>
  </si>
  <si>
    <t>Desconto de 48,68%</t>
  </si>
  <si>
    <t>MICARDIS HCT 40/12,5MG 30 CPR</t>
  </si>
  <si>
    <t>Desconto de 33,47%</t>
  </si>
  <si>
    <t>MICARDIS HCT, TABS 40+12,5MG 30 BR</t>
  </si>
  <si>
    <t>MICARDIS HCT, TABS 80+12,5MG 30 BLI AL</t>
  </si>
  <si>
    <t>TRAYENTA, FICTA 5MG 30 BLI BR</t>
  </si>
  <si>
    <t>Trayenta - Padrão</t>
  </si>
  <si>
    <t>Desconto de 23,00% para compra de 1 ou 2 unidades e 45,00% no kit de 3 unidades</t>
  </si>
  <si>
    <t>Trayenta - Anual</t>
  </si>
  <si>
    <t>JARDIANCE, FICTA 25MG 30 BLI BR</t>
  </si>
  <si>
    <t>Jardiance - Padrão</t>
  </si>
  <si>
    <t>Jardiance - Anual</t>
  </si>
  <si>
    <t>Desconto de 25,00% para compra de 1 ou 2 unidades e 35,00% no kit de 3 unidades</t>
  </si>
  <si>
    <t>Jardiance</t>
  </si>
  <si>
    <t>Desconto de 25,00% para compra de 1 ou 2 undiades e 35,00% no kit de 3 unidades</t>
  </si>
  <si>
    <t>JARDIANCE, FICTA 10MG 30 BLI BR</t>
  </si>
  <si>
    <t>GLYXAMBI 10 MG + 5MG 30 BL AL</t>
  </si>
  <si>
    <t>GLYXAMBI</t>
  </si>
  <si>
    <t>Desconto de 45,35%</t>
  </si>
  <si>
    <t>GLYXAMBI - ANUAL</t>
  </si>
  <si>
    <t>GLYXAMBI 25 MG + 5MG 30 BL AL</t>
  </si>
  <si>
    <t xml:space="preserve">SPIOLTO SOL INAL 60 DOSES 2,5MCG + 2,5MCG </t>
  </si>
  <si>
    <t>Início de Tratamento Spioto</t>
  </si>
  <si>
    <t>SPIOLTO</t>
  </si>
  <si>
    <t>Desconto de 25,00% para compra de 1 ou 2 unidades e 39,80% no kit de 3 unidades</t>
  </si>
  <si>
    <t>SPIOLTO - ANUAL</t>
  </si>
  <si>
    <t xml:space="preserve">FRONTLINE PLUS CAO G 2.68ML 1X10   </t>
  </si>
  <si>
    <t>BOEHRINGSA PET</t>
  </si>
  <si>
    <t>Mais Saúde para o seu Pet com a BI</t>
  </si>
  <si>
    <t>Benefício Colaborador</t>
  </si>
  <si>
    <t>Limite de 105,00 por trimestre</t>
  </si>
  <si>
    <t>Colaborador tem limite de R$ 105,00 por trimestre para compra dos produtos participantes</t>
  </si>
  <si>
    <t xml:space="preserve">FRONTLINE SPRAY 100 ML.   </t>
  </si>
  <si>
    <t xml:space="preserve">FRONTLINE SPRAY 250 ML.   </t>
  </si>
  <si>
    <t xml:space="preserve">FRONTLINE PLUS CAO P 0.67ML 1X10   </t>
  </si>
  <si>
    <t xml:space="preserve">FRONTLINE TOP SPOT CAES 10 A 20 KG 1 BIS   </t>
  </si>
  <si>
    <t xml:space="preserve">FRONTLINE TOP SPOT CAES 01 A 10 KG 1 BIS   </t>
  </si>
  <si>
    <t xml:space="preserve">FRONTLINE TOP SPOT GATOS C/1 BIS   </t>
  </si>
  <si>
    <t xml:space="preserve">FRONTLINE PLUS CAES 10 A 20KG 1 BIS   </t>
  </si>
  <si>
    <t xml:space="preserve">FRONTLINE PLUS GATOS 1 BISNAGA   </t>
  </si>
  <si>
    <t xml:space="preserve">NEXGARD P 0,5GR 01 COMP - MERIAL   </t>
  </si>
  <si>
    <t xml:space="preserve">NEXGARD P 0,5GR 03 COMP - MERIAL   </t>
  </si>
  <si>
    <t xml:space="preserve">NEXGARD M 1,25GR 01 COMP - MERIAL   </t>
  </si>
  <si>
    <t xml:space="preserve">NEXGARD M 1,25GR 03 COMP - MERIAL   </t>
  </si>
  <si>
    <t xml:space="preserve">NEXGARD G 3,0GR 01 COMP - MERIAL   </t>
  </si>
  <si>
    <t xml:space="preserve">NEXGARD GG 6,0GR 01 COMP - MERIAL   </t>
  </si>
  <si>
    <t xml:space="preserve">QUETIPIN 25mg Com. Rev. 3bl. X 10   </t>
  </si>
  <si>
    <t>Cristalia</t>
  </si>
  <si>
    <t>Inclusão Quetipin</t>
  </si>
  <si>
    <t xml:space="preserve">QUETIPIN 100mg Com. Rev. 3bl. X 10   </t>
  </si>
  <si>
    <t xml:space="preserve">QUETIPIN 200mg Com. Rev. 3bl. X 10   </t>
  </si>
  <si>
    <t>SUCRAFILM 2G 10ML 20 FLAC</t>
  </si>
  <si>
    <t xml:space="preserve">EMS </t>
  </si>
  <si>
    <t>SUCRAFILM</t>
  </si>
  <si>
    <t>SUCRAFILM 1G 5BLT 6 COMP REV</t>
  </si>
  <si>
    <t>ARTEMIDIS 0.035MG+2MG 35 CPRS</t>
  </si>
  <si>
    <t>ARTEMIDIS</t>
  </si>
  <si>
    <t>Desconto Kit</t>
  </si>
  <si>
    <t>3 unidades = 30%</t>
  </si>
  <si>
    <t>VAZY 10MG 30 CPRS</t>
  </si>
  <si>
    <t>VAZY NEW</t>
  </si>
  <si>
    <t>VAZY L2P1</t>
  </si>
  <si>
    <t>VAZY 15MG 30 CPRS</t>
  </si>
  <si>
    <t>ESCILEX 10MG 30 CPRS</t>
  </si>
  <si>
    <t>ESCILEX VIVA O HOJE</t>
  </si>
  <si>
    <t>ESCILEX</t>
  </si>
  <si>
    <t>Escilex Viva o Hoje2Cpa</t>
  </si>
  <si>
    <t>ESCILEX NEW</t>
  </si>
  <si>
    <t>ESCILEX 20MG 30 CPRS</t>
  </si>
  <si>
    <t>Bupium XL + ESCILEX</t>
  </si>
  <si>
    <t>BRASART 80MG 30 CPRS</t>
  </si>
  <si>
    <t>BRASART</t>
  </si>
  <si>
    <t>Desconto por Qtde</t>
  </si>
  <si>
    <t>1 e 2 = 25%, 3 = 30%</t>
  </si>
  <si>
    <t>BRASART 160MG 30 CPRS</t>
  </si>
  <si>
    <t>BRASART 320MG 30 CPRS</t>
  </si>
  <si>
    <t>BRASART HCT 80/12,5 MG 30 CPRS</t>
  </si>
  <si>
    <t>BRASART HCT</t>
  </si>
  <si>
    <t>1 e 2 = 22%, 3 = 30%</t>
  </si>
  <si>
    <t>BRASART HCT 160/12,5MG 30 CPRS</t>
  </si>
  <si>
    <t>BRASART HCT 160/25 MG 30 CPRS</t>
  </si>
  <si>
    <t>BRASART HCT 320/25 MG 30 CPRS</t>
  </si>
  <si>
    <t>ESOMEX 20MG 28 CPRS</t>
  </si>
  <si>
    <t>ESOMEX</t>
  </si>
  <si>
    <t>ESOMEX 40MG 28 CPRS</t>
  </si>
  <si>
    <t>DALYNE 3MG+0.03MG 21 CPRS</t>
  </si>
  <si>
    <t>DALYNE</t>
  </si>
  <si>
    <t>NEW DALYNE</t>
  </si>
  <si>
    <t>NEW DALYNE1</t>
  </si>
  <si>
    <t>BRASART HCT 320+12,5MG 30 CPRS</t>
  </si>
  <si>
    <t>ESCILEX 10MG 60 CPRS</t>
  </si>
  <si>
    <t>BRASART BCC 320MG+5MG 60 CPRS</t>
  </si>
  <si>
    <t>BRASART BCC</t>
  </si>
  <si>
    <t>BRASART BCC 160MG+5MG 30 CPRS</t>
  </si>
  <si>
    <t>BRASART BCC 320MG+5MG 30 CPRS</t>
  </si>
  <si>
    <t>BRASART BCC 320MG+10MG 30 CPRS</t>
  </si>
  <si>
    <t>CYMBI 30MG 30 CPRS</t>
  </si>
  <si>
    <t>CYMBI</t>
  </si>
  <si>
    <t>CYMBI NEW</t>
  </si>
  <si>
    <t>CYMBI 60MG 30 CPRS</t>
  </si>
  <si>
    <t>PATZ SL B1 5MG 30 CPRS</t>
  </si>
  <si>
    <t>DURMA BEM - PATZ</t>
  </si>
  <si>
    <t>98% em 1 unidade com cupom</t>
  </si>
  <si>
    <t>RISEDROSS 35MG 12 CPRS</t>
  </si>
  <si>
    <t>RISEDROSS</t>
  </si>
  <si>
    <t>Desconto Progressivo</t>
  </si>
  <si>
    <t>Primeira caixa 30%, segunda em diante 35%</t>
  </si>
  <si>
    <t>RISEDROSS NEW</t>
  </si>
  <si>
    <t>ESCILEX 15MG 30 CPRS</t>
  </si>
  <si>
    <t>DALYNE 3MG 63 CPRS</t>
  </si>
  <si>
    <t>BRASART BCC 160+5MG 60 CPRS</t>
  </si>
  <si>
    <t>NIKI 3MG+0,02MG 24 CPRS</t>
  </si>
  <si>
    <t>NIKI</t>
  </si>
  <si>
    <t>NEW NIKI</t>
  </si>
  <si>
    <t>NEW NIKI1</t>
  </si>
  <si>
    <t>NIKI 3MG+0,02MG 72 CPRS</t>
  </si>
  <si>
    <t>CONDRES</t>
  </si>
  <si>
    <t>Preço sugerido</t>
  </si>
  <si>
    <t>CONDRES COLAGENO . 60 CAPS</t>
  </si>
  <si>
    <t>NIKI 3MG+0,02MG 24+4 CPRS</t>
  </si>
  <si>
    <t>CYMBI 60MG 60 CAPS</t>
  </si>
  <si>
    <t>CYMBI 30MG 60 CAPS</t>
  </si>
  <si>
    <t>IMENSE 100MG 30 CPRS</t>
  </si>
  <si>
    <t>IMENSE NEW</t>
  </si>
  <si>
    <t>Primeira caixa 40%, segunda em diante 20%</t>
  </si>
  <si>
    <t>IMENSE 50MG 30 CPRS</t>
  </si>
  <si>
    <t>BRASART HCT 160/12,5 MG 90 CPRS</t>
  </si>
  <si>
    <t>RISEDROSS 150MG 1 COMP REV</t>
  </si>
  <si>
    <t>RISEDROSS 150</t>
  </si>
  <si>
    <t>PATZ</t>
  </si>
  <si>
    <t>IMENSE 50MG 60 CPRS</t>
  </si>
  <si>
    <t>IMENSE 100MG 60 CPRS</t>
  </si>
  <si>
    <t>BUPIUM XL 150MG 60 COMP</t>
  </si>
  <si>
    <t>BUPIUM XL 300MG 60 COMP</t>
  </si>
  <si>
    <t>CONDRES ULTRA</t>
  </si>
  <si>
    <t>CONDRES ULTRA . 60 CAPS</t>
  </si>
  <si>
    <t>GAUDY 8MG 28 CAPS</t>
  </si>
  <si>
    <t>GAUDY</t>
  </si>
  <si>
    <t>GAUDY 16MG 28 CAPS</t>
  </si>
  <si>
    <t>GAUDY 24MG 28 CAPS</t>
  </si>
  <si>
    <t>CONDRES COLAGENO . 90 CAPS</t>
  </si>
  <si>
    <t>PATZ SL B1 5MG 20 CPRS</t>
  </si>
  <si>
    <t>DRENATAN</t>
  </si>
  <si>
    <t>1 = 20%, 2 ou mais = 35%</t>
  </si>
  <si>
    <t xml:space="preserve">GLAMIGAN 0,3MG/ML   </t>
  </si>
  <si>
    <t>GLAMIGAN</t>
  </si>
  <si>
    <t>1 = 20%, 2 e 3 = 40%</t>
  </si>
  <si>
    <t>TRAVAMED</t>
  </si>
  <si>
    <t>1 = 36%, 2 e 3 = 40%</t>
  </si>
  <si>
    <t xml:space="preserve">DORZAL MT SOL OFT   </t>
  </si>
  <si>
    <t>DORZAL MT</t>
  </si>
  <si>
    <t>1 = 25%, 2 e 3 = 35%</t>
  </si>
  <si>
    <t xml:space="preserve">ADAPTIS FRESH   </t>
  </si>
  <si>
    <t>ADAPTIS FRESH</t>
  </si>
  <si>
    <t>1 = 10%, 2 ou mais = 20%</t>
  </si>
  <si>
    <t xml:space="preserve">ADAPTIS 1% SOL OFTÁLMICA   </t>
  </si>
  <si>
    <t>ADAPTIS 1%</t>
  </si>
  <si>
    <t>1= 10%, 2 ou mais= 20%</t>
  </si>
  <si>
    <t xml:space="preserve">VIELUT 10   </t>
  </si>
  <si>
    <t>VIELUT</t>
  </si>
  <si>
    <t>1 = 10%, 2 = 20% e 3 = 30%</t>
  </si>
  <si>
    <t xml:space="preserve">LATONAN 0,05+5MG/ML SOL OFT   </t>
  </si>
  <si>
    <t>LATONAN</t>
  </si>
  <si>
    <t>1 = 25%, 2 e 3 = 40%</t>
  </si>
  <si>
    <t xml:space="preserve">DORZAL 20MG/ML SOL.OFT   </t>
  </si>
  <si>
    <t>DORZAL</t>
  </si>
  <si>
    <t>1 = 20%, 2 e 3 = 25%</t>
  </si>
  <si>
    <t>ESOMEX 40MG 56 CPRS</t>
  </si>
  <si>
    <t>ESOMEX 56CPRS</t>
  </si>
  <si>
    <t>UNICA SENSITIVE . . .</t>
  </si>
  <si>
    <t>UNICA</t>
  </si>
  <si>
    <t>ADAPTIS FRESH SOL OFT 0,4% 1 10 ML</t>
  </si>
  <si>
    <t>VIELUT 2 X 15 CPRS</t>
  </si>
  <si>
    <t>ADAPTIS SOL OFTALMICA 1% 1 10 ML</t>
  </si>
  <si>
    <t xml:space="preserve">IXIUM 5% CREME C/12   </t>
  </si>
  <si>
    <t>FARMOQUIMICA</t>
  </si>
  <si>
    <t>IXIUM 001 PROGESS</t>
  </si>
  <si>
    <t>12 Unidades - mensal</t>
  </si>
  <si>
    <t xml:space="preserve">Desconto padrão 45% </t>
  </si>
  <si>
    <t xml:space="preserve">DOLAMIN FLEX CPR BL C/12   </t>
  </si>
  <si>
    <t>DOLAMIN FLEX</t>
  </si>
  <si>
    <t>3 unidades - mensal</t>
  </si>
  <si>
    <t>Desconto padrão 20%</t>
  </si>
  <si>
    <t>Eximia Fortalize KERA D  30 COMP</t>
  </si>
  <si>
    <t>Eximia Fortalize KERA D</t>
  </si>
  <si>
    <t>LIPIBLOCK 120MG 42 CPS</t>
  </si>
  <si>
    <t>GERMED</t>
  </si>
  <si>
    <t>SIGA</t>
  </si>
  <si>
    <t>LIPIBLOCK 120MG 84 CPS</t>
  </si>
  <si>
    <t>SIGRAN 10MG 30 CPS</t>
  </si>
  <si>
    <t>SIGRAN</t>
  </si>
  <si>
    <t>SIGRAN 15MG 30 CPS</t>
  </si>
  <si>
    <t>LIPIBLOCK 120MG 60 CPS</t>
  </si>
  <si>
    <t>20% flat e 32% a cada 2 unidades</t>
  </si>
  <si>
    <t>CREME DENTAL SENSODYNE ORIGINAL 90G 60 CX</t>
  </si>
  <si>
    <t>GSK</t>
  </si>
  <si>
    <t>CAMPANHA INICIAL</t>
  </si>
  <si>
    <t>15 unidades - mensal</t>
  </si>
  <si>
    <t xml:space="preserve">Desconto de 50% </t>
  </si>
  <si>
    <t>COREGA ULTRA CREME SEM SABOR 40G 48 CX</t>
  </si>
  <si>
    <t>COREGA ULTRA PO 22G 36 CX</t>
  </si>
  <si>
    <t>COREGA ULTRA PO 50G 36 CX</t>
  </si>
  <si>
    <t>SAL DE FRUTA ENO TRADICIONALFRACAO 2 ENV ENVELOPES 2 FRACAO</t>
  </si>
  <si>
    <t>SAL DE FRUTA ENO LARANJAFRACAO 2 ENVELOP ENVELOPES 2 FRACAO</t>
  </si>
  <si>
    <t>SAL DE FRUTA ENO GUARANAFRACAO 2 ENVELOP ENVELOPE 2 FRACAO</t>
  </si>
  <si>
    <t>SAL DE FRUTA ENO GUARANA 100G 36 FRASCO</t>
  </si>
  <si>
    <t>SONRIDOR CAF FRACAO COMPRIMIDO . FRACAO</t>
  </si>
  <si>
    <t>SONRIDOR CAF COMPRIMIDO  FRACAO</t>
  </si>
  <si>
    <t>CREME DENTAL SENSODYNE PRO ESMALTE 50G 60 CX</t>
  </si>
  <si>
    <t>SAL DE FRUTA ENO LIMAO 100G 36 FRASCO</t>
  </si>
  <si>
    <t>SAL DE FRUTA ENO LIMAOFRACAO 2 ENVELOPES ENVELOPES 2 FRACAO</t>
  </si>
  <si>
    <t>RESPIRE MELHOR GRANDE PELE NORMAL 10 TIRAS 24 TIRAS</t>
  </si>
  <si>
    <t>CREME DENTAL SENSODYNE BRANQ EXTRA FRES 90G 60 CX</t>
  </si>
  <si>
    <t>SAL DE FRUTA ENO ABACAXI ENVELOPES 2 FRACAO</t>
  </si>
  <si>
    <t>RESPIRE MELHOR PELE NORMAL 30 TIRAS 24 TIRAS</t>
  </si>
  <si>
    <t>CREME DENTAL SENSODYNE REPAIR  PROTECT 100G 12 CX</t>
  </si>
  <si>
    <t>COREGA ULTRA CREME 68G 24 CX</t>
  </si>
  <si>
    <t>COREGA TABS 4X6 6 COMP 4 CX</t>
  </si>
  <si>
    <t>COREGA ULTRA CREME 19G 96 CX</t>
  </si>
  <si>
    <t>CREME DENTAL PARODONTAX FLUOR 50G 12 50G</t>
  </si>
  <si>
    <t>CREME DENTAL PARODONTAX ORIGINAL 50G 12 50G</t>
  </si>
  <si>
    <t>CREME DENTAL  PARODONTAX FLUOR 90G 12 90G</t>
  </si>
  <si>
    <t>CREME DENTAL SENSODYNE EXTRA FRESH 90G 60 CX</t>
  </si>
  <si>
    <t>CREME DENTAL SENSODYNE ALIVIO RAPIDO 50g . .</t>
  </si>
  <si>
    <t>CREME DENTAL SENSODYNE ALIVIO RAPIDO 90g . .</t>
  </si>
  <si>
    <t>CREME DENTAL SENSODYNE REPAIR  PROTECT B . . .</t>
  </si>
  <si>
    <t>COREGA PO LC 50G 6 CX</t>
  </si>
  <si>
    <t>COREGA TABS BRANQUEADOR DISPLAY 10X6 6 COMP 12 CX</t>
  </si>
  <si>
    <t>CREME DENTAL  PARODONTAX BRANQUEADOR 50G 12 50G</t>
  </si>
  <si>
    <t>ENO TABS FRASCO 48S 6 FRACAO</t>
  </si>
  <si>
    <t>CREME DENTAL SENSODYNE TRUE WHITE . . .</t>
  </si>
  <si>
    <t>ESCOVA DENTAL SENSODYNE GENTLE . . .</t>
  </si>
  <si>
    <t>ESCOVA DENTAL SENSODYNE TRUE WHITE . . .</t>
  </si>
  <si>
    <t>Escova Dental Sensodyne Multiproteção 12  EMBALAGEM</t>
  </si>
  <si>
    <t>SENSODYNE MW EXT FRESH 500ML 12 500ml EMBALAGEM</t>
  </si>
  <si>
    <t>SENSODYNE MW COOLMINT 250ML 24 250ml EMBALAGEM</t>
  </si>
  <si>
    <t>SENSODYNE MW COOLMINT 500ML 12 500ml EMBALAGEM</t>
  </si>
  <si>
    <t>SAL DE FRUTA ENO LARANJA 100G 36 FRASCO</t>
  </si>
  <si>
    <t>EMULSAO SCOTT MORANGO 200ML 24 FRASCO</t>
  </si>
  <si>
    <t>ESCOVA DENTAL SENSODYNE REPAIR e PROTECT 12 500ml EMBALAGEM</t>
  </si>
  <si>
    <t>CREME DENTAL SENSODYNE LIMPEZA PROFUNDA 60 90g EMBALAGEM</t>
  </si>
  <si>
    <t>ESCOVA DENTAL SENSODYNE LIMPEZA PROFUNDA 12  EMBALAGEM</t>
  </si>
  <si>
    <t xml:space="preserve">SENSODYNE SENSIBI e GENGIVAS WHITENIN   </t>
  </si>
  <si>
    <t xml:space="preserve">CD SENSODYNE SENSIBILIDADE e GENGIVAS   </t>
  </si>
  <si>
    <t xml:space="preserve">SENSODYNE ED SENSIBILIDADE e GENGIVAS   </t>
  </si>
  <si>
    <t>SONRISAL TRADICIONAL 5 X 2S 48 COMP</t>
  </si>
  <si>
    <t>SONRISAL TRADICIONAL 30X2 2 FRACAO</t>
  </si>
  <si>
    <t xml:space="preserve">CATAFLAM   AEROSOL 60 G </t>
  </si>
  <si>
    <t>CATAFLAM 60GR 1 AEROSOL</t>
  </si>
  <si>
    <t xml:space="preserve">CATAFLAMPRO AEROSSOL 60G  </t>
  </si>
  <si>
    <t xml:space="preserve">CATAFLAM   EMULGEL 30 G </t>
  </si>
  <si>
    <t xml:space="preserve">CATAFLAMPRO EMULGEL 30G  </t>
  </si>
  <si>
    <t xml:space="preserve">CATAFLAM   EMULGEL 60 G </t>
  </si>
  <si>
    <t xml:space="preserve">CATAFLAMPRO EMULGEL 60G  </t>
  </si>
  <si>
    <t>CATAFLAM 11.6MG/G 150 G EMULGEL</t>
  </si>
  <si>
    <t xml:space="preserve">CATAFLAMPRO EMULGEL 150G  </t>
  </si>
  <si>
    <t xml:space="preserve">CATAFLAM SPORT ICE 120G  </t>
  </si>
  <si>
    <t xml:space="preserve">CATAFLAMPRO XT EMULGEL 50G  </t>
  </si>
  <si>
    <t>CATAFLAMPRO XT 2% 232MG/G 1 GEL</t>
  </si>
  <si>
    <t xml:space="preserve">CATAFLAMPRO XT EMULGEL 100G  </t>
  </si>
  <si>
    <t xml:space="preserve">DIGEDRAT 200 mg emb. c/ 20   </t>
  </si>
  <si>
    <t>DIGEDRAT - Padrão</t>
  </si>
  <si>
    <t>DIGEDRAT 200MG 20 CPR</t>
  </si>
  <si>
    <t xml:space="preserve">DIGEDRAT 200 mg emb. c/ 30   </t>
  </si>
  <si>
    <t>Desconto de 45%</t>
  </si>
  <si>
    <t>Desconto de 45% a partir da segunda caixa / primeira caixa não tem desconto</t>
  </si>
  <si>
    <t xml:space="preserve">DIGEDRAT 200 mg emb. c/ 60   </t>
  </si>
  <si>
    <t>Desconto de 45% a partir da primeira caixa</t>
  </si>
  <si>
    <t xml:space="preserve">COLFLEX BIO 40 mg emb. c/ 30   </t>
  </si>
  <si>
    <t>COLFLEX BIO - Padrão</t>
  </si>
  <si>
    <t>Preço Ponta Sugerido</t>
  </si>
  <si>
    <t>Por dentro do PBM deve ser transacionado com o preço sugerido, caso PDV cadastre um valor maior que o sugerido, o sistema irá travar e o que passar irá virar uma porcentagem de desconto que a rede assumirá</t>
  </si>
  <si>
    <t xml:space="preserve">COLFLEX BIO 40 mg - emb. c/ 60   </t>
  </si>
  <si>
    <t xml:space="preserve">COLFLEX COMPLET 30 CPR FR   </t>
  </si>
  <si>
    <t>COLFLEX COMPLET</t>
  </si>
  <si>
    <t xml:space="preserve">COLFLEX COMPLET 60 CPR FR   </t>
  </si>
  <si>
    <t xml:space="preserve">COLFLEX TRIO Display 30 sachês   </t>
  </si>
  <si>
    <t>COLFLEX TRIO</t>
  </si>
  <si>
    <t>Lune Início de tratamento</t>
  </si>
  <si>
    <t>1 caixa 0% de desconto/ 2 caixas 50% de desconto - formato Oneshot, compra com desconto nas 2 unidades, na mesma transação e apenas 1 vez por CPF</t>
  </si>
  <si>
    <t>LUNE 10MG B1 CT STR 20 CPRV</t>
  </si>
  <si>
    <t>LUNE 10MG B1 CT STR 30 CPRV</t>
  </si>
  <si>
    <t xml:space="preserve">COLFLEX HMB MUSCULAR POTE 381G   </t>
  </si>
  <si>
    <t>COLFLEX MUSCULAR</t>
  </si>
  <si>
    <t>ZYPREXA 5 MG 1 CX 28 Comps</t>
  </si>
  <si>
    <t>LILLY</t>
  </si>
  <si>
    <t>Zyprexa C1</t>
  </si>
  <si>
    <t>Desconto de 65,56% para todas as UFs exceto RJ e MG que pratica o desconto de 63,50%</t>
  </si>
  <si>
    <t>Zyprexa Tier Único - Tier 3</t>
  </si>
  <si>
    <t>ZYPREXA 10 MG 1 CX 28 Comps</t>
  </si>
  <si>
    <t>Zyprexa B2</t>
  </si>
  <si>
    <t>2/mês</t>
  </si>
  <si>
    <t>ZYPREXA 2.5 MG 1 CX 14 Comps</t>
  </si>
  <si>
    <t>32/mês</t>
  </si>
  <si>
    <t>ZYPREXA 2.5 MG 1 CX 28 Comps</t>
  </si>
  <si>
    <t>Zyprexa B1</t>
  </si>
  <si>
    <t>16/mês</t>
  </si>
  <si>
    <t>Zyprexa C2</t>
  </si>
  <si>
    <t>ZYPREXA ZYDIS 5 MG 1 CX 28 Comps</t>
  </si>
  <si>
    <t>Zyprexa A2</t>
  </si>
  <si>
    <t>Zyprexa E</t>
  </si>
  <si>
    <t>ZYPREXA ZYDIS 10 MG 1 CX 28 Comps</t>
  </si>
  <si>
    <t>Zyprexa D</t>
  </si>
  <si>
    <t>Zyprexa Zydis 10 MG_excessao</t>
  </si>
  <si>
    <t>CIALIS DIARIO 5 MG 28 Comps</t>
  </si>
  <si>
    <t>CIALIS C2</t>
  </si>
  <si>
    <t>Cialis Repescagem C1</t>
  </si>
  <si>
    <t>Cialis Repescagem E</t>
  </si>
  <si>
    <t>Cialis 2017 (tier 5)</t>
  </si>
  <si>
    <t>CIALIS DIARIO 5 MG 30 Comps</t>
  </si>
  <si>
    <t>CIALIS A1</t>
  </si>
  <si>
    <t>CIALIS A2</t>
  </si>
  <si>
    <t>CIALIS B1</t>
  </si>
  <si>
    <t>CIALIS B2</t>
  </si>
  <si>
    <t>CIALIS C1</t>
  </si>
  <si>
    <t>CIALIS D</t>
  </si>
  <si>
    <t>Cialis 2015 A1</t>
  </si>
  <si>
    <t>Cialis 2015 A2</t>
  </si>
  <si>
    <t>Cialis 2015 B1</t>
  </si>
  <si>
    <t>Cialis 2015 B2</t>
  </si>
  <si>
    <t>Cialis 2015 C1</t>
  </si>
  <si>
    <t>Cialis 2015 C2</t>
  </si>
  <si>
    <t>Cialis 2015 D</t>
  </si>
  <si>
    <t>CIALIS 2016 A1</t>
  </si>
  <si>
    <t>CIALIS 2016 A2</t>
  </si>
  <si>
    <t>CIALIS 2016 B1</t>
  </si>
  <si>
    <t>CIALIS 2016 B2</t>
  </si>
  <si>
    <t>CIALIS 2016 C1</t>
  </si>
  <si>
    <t>CIALIS 2016 C2</t>
  </si>
  <si>
    <t>CIALIS 2016 D</t>
  </si>
  <si>
    <t>Cialis Repescagem A1</t>
  </si>
  <si>
    <t>Cialis Repescagem A2</t>
  </si>
  <si>
    <t>Cialis Repescagem B1</t>
  </si>
  <si>
    <t>Cialis Repescagem B2</t>
  </si>
  <si>
    <t>Cialis Repescagem C2</t>
  </si>
  <si>
    <t>Cialis Repescagem D</t>
  </si>
  <si>
    <t>Cialis Diário 5mg_ Exceção_15.08.19</t>
  </si>
  <si>
    <t>ZYPREXA 2.5 MG 1 CX 30 Comps</t>
  </si>
  <si>
    <t>Zyprexa A1</t>
  </si>
  <si>
    <t>ZYPREXA 5 MG 1 CX 30 Comps</t>
  </si>
  <si>
    <t>ZYPREXA 10 MG 1 CX 30 Comps</t>
  </si>
  <si>
    <t>ZYPREXA_EXCEÇÃO_11.01.18</t>
  </si>
  <si>
    <t>ZYPREXA_EXCEÇÃO_27.02.18</t>
  </si>
  <si>
    <t>ZYPREXA_EXCEÇÃO_22.03.18</t>
  </si>
  <si>
    <t>FORTEO 2.4 ML Caneta Inj.Desc Cartucho</t>
  </si>
  <si>
    <t>FORTEO 2016 A1</t>
  </si>
  <si>
    <t>Desconto + Bonificação</t>
  </si>
  <si>
    <t>26 unidades por CPF</t>
  </si>
  <si>
    <t>Compre 1 com desconto de 22% ou 34% (questionário socioeconômico) + 2 Bonificadas</t>
  </si>
  <si>
    <t>FORTEO 2016 A2</t>
  </si>
  <si>
    <t>FORTEO 2016 B1</t>
  </si>
  <si>
    <t>FORTEO 2016 B2</t>
  </si>
  <si>
    <t>FORTEO 2016 C1</t>
  </si>
  <si>
    <t>FORTEO 2016 C2</t>
  </si>
  <si>
    <t>FORTEO 2016 D</t>
  </si>
  <si>
    <t>FORTEO 2016 E</t>
  </si>
  <si>
    <t>FORTEO 2018 A</t>
  </si>
  <si>
    <t>FORTEO 2018 B</t>
  </si>
  <si>
    <t>Forteo Tier Unico</t>
  </si>
  <si>
    <t>Compre 1 com desconto de 30% + 2 bonificadas (regra para as 6 primeira unidades) da 7ª em diante desconto é flat de 30% por unidades)</t>
  </si>
  <si>
    <t>EMGALITY 1 ML CANETA INJ. DESC CARTUCHO</t>
  </si>
  <si>
    <t>EMGALITY</t>
  </si>
  <si>
    <t>Compre 3 pague 1 (duas unidades com 99,99% de desconto e uma preço cheio)</t>
  </si>
  <si>
    <t>TEGRETOL CR 200 MG 20 CPR</t>
  </si>
  <si>
    <t>TEGRETOL CR PADRAO</t>
  </si>
  <si>
    <t>18</t>
  </si>
  <si>
    <t>19,7% em 1 ou 2 unidades, 34,7% kit 3 unidades</t>
  </si>
  <si>
    <t>TEGRETOL CR 400 MG 20 CPR</t>
  </si>
  <si>
    <t>TRILEPTAL 300 MG 20 CPR</t>
  </si>
  <si>
    <t>TRILEPTAL PADRAO 2</t>
  </si>
  <si>
    <t>9</t>
  </si>
  <si>
    <t>Até 2 unidades 30%, a partir de 3, 35%</t>
  </si>
  <si>
    <t>TRILEPTAL 600 MG 20 CPR</t>
  </si>
  <si>
    <t>CORACOES DO BRASIL - DIOVAN</t>
  </si>
  <si>
    <t>21% em 1 ou 2 unidades, 42% kit 3 unidades</t>
  </si>
  <si>
    <t>DIOVAN - DESC 70 - ACATHA 2</t>
  </si>
  <si>
    <t>1 ou 2 unidades = 21%, 3 unidades (KIT) = 42%</t>
  </si>
  <si>
    <t>DIOVAN - SUCESSO META PA</t>
  </si>
  <si>
    <t>DIOVAN FAMILIA - DESC PROGR</t>
  </si>
  <si>
    <t>RESCUE_DV.6070</t>
  </si>
  <si>
    <t>6</t>
  </si>
  <si>
    <t>RESCUE_DV.70</t>
  </si>
  <si>
    <t>DIOVAN FAMILIA - DESC PROGR Fix</t>
  </si>
  <si>
    <t>até 2 unidades 21%, a partir de 3, 42%</t>
  </si>
  <si>
    <t>CORACOES BRASIL Fix</t>
  </si>
  <si>
    <t>DIOVAN ACATHA 2 Fix</t>
  </si>
  <si>
    <t>SUCESSO NA META Fix</t>
  </si>
  <si>
    <t>DIOVAN - SUCESSO META PA 2</t>
  </si>
  <si>
    <t>DIOVAN DESC FEV-09</t>
  </si>
  <si>
    <t>DIOVAN DESC MAR 09</t>
  </si>
  <si>
    <t>DIOVAN TRIPLO MAI/2009</t>
  </si>
  <si>
    <t>DIOVAN PADRAO FEV/2010</t>
  </si>
  <si>
    <t>DIOVAN TRIPLO FEV/2010</t>
  </si>
  <si>
    <t>DIOVAN PADRAO MAR/2011</t>
  </si>
  <si>
    <t>RESC_DV_AMLO</t>
  </si>
  <si>
    <t>RESC_DV_12CX</t>
  </si>
  <si>
    <t>DIOVAN PADRÃO MAI/2013</t>
  </si>
  <si>
    <t>FEMARA 2,5 MG 28 CP</t>
  </si>
  <si>
    <t>FEMARA PADRÃO OUT/14</t>
  </si>
  <si>
    <t>3</t>
  </si>
  <si>
    <t>FORADIL . 60 CPS</t>
  </si>
  <si>
    <t>FORADIL DESC PROG</t>
  </si>
  <si>
    <t>EXELON 2 MG 120 ML SOL ORAL</t>
  </si>
  <si>
    <t>EXELON PADRAO 3</t>
  </si>
  <si>
    <t>EXELON DESC PROGR 5</t>
  </si>
  <si>
    <t>EXELON AGO/2009</t>
  </si>
  <si>
    <t>EXELON SET/2010</t>
  </si>
  <si>
    <t>EXELON ABR/2013</t>
  </si>
  <si>
    <t>EXELON PADRÃO OUT/13</t>
  </si>
  <si>
    <t>DIOVAN HCT 160/12.5MG 28 CP</t>
  </si>
  <si>
    <t>RESCUE_DV.60</t>
  </si>
  <si>
    <t>RESCUE_DV.ESP1</t>
  </si>
  <si>
    <t>RESCUE_DV.61</t>
  </si>
  <si>
    <t>RESCUE_DIOVAN - DESC 70 - ACATHA 2</t>
  </si>
  <si>
    <t>até 2 unidades 49%, a partir de 3, 64%</t>
  </si>
  <si>
    <t>TEGRETOL CR 200 MG 60 CPR</t>
  </si>
  <si>
    <t>MIFLONIDE 200 MCG 60 CPS</t>
  </si>
  <si>
    <t>MIFLONIDE PADRÃO FEV/2013</t>
  </si>
  <si>
    <t>Padrão</t>
  </si>
  <si>
    <t>MIFLONIDE 400 MCG 60 CPS</t>
  </si>
  <si>
    <t>MIFLONIDE DESC PROG</t>
  </si>
  <si>
    <t>MIFLONIDE AGOSTO 2011</t>
  </si>
  <si>
    <t>TRILEPTAL 300 MG 60 CPR</t>
  </si>
  <si>
    <t>Até 2 unidades 40%, a partir de 3, 45%</t>
  </si>
  <si>
    <t>VMS COMUNIDADE - TRILEPTAL</t>
  </si>
  <si>
    <t>FORASEQ 200 MCG 60+60 CPS</t>
  </si>
  <si>
    <t>FORASEQ PADRÃO JAN/2015</t>
  </si>
  <si>
    <t>FORASEQ 400 MCG 60+60 CPS</t>
  </si>
  <si>
    <t>RESCUE_FQ</t>
  </si>
  <si>
    <t>TEGRETOL CR 400 MG 60 CPR</t>
  </si>
  <si>
    <t>Rescue Tegretol 2019</t>
  </si>
  <si>
    <t>até 2 unidades 19,7%, kit 34,7%</t>
  </si>
  <si>
    <t>DIOVAN 80 MG 28 CP</t>
  </si>
  <si>
    <t>24% em 1 ou 2 unidades, 47% kit 3 unidades</t>
  </si>
  <si>
    <t>1 ou 2 unidades = 24%, 3 unidades (KIT) = 47%</t>
  </si>
  <si>
    <t>até 2 unidades 24%, a partir de 3, 47%</t>
  </si>
  <si>
    <t>RESC_CALL_DIOVAN</t>
  </si>
  <si>
    <t>até 2 unidades 50,92%, a partir de 3, 66,87%</t>
  </si>
  <si>
    <t>RESCUE DIOVAN MONO JUNHO 2016</t>
  </si>
  <si>
    <t>até 2 unidades 25,6, a partir de 3, 49,96%</t>
  </si>
  <si>
    <t>DIOSEVEN 160mg 28 CPS</t>
  </si>
  <si>
    <t>DIOVAN 160 MG 28 CP</t>
  </si>
  <si>
    <t>RESC_SUCESSO_M2</t>
  </si>
  <si>
    <t>RESC_DV_18CX</t>
  </si>
  <si>
    <t>até 2 unidades 57,4%, a partir de 3, 67,54%</t>
  </si>
  <si>
    <t>RITALINA LA 20 MG 30 CPS</t>
  </si>
  <si>
    <t>RITALINA LA PADRAO MAIO2010</t>
  </si>
  <si>
    <t>5</t>
  </si>
  <si>
    <t>INCLUSAO RITALINA MAIO2010</t>
  </si>
  <si>
    <t>RITALINA LA PADRAO SET2012</t>
  </si>
  <si>
    <t>RITALINA LA 30 MG 30 CPS</t>
  </si>
  <si>
    <t>VMS COMUNIDADE - RITALINA LA</t>
  </si>
  <si>
    <t>RITALINA LA 40 MG 30 CPS</t>
  </si>
  <si>
    <t>RESCUE_RITALINA LA PADRAO MAIO2010</t>
  </si>
  <si>
    <t>ate 2 unidades 26,70%, 3, 37%</t>
  </si>
  <si>
    <t>TRILEPTAL 600 MG 60 CPR</t>
  </si>
  <si>
    <t>FORADIL . 60 REFIL CPS</t>
  </si>
  <si>
    <t>EXELON 1.5 MG 28 CPS</t>
  </si>
  <si>
    <t>1 ou 2 unidades = 34,7% , 3 unidades (kit) = 50%</t>
  </si>
  <si>
    <t>ate 2 unidades 24,70%, 3, 50%</t>
  </si>
  <si>
    <t>até 2 unidades 24,7%, a partir de 3, 50%</t>
  </si>
  <si>
    <t>EXELON PRO BRAND AGOSTO 2012</t>
  </si>
  <si>
    <t>até 2 unidades 40%, a partir de 3, 50%</t>
  </si>
  <si>
    <t>EXELON 3 MG 56 CPS</t>
  </si>
  <si>
    <t>EXELON 3 MG 28 CPS</t>
  </si>
  <si>
    <t>EXELON 4.5 MG 28 CPS</t>
  </si>
  <si>
    <t>EXELON MAR/2010</t>
  </si>
  <si>
    <t>EXELON 6 MG 28 CPS</t>
  </si>
  <si>
    <t>EXELON MAR/2008</t>
  </si>
  <si>
    <t>8</t>
  </si>
  <si>
    <t>1 ou 2 unidades = 42,7%, 3 unidades (Kit) = 50%</t>
  </si>
  <si>
    <t>DIOVAN HCT 160/25 MG 28 CP</t>
  </si>
  <si>
    <t>STALEVO 50 MG 30 CPS</t>
  </si>
  <si>
    <t>STALEVO PADRAO</t>
  </si>
  <si>
    <t>STALEVO RJ PADRAO</t>
  </si>
  <si>
    <t>STALEVO PADRAO 1</t>
  </si>
  <si>
    <t>RESC_STALEVO PADRÃO 1</t>
  </si>
  <si>
    <t>STALEVO 100 MG 30 CPS</t>
  </si>
  <si>
    <t>STALEVO 150 MG 30 CPS</t>
  </si>
  <si>
    <t>EXELON 2 MG 50 ML SOL ORAL</t>
  </si>
  <si>
    <t>DIOVAN 320 MG 28 CP</t>
  </si>
  <si>
    <t>RESCUE_DIOVAN PADRÃO MAI/2013</t>
  </si>
  <si>
    <t>até 2 unidades 50,9%, a partir de 36,7%</t>
  </si>
  <si>
    <t>TRILEPTAL . SOL IND PEDIAT</t>
  </si>
  <si>
    <t>Até 2 unidades 25%, a partir de 3, 30%</t>
  </si>
  <si>
    <t>DIOVAN HCT 320/12.5MG 28 CP</t>
  </si>
  <si>
    <t>14,29% em 1 ou 2 unidades, 42% kit 3 unidades</t>
  </si>
  <si>
    <t>1 ou 2 unidades = 14,29%, 3 unidades (KIT) = 42%</t>
  </si>
  <si>
    <t>até 2 unidades 14,29%, a partir de 3, 42%</t>
  </si>
  <si>
    <t>DIOVAN HCT 320/25 MG 28 CP</t>
  </si>
  <si>
    <t>DIOVAN AMLO FIX 80/5 MG 28 CP</t>
  </si>
  <si>
    <t>21% em 1 ou 2 unidades, 37% kit 3 unidades</t>
  </si>
  <si>
    <t>1 ou 2 unidades = 21%, 3 unidades (KIT) = 37%</t>
  </si>
  <si>
    <t>até 2 unidades 21%, a partir de 3, 37%</t>
  </si>
  <si>
    <t>RESCUE DIOVAN AMLO FIX JUNHO 2016</t>
  </si>
  <si>
    <t>até 2 unidades 29,13 a partir de 3, 45,44%</t>
  </si>
  <si>
    <t>DIOVAN AMLO FIX 160/5 MG 28 CP</t>
  </si>
  <si>
    <t>até 2 unidades 40%, a partir de 69%</t>
  </si>
  <si>
    <t>DIOVAN AMLO FIX 160/10 MG 28 CP</t>
  </si>
  <si>
    <t>DIOVAN AMLO FIX 320/5 MG 28 CP</t>
  </si>
  <si>
    <t>DIOVAN AMLO FIX 320/10 MG 28 CP</t>
  </si>
  <si>
    <t>RESC_DV_09CX</t>
  </si>
  <si>
    <t>até 2 unidades 45,49, a partir de 3, 55%</t>
  </si>
  <si>
    <t>GALVUS 50 MG 56 CP</t>
  </si>
  <si>
    <t>GALVUS MAIO/2009</t>
  </si>
  <si>
    <t>até 2 unidades 15,51%,  a partide de 3, 32,69%</t>
  </si>
  <si>
    <t>GALVUS 50 MG 56 CPS</t>
  </si>
  <si>
    <t>GALVUS JUNHO/2011</t>
  </si>
  <si>
    <t>RESGATE.CALL GALVUS NOV/2012 (1)</t>
  </si>
  <si>
    <t>Até 2 unidades 16,47%, a partir de 3, 30,22%</t>
  </si>
  <si>
    <t>RESGATE.CALL GALVUS NOV/2012 (3)</t>
  </si>
  <si>
    <t>Até 2 unidades 27,48%, a partir de 3, 30,22%</t>
  </si>
  <si>
    <t>Campanha Piloto Galvus Jun/2017</t>
  </si>
  <si>
    <t>EXELON PATCH 4.6mg 9MG/ 5CM2 30 SIST .</t>
  </si>
  <si>
    <t>EXELON DESC PROGR 6</t>
  </si>
  <si>
    <t>VMS COMUNIDADE - EXELON PATCH</t>
  </si>
  <si>
    <t>EXELON PATCH 9.5mg 18MG/10CM2 30 SIST .</t>
  </si>
  <si>
    <t>Exelon Rescue - Problema Site VMS</t>
  </si>
  <si>
    <t>Até 2 unidades 40%, kit 50%</t>
  </si>
  <si>
    <t>EXELON PATCH 13.3mg 27MG/15CM2 30 SIST .</t>
  </si>
  <si>
    <t>16</t>
  </si>
  <si>
    <t>GALVUS MET COMBI PACK 50/500 MG 56+56 CPS</t>
  </si>
  <si>
    <t>GALVUS MET COMBI PACK 50/850 MG 56+56 CPS</t>
  </si>
  <si>
    <t>FORASEQ 200 MCG 60+60 CPS REFIL</t>
  </si>
  <si>
    <t>FORASEQ 400 MCG 60+60 CPS REFIL</t>
  </si>
  <si>
    <t>FORASEQ RESCUE SET/2017</t>
  </si>
  <si>
    <t>2</t>
  </si>
  <si>
    <t>Até 2 unidades 35%, kit 50%</t>
  </si>
  <si>
    <t>EXFORGE HCT 160/12.5/5 28 CP</t>
  </si>
  <si>
    <t>EXFORGE HCT PADRÃO MAI/2013</t>
  </si>
  <si>
    <t>até 2 unidades 22%, a partir de 3, 40%</t>
  </si>
  <si>
    <t>Campanha Rescue Exforge Jul/2017</t>
  </si>
  <si>
    <t>Até 2 unidades 29,41, a partir de 3, 44%</t>
  </si>
  <si>
    <t>EXFORGE HCT 160/25/5 28 CP</t>
  </si>
  <si>
    <t>EXFORGE HCT 160/12.5/1 28 CP</t>
  </si>
  <si>
    <t>EXFORGE HCT 160/12.5/10 28 CP</t>
  </si>
  <si>
    <t>EXFORGE HCT 160/25/10 28 CP</t>
  </si>
  <si>
    <t>EXFORGE HCT 320/25/10 28 CP</t>
  </si>
  <si>
    <t>GALVUS MET 50/500 MG 56 CP</t>
  </si>
  <si>
    <t>GALVUS MET 50/850 MG 56 CP</t>
  </si>
  <si>
    <t>Rescue Galvus Fev2019</t>
  </si>
  <si>
    <t>Até 2 unidades 34,1%, a partir de 3 , 47,5%</t>
  </si>
  <si>
    <t>GALVUS MET 50/1000 MG 56 CP</t>
  </si>
  <si>
    <t>ONBRIZE 150MCG 30 CPS</t>
  </si>
  <si>
    <t>ONBRIZE INVERNO 2012</t>
  </si>
  <si>
    <t>Até 2 undiades 3,45%, a partir de 3, 45%</t>
  </si>
  <si>
    <t>ONBRIZE 150MG 30 CPS</t>
  </si>
  <si>
    <t>ONBRIZE PILOTO RJ 2012</t>
  </si>
  <si>
    <t>Até 2 undiades 31,52%, a partir de 45%</t>
  </si>
  <si>
    <t>RESC_ONBRIZE PILOTO RJ 2012</t>
  </si>
  <si>
    <t>ONBRIZE PADRÃO JUN 2013</t>
  </si>
  <si>
    <t>até 2 unidades 20%, a partir de 3, 45%</t>
  </si>
  <si>
    <t>ONBRIZE 300MCG 30 CPS</t>
  </si>
  <si>
    <t>ONBRIZE 300MG 30 CPS</t>
  </si>
  <si>
    <t>RESC_ONBRIZE PILOTO SP 2012</t>
  </si>
  <si>
    <t>até 2 unidades 30%, a partir de 3, 45%</t>
  </si>
  <si>
    <t>RITALINA LA 10 MG 30 CPS</t>
  </si>
  <si>
    <t>ULTIBRO 110MCG+50M 30 CP+INAL.</t>
  </si>
  <si>
    <t>ULTIBRO PADRAO JUL/2016</t>
  </si>
  <si>
    <t>ULTIBRO 110MCG+50MCG 30 CP+INAL.</t>
  </si>
  <si>
    <t>Ultibro Resgate 2018 - Rescue</t>
  </si>
  <si>
    <t>SEEBRI 50 MCG 30 CS</t>
  </si>
  <si>
    <t>SEEBRI PADRÃO JUN/15</t>
  </si>
  <si>
    <t>até 2 unidades 20%, kit 35%</t>
  </si>
  <si>
    <t>Entresto 24/26MG 28 CE</t>
  </si>
  <si>
    <t>Entresto Programa Pulsar Jul/2017</t>
  </si>
  <si>
    <t>4</t>
  </si>
  <si>
    <t>até 2 unidades 32%, a partir de 3, 40%</t>
  </si>
  <si>
    <t>Entresto 49/51MG 28 CE</t>
  </si>
  <si>
    <t>Entresto 97/103MG 28 CE</t>
  </si>
  <si>
    <t>Entresto 49/51MG 60 CE</t>
  </si>
  <si>
    <t>Entresto 97/103MG 60 CE</t>
  </si>
  <si>
    <t>PASURTA 70MG 1ML PFS</t>
  </si>
  <si>
    <t>Pasurta Fev-2020</t>
  </si>
  <si>
    <t>Pasurta Welcome Kit</t>
  </si>
  <si>
    <t>kit com 3, 88%1</t>
  </si>
  <si>
    <t>PATANOL S . 2.5 ML</t>
  </si>
  <si>
    <t>PATANOL S PADRÃO ABR/2021</t>
  </si>
  <si>
    <t>até 2 unidades 20%, kit 30%</t>
  </si>
  <si>
    <t>TRAVATAN BAK-FREE . 0.5 ML</t>
  </si>
  <si>
    <t>TRAVATAN PADRÃO MAR/2013 (2)</t>
  </si>
  <si>
    <t>TRAVATAN BAK-FREE . 5 ML</t>
  </si>
  <si>
    <t>DUO-TRAVATAN BAK-FREE . 2.5 ml</t>
  </si>
  <si>
    <t>até 2 unidades 30%, a partir de 3, 40%</t>
  </si>
  <si>
    <t>TRAVATAN BAK-FREE 0.04mg 2,5 ML</t>
  </si>
  <si>
    <t>até 2 unidades 35%, a partir de 3, 45%</t>
  </si>
  <si>
    <t>DUO-TRAVATAN BAK-FREE . 5 ml</t>
  </si>
  <si>
    <t>Simbrinza - 8 ML</t>
  </si>
  <si>
    <t>SIMBRINZA MULTIPLO RX/JUL2017</t>
  </si>
  <si>
    <t>Rescue Simbrinza Jul/2018</t>
  </si>
  <si>
    <t>Simbrinza Padrão 2019</t>
  </si>
  <si>
    <t>AZORGA . 6 ML</t>
  </si>
  <si>
    <t>AZORGA PADRÃO ABR/2013</t>
  </si>
  <si>
    <t>ROSULIB 10 MG 30 CS</t>
  </si>
  <si>
    <t>ROSULIB PADRAO AGO/2012</t>
  </si>
  <si>
    <t>Até 2 unidades 68%, kit 75%</t>
  </si>
  <si>
    <t>ROSULIB 20 MG 30 CS</t>
  </si>
  <si>
    <t>PIDEZOT 10 MG 20 CP</t>
  </si>
  <si>
    <t>Pidezot Início de Tratamento</t>
  </si>
  <si>
    <t>1</t>
  </si>
  <si>
    <t>desconto flexivel, valor final R$5</t>
  </si>
  <si>
    <t>ERANZ 5 MG x 28 cprs</t>
  </si>
  <si>
    <t>PBG</t>
  </si>
  <si>
    <t>ERANZ 2016</t>
  </si>
  <si>
    <t>ERANZ 5MG 28S (READY MADE) 5MG 28S (READY MADE) CPS</t>
  </si>
  <si>
    <t>ERANZ 10 MG x 28 cprs</t>
  </si>
  <si>
    <t>ERANZ 10MG 28 COMPRIMIDOS 10MG 28 COMPRIMIDOS CPS</t>
  </si>
  <si>
    <t>Aromasin 25 mg x 30 cxa</t>
  </si>
  <si>
    <t>AROMASIN 2016</t>
  </si>
  <si>
    <t>Desconto de 60%</t>
  </si>
  <si>
    <t>Genotropin frasco-ampola 36 UI x 1 Caneta x 1</t>
  </si>
  <si>
    <t>CAMPANHA GENOTROPIN</t>
  </si>
  <si>
    <t>Campanha específica</t>
  </si>
  <si>
    <t>21</t>
  </si>
  <si>
    <t>bonificação na 4 unidade do 1 ciclo. Bonificação na 13 unidade do 2 ciclo de compras.</t>
  </si>
  <si>
    <t>Campanha Genotropin</t>
  </si>
  <si>
    <t>bonificação na 13 unidade do ciclo de compras</t>
  </si>
  <si>
    <t>ELIQUIS 2.5MG FCT 6X10 BLST 2.5MG FCT 6X10 BLST CPS</t>
  </si>
  <si>
    <t>ELIQUIS 2016</t>
  </si>
  <si>
    <t>Progressivo</t>
  </si>
  <si>
    <t>1 a 2 unidades 18%, 3 a 7 22%, a partir de 8 35%</t>
  </si>
  <si>
    <t>ELIQUIS TABLET ORAL 2.5MG x60 CPR</t>
  </si>
  <si>
    <t>Eliquis Kit</t>
  </si>
  <si>
    <t>ELIQUIS 5MG FCT 6X10 BLST BR 5MG FCT 6X10 BLST BR CPS</t>
  </si>
  <si>
    <t>ELIQUIS TABLET ORAL 5MG x60 CPR</t>
  </si>
  <si>
    <t>Eliquis 2021</t>
  </si>
  <si>
    <t>One shot</t>
  </si>
  <si>
    <t>OLMETEC 20MG 30 CPR</t>
  </si>
  <si>
    <t>OLMETEC 2016</t>
  </si>
  <si>
    <t>OLMETEC 20MG X 30  COMP 20MG X 30  COMP CPS</t>
  </si>
  <si>
    <t>OLMETEC 20mg x 30 cps</t>
  </si>
  <si>
    <t>OLMETEC 40MG 30 CPR</t>
  </si>
  <si>
    <t>OLMETEC 40MG X 30  COMP 40MG X 30  COMP CPS</t>
  </si>
  <si>
    <t>OLMETEC 40mg x 30 cps</t>
  </si>
  <si>
    <t xml:space="preserve">OLMETEC HCT 20/12,5MG  </t>
  </si>
  <si>
    <t>OLMETEC HCT 20MG/12,5MG 30 HCT 20MG/12,5MG 30 CPS</t>
  </si>
  <si>
    <t>OLMETEC HCT 20mg+12.5m x 30 cps</t>
  </si>
  <si>
    <t>OLMETEC HCT 40MG/12,5MG 30 HCT 40MG/12,5MG 30 CPS</t>
  </si>
  <si>
    <t>OLMETEC HCT 40mg+12.5m x 30 cps</t>
  </si>
  <si>
    <t xml:space="preserve">OLMETEC HCT 40/25MG  </t>
  </si>
  <si>
    <t>OLMETEC HCT 40MG/25MG 30  CO HCT 40MG/25MG 30  CO CPS</t>
  </si>
  <si>
    <t>OLMETEC HCT 40mg+25mg x 30 cps</t>
  </si>
  <si>
    <t>OLMETEC ANLO 20MG/5MG X 30CO ANLO 20MG/5MG X 30CO CPS</t>
  </si>
  <si>
    <t xml:space="preserve">OLMETEC ANLO 20MG+5MG  </t>
  </si>
  <si>
    <t>OLMETECANLO 20+5mg x30 cps revest</t>
  </si>
  <si>
    <t xml:space="preserve">OLMETEC ANLO 40+5MG  </t>
  </si>
  <si>
    <t>OLMETEC ANLO 40MG/5MG X 30CO ANLO 40MG/5MG X 30CO CPS</t>
  </si>
  <si>
    <t>OLMETECANLO 40+5mg x30 cps revest</t>
  </si>
  <si>
    <t>OLMETEC ANLO 40MG/10MG X 30C ANLO 40MG/10MG X 30C CPS</t>
  </si>
  <si>
    <t>OLMETECANLO 40+10mg x 30 cps revest</t>
  </si>
  <si>
    <t>NEBLOCK 5 MG 30 CPRS</t>
  </si>
  <si>
    <t>Torrent</t>
  </si>
  <si>
    <t>NEBLOCK</t>
  </si>
  <si>
    <t>NEBLOCK 5 MG 60 CPRS</t>
  </si>
  <si>
    <t>NEUPRO 4 mg 28 adesivos</t>
  </si>
  <si>
    <t>UCB</t>
  </si>
  <si>
    <t>NEUPRO</t>
  </si>
  <si>
    <t>10 unidades - mensal</t>
  </si>
  <si>
    <t>NEUPRO 6 mg 28 adesivos</t>
  </si>
  <si>
    <t>Desconto padrão 25%</t>
  </si>
  <si>
    <t>NEUPRO 8 mg 28 adesivos</t>
  </si>
  <si>
    <t>Desconto padrão 30%</t>
  </si>
  <si>
    <t>KEPPRA 250 60 CPR</t>
  </si>
  <si>
    <t>KEPPRA</t>
  </si>
  <si>
    <t>Desconto padrão 32%</t>
  </si>
  <si>
    <t>KEPPRA 750 30 CPR</t>
  </si>
  <si>
    <t>Desconto padrão 51%</t>
  </si>
  <si>
    <t>Keppra Exceção 12999792</t>
  </si>
  <si>
    <t>20 unidades - mensal</t>
  </si>
  <si>
    <t>KEPPRA 750 60 CPR</t>
  </si>
  <si>
    <t>KEPPRA SOL ORAL 150ml 100mg frasco</t>
  </si>
  <si>
    <t>VIMPAT 100MG 28 CPR</t>
  </si>
  <si>
    <t>VIMPAT</t>
  </si>
  <si>
    <t>Desconto padrão 35%</t>
  </si>
  <si>
    <t>VIMPAT 150MG 28 CPR</t>
  </si>
  <si>
    <t>Desconto padrão 40%</t>
  </si>
  <si>
    <t>VIMPAT 200MG 28 CPR</t>
  </si>
  <si>
    <t>Desconto padrão 45%</t>
  </si>
  <si>
    <t xml:space="preserve">ACNOVA 10 mg 30 </t>
  </si>
  <si>
    <t>UnderSkin</t>
  </si>
  <si>
    <t>ACNOVA</t>
  </si>
  <si>
    <t xml:space="preserve">ACNOVA 20 mg 30 </t>
  </si>
  <si>
    <t>RETRATAMENTO ACNOVA</t>
  </si>
  <si>
    <t>HERPSTAL 500MG 10 CPRS</t>
  </si>
  <si>
    <t>HERPSTAL</t>
  </si>
  <si>
    <t>CAPY Minoxidil 50ML 50ML 40 Frasco</t>
  </si>
  <si>
    <t>Campanha CAPY</t>
  </si>
  <si>
    <t>Desconto KIT</t>
  </si>
  <si>
    <t>Desconto de 25% a cada 2 uniaddes</t>
  </si>
  <si>
    <t>HERPSTAL 500MG 42 CPRS</t>
  </si>
  <si>
    <t xml:space="preserve">NEOSIL 50 mg 30 </t>
  </si>
  <si>
    <t>NEOSIL</t>
  </si>
  <si>
    <t xml:space="preserve">NEOSIL 50 mg 90 </t>
  </si>
  <si>
    <t>NEOSIL SHAMPOO 200ML 1 FRASCO</t>
  </si>
  <si>
    <t>NEOSIL SHAMPOO</t>
  </si>
  <si>
    <t>NEOSIL LOCAO 50ML 1 FRASCO</t>
  </si>
  <si>
    <t>NEOSIL LOÇÃO</t>
  </si>
  <si>
    <t>EFEXOR XR 37,5 X 30 XR 37,5 X 30 CPS</t>
  </si>
  <si>
    <t>EFEXOR XR 2016</t>
  </si>
  <si>
    <t>EFEXOR XR 37.5mg 30 CPS</t>
  </si>
  <si>
    <t>EFEXOR XR 2018</t>
  </si>
  <si>
    <t>EFEXOR XR 75 X 30 XR 75 X 30 CPS</t>
  </si>
  <si>
    <t>MAIS PFIZER ACIMA DE 55 ANOS</t>
  </si>
  <si>
    <t>1 a 4 34%, 5 unidade 44%, 6 a 9 34%, 10 unidade 44%</t>
  </si>
  <si>
    <t>EFEXOR XR 75MG 30 cps</t>
  </si>
  <si>
    <t>EFEXOR XR 150 X 30 XR 150 X 30 CPS</t>
  </si>
  <si>
    <t>EFEXOR XR 150mg 30 CPS</t>
  </si>
  <si>
    <t>DETRUSITOL 4MG X 30  COMP. 4MG X 30  COMP. CPS</t>
  </si>
  <si>
    <t>Detrusitol LA 4mg x 30 caps</t>
  </si>
  <si>
    <t>DETRUSITOL 2016</t>
  </si>
  <si>
    <t>XALACOM 2,5 ML 2,5 ML CPS</t>
  </si>
  <si>
    <t>XALACOM 2016</t>
  </si>
  <si>
    <t>1 unidade por 0%, 2 unidades ou mais 50%</t>
  </si>
  <si>
    <t>Xalacom 2.5 ml 1 frasco</t>
  </si>
  <si>
    <t>XALATAN 0,005% 0,005% CPS</t>
  </si>
  <si>
    <t>XALATAN 2016</t>
  </si>
  <si>
    <t>1 unidade por 0%, 2 unidades  50%</t>
  </si>
  <si>
    <t>XALATAN 2020</t>
  </si>
  <si>
    <t>XALATAN</t>
  </si>
  <si>
    <t>Carduran 4 MG 30 CPR</t>
  </si>
  <si>
    <t>CARDURAN XL 4MG X 30 COMP 4MG X 30 COMP CPS</t>
  </si>
  <si>
    <t>CARDURAN 2016</t>
  </si>
  <si>
    <t>GEODON 40MG 30 CPS</t>
  </si>
  <si>
    <t>GEODON 2016</t>
  </si>
  <si>
    <t>GEODON 40MG X 30 CAPS 40MG X 30 CAPS CPS</t>
  </si>
  <si>
    <t>GEODON 80MG 30 CPS</t>
  </si>
  <si>
    <t>GEODON 80MG X 30 CAPS 80MG X 30 CAPS CPS</t>
  </si>
  <si>
    <t>LYRICA 75MG X 28 CAPS 75MG X 28 CAPS CPS</t>
  </si>
  <si>
    <t>LYRICA 2016</t>
  </si>
  <si>
    <t>10</t>
  </si>
  <si>
    <t>LYRICA 75MG x 28 CPS</t>
  </si>
  <si>
    <t>LYRICA 150MG X 28 CAPS (C1) 150MG X 28 CAPS (C1) CPS</t>
  </si>
  <si>
    <t>LYRICA 150MG x 28 CPS</t>
  </si>
  <si>
    <t>LIPITOR 10MG X 30 COMP 10MG X 30 COMP CPS</t>
  </si>
  <si>
    <t>LIPITOR 2017</t>
  </si>
  <si>
    <t>11</t>
  </si>
  <si>
    <t>0% em 1 unidade, 30% em 2 unidades, 40% para 3 unidadades ou mais</t>
  </si>
  <si>
    <t>Lipitor 10mg x 30 Cprs</t>
  </si>
  <si>
    <t>LIPITOR 20MG X 30 COMP 20MG X 30 COMP CPS</t>
  </si>
  <si>
    <t>Lipitor 20mg x 30 Cprs</t>
  </si>
  <si>
    <t>LIPSEVEN 20mg 30 CPS</t>
  </si>
  <si>
    <t>LIPITOR 40MG X 30 COMP 40MG X 30 COMP CPS</t>
  </si>
  <si>
    <t>Lipitor 40mg x 30 Cprs</t>
  </si>
  <si>
    <t>LIPITOR 80MG X 30 COMP 80MG X 30 COMP CPS</t>
  </si>
  <si>
    <t>Lipitor 80mg x 30 Cprs</t>
  </si>
  <si>
    <t>NORVASC 05mg x 30 cps</t>
  </si>
  <si>
    <t>NORVASC 2018</t>
  </si>
  <si>
    <t>NORVASC 5MG X 30 5MG X 30 CPS</t>
  </si>
  <si>
    <t>NORVASC 10MG X 30 10MG X 30 CPS</t>
  </si>
  <si>
    <t>NORVASC 10mg x 30 comp</t>
  </si>
  <si>
    <t>NORVASC 5MG COM 3X10 BLST BR 5MG COM 3X10 BLST BR 5MG COM 3X10 BLST BR</t>
  </si>
  <si>
    <t>NORVASC 10MG TAB 3X10 BLST B 10MG TAB 3X10 BLST B 10MG TAB 3X10 BLST B</t>
  </si>
  <si>
    <t>LIPITOR  20MG X 30 COMP CPS</t>
  </si>
  <si>
    <t>LIPITOR  10MG X 30 COMP CPS</t>
  </si>
  <si>
    <t>7</t>
  </si>
  <si>
    <t>CPFS TESTE</t>
  </si>
  <si>
    <t>CARTÕES TESTE</t>
  </si>
  <si>
    <t xml:space="preserve">CUPOM TESTE </t>
  </si>
  <si>
    <t>CUPOM + CPF TESTE</t>
  </si>
  <si>
    <t>JARDIANCE 25MG 30CPR</t>
  </si>
  <si>
    <t>(Vários itens)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</si>
</sst>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d/m/yy;@"/>
    <numFmt numFmtId="165" formatCode="&quot;R$&quot;\ #,##0.00"/>
    <numFmt numFmtId="166" formatCode="&quot;R$&quot;#,##0.00;[Red]\-&quot;R$&quot;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8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2" tint="-0.499984740745262"/>
      <name val="Segoe UI"/>
      <family val="2"/>
    </font>
    <font>
      <sz val="11"/>
      <color theme="6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2E1CB6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/>
      <right style="medium">
        <color theme="2" tint="-0.749992370372631"/>
      </right>
      <top style="medium">
        <color theme="2" tint="-0.749992370372631"/>
      </top>
      <bottom/>
      <diagonal/>
    </border>
    <border>
      <left style="medium">
        <color theme="2" tint="-0.749992370372631"/>
      </left>
      <right/>
      <top/>
      <bottom/>
      <diagonal/>
    </border>
    <border>
      <left/>
      <right style="medium">
        <color theme="2" tint="-0.749992370372631"/>
      </right>
      <top/>
      <bottom/>
      <diagonal/>
    </border>
    <border>
      <left/>
      <right style="medium">
        <color theme="2" tint="-0.749992370372631"/>
      </right>
      <top/>
      <bottom style="medium">
        <color theme="2" tint="-0.74999237037263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/>
      <diagonal/>
    </border>
    <border>
      <left style="medium">
        <color theme="2" tint="-0.749992370372631"/>
      </left>
      <right style="medium">
        <color theme="2" tint="-0.749992370372631"/>
      </right>
      <top style="medium">
        <color theme="2" tint="-0.749992370372631"/>
      </top>
      <bottom/>
      <diagonal/>
    </border>
    <border>
      <left style="medium">
        <color theme="2" tint="-0.749992370372631"/>
      </left>
      <right style="medium">
        <color theme="2" tint="-0.749992370372631"/>
      </right>
      <top/>
      <bottom/>
      <diagonal/>
    </border>
    <border>
      <left style="medium">
        <color theme="2" tint="-0.749992370372631"/>
      </left>
      <right style="medium">
        <color theme="2" tint="-0.749992370372631"/>
      </right>
      <top/>
      <bottom style="medium">
        <color theme="2" tint="-0.74999237037263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/>
      <right/>
      <top style="medium">
        <color theme="2" tint="-0.749992370372631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theme="2" tint="-0.74999237037263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28">
    <xf numFmtId="0" fontId="0" fillId="0" borderId="0" xfId="0"/>
    <xf numFmtId="0" fontId="0" fillId="0" borderId="1" xfId="0" applyBorder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/>
    <xf numFmtId="0" fontId="0" fillId="0" borderId="3" xfId="0" applyBorder="1"/>
    <xf numFmtId="0" fontId="0" fillId="0" borderId="4" xfId="0" applyBorder="1"/>
    <xf numFmtId="164" fontId="0" fillId="2" borderId="0" xfId="0" applyNumberFormat="1" applyFill="1"/>
    <xf numFmtId="0" fontId="0" fillId="2" borderId="0" xfId="0" applyFill="1"/>
    <xf numFmtId="1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5" fontId="0" fillId="2" borderId="0" xfId="0" applyNumberFormat="1" applyFill="1"/>
    <xf numFmtId="164" fontId="0" fillId="0" borderId="10" xfId="0" applyNumberFormat="1" applyBorder="1"/>
    <xf numFmtId="0" fontId="0" fillId="0" borderId="10" xfId="0" applyBorder="1"/>
    <xf numFmtId="1" fontId="0" fillId="0" borderId="10" xfId="0" applyNumberFormat="1" applyBorder="1" applyAlignment="1">
      <alignment horizontal="center" vertical="center"/>
    </xf>
    <xf numFmtId="165" fontId="0" fillId="0" borderId="10" xfId="0" applyNumberFormat="1" applyBorder="1"/>
    <xf numFmtId="164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2" borderId="0" xfId="0" applyNumberFormat="1" applyFill="1"/>
    <xf numFmtId="1" fontId="0" fillId="2" borderId="0" xfId="0" applyNumberFormat="1" applyFill="1"/>
    <xf numFmtId="1" fontId="0" fillId="0" borderId="10" xfId="0" applyNumberFormat="1" applyBorder="1"/>
    <xf numFmtId="0" fontId="0" fillId="0" borderId="11" xfId="0" applyBorder="1"/>
    <xf numFmtId="165" fontId="0" fillId="0" borderId="11" xfId="0" applyNumberFormat="1" applyBorder="1"/>
    <xf numFmtId="0" fontId="0" fillId="0" borderId="12" xfId="0" applyBorder="1"/>
    <xf numFmtId="0" fontId="0" fillId="0" borderId="2" xfId="0" applyBorder="1"/>
    <xf numFmtId="0" fontId="0" fillId="0" borderId="13" xfId="0" applyBorder="1"/>
    <xf numFmtId="0" fontId="0" fillId="0" borderId="14" xfId="0" applyBorder="1"/>
    <xf numFmtId="0" fontId="0" fillId="0" borderId="17" xfId="0" applyBorder="1"/>
    <xf numFmtId="0" fontId="3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1" fontId="3" fillId="5" borderId="19" xfId="0" applyNumberFormat="1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10" xfId="0" applyBorder="1" applyAlignment="1">
      <alignment horizontal="center"/>
    </xf>
    <xf numFmtId="9" fontId="0" fillId="0" borderId="10" xfId="1" applyFont="1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center"/>
    </xf>
    <xf numFmtId="0" fontId="0" fillId="0" borderId="24" xfId="0" applyBorder="1"/>
    <xf numFmtId="1" fontId="0" fillId="0" borderId="24" xfId="0" applyNumberFormat="1" applyBorder="1"/>
    <xf numFmtId="0" fontId="0" fillId="0" borderId="24" xfId="0" applyBorder="1" applyAlignment="1">
      <alignment horizontal="center"/>
    </xf>
    <xf numFmtId="9" fontId="0" fillId="0" borderId="24" xfId="1" applyFont="1" applyBorder="1"/>
    <xf numFmtId="0" fontId="0" fillId="0" borderId="25" xfId="0" applyBorder="1"/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vertical="center"/>
    </xf>
    <xf numFmtId="1" fontId="0" fillId="0" borderId="24" xfId="0" applyNumberFormat="1" applyBorder="1" applyAlignment="1">
      <alignment vertical="center"/>
    </xf>
    <xf numFmtId="0" fontId="0" fillId="0" borderId="24" xfId="0" applyBorder="1" applyAlignment="1">
      <alignment horizontal="center" vertical="center"/>
    </xf>
    <xf numFmtId="9" fontId="0" fillId="0" borderId="24" xfId="1" applyFont="1" applyBorder="1" applyAlignment="1">
      <alignment vertical="center" wrapText="1"/>
    </xf>
    <xf numFmtId="0" fontId="0" fillId="0" borderId="25" xfId="0" applyBorder="1" applyAlignment="1">
      <alignment vertical="center"/>
    </xf>
    <xf numFmtId="0" fontId="0" fillId="0" borderId="24" xfId="0" quotePrefix="1" applyBorder="1"/>
    <xf numFmtId="166" fontId="0" fillId="0" borderId="24" xfId="1" applyNumberFormat="1" applyFont="1" applyBorder="1"/>
    <xf numFmtId="1" fontId="0" fillId="0" borderId="24" xfId="0" applyNumberFormat="1" applyBorder="1" applyAlignment="1">
      <alignment horizontal="center"/>
    </xf>
    <xf numFmtId="0" fontId="0" fillId="6" borderId="24" xfId="0" quotePrefix="1" applyFill="1" applyBorder="1"/>
    <xf numFmtId="0" fontId="0" fillId="6" borderId="25" xfId="0" applyFill="1" applyBorder="1"/>
    <xf numFmtId="0" fontId="0" fillId="0" borderId="25" xfId="0" quotePrefix="1" applyBorder="1"/>
    <xf numFmtId="0" fontId="0" fillId="6" borderId="24" xfId="0" applyFill="1" applyBorder="1"/>
    <xf numFmtId="10" fontId="0" fillId="0" borderId="24" xfId="0" applyNumberFormat="1" applyBorder="1"/>
    <xf numFmtId="0" fontId="0" fillId="0" borderId="26" xfId="0" applyBorder="1" applyAlignment="1">
      <alignment horizontal="center"/>
    </xf>
    <xf numFmtId="0" fontId="0" fillId="0" borderId="27" xfId="0" applyBorder="1"/>
    <xf numFmtId="1" fontId="0" fillId="0" borderId="27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10" fontId="0" fillId="0" borderId="27" xfId="0" applyNumberFormat="1" applyBorder="1"/>
    <xf numFmtId="0" fontId="0" fillId="6" borderId="27" xfId="0" quotePrefix="1" applyFill="1" applyBorder="1"/>
    <xf numFmtId="0" fontId="0" fillId="6" borderId="28" xfId="0" applyFill="1" applyBorder="1"/>
    <xf numFmtId="164" fontId="0" fillId="0" borderId="10" xfId="0" applyNumberFormat="1" applyBorder="1" applyAlignment="1">
      <alignment horizontal="center" vertical="center"/>
    </xf>
    <xf numFmtId="14" fontId="0" fillId="0" borderId="10" xfId="0" applyNumberFormat="1" applyBorder="1"/>
    <xf numFmtId="14" fontId="0" fillId="0" borderId="0" xfId="0" applyNumberFormat="1" applyAlignment="1">
      <alignment horizontal="center" vertical="center"/>
    </xf>
    <xf numFmtId="164" fontId="2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10" xfId="0" applyBorder="1" applyAlignment="1">
      <alignment horizontal="center" vertical="center"/>
    </xf>
    <xf numFmtId="164" fontId="0" fillId="0" borderId="29" xfId="0" applyNumberFormat="1" applyBorder="1"/>
    <xf numFmtId="0" fontId="0" fillId="0" borderId="29" xfId="0" applyBorder="1"/>
    <xf numFmtId="0" fontId="0" fillId="0" borderId="31" xfId="0" applyBorder="1"/>
    <xf numFmtId="0" fontId="0" fillId="0" borderId="32" xfId="0" applyBorder="1"/>
    <xf numFmtId="1" fontId="0" fillId="0" borderId="24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" fontId="4" fillId="8" borderId="9" xfId="0" applyNumberFormat="1" applyFont="1" applyFill="1" applyBorder="1"/>
    <xf numFmtId="164" fontId="4" fillId="8" borderId="6" xfId="0" applyNumberFormat="1" applyFont="1" applyFill="1" applyBorder="1"/>
    <xf numFmtId="0" fontId="4" fillId="8" borderId="6" xfId="0" applyFont="1" applyFill="1" applyBorder="1"/>
    <xf numFmtId="1" fontId="4" fillId="8" borderId="6" xfId="0" applyNumberFormat="1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4" fillId="8" borderId="7" xfId="0" applyFont="1" applyFill="1" applyBorder="1"/>
    <xf numFmtId="165" fontId="4" fillId="8" borderId="8" xfId="0" applyNumberFormat="1" applyFont="1" applyFill="1" applyBorder="1"/>
    <xf numFmtId="165" fontId="4" fillId="8" borderId="6" xfId="0" applyNumberFormat="1" applyFont="1" applyFill="1" applyBorder="1" applyAlignment="1">
      <alignment wrapText="1"/>
    </xf>
    <xf numFmtId="0" fontId="4" fillId="8" borderId="6" xfId="0" applyFont="1" applyFill="1" applyBorder="1" applyAlignment="1">
      <alignment vertical="center" wrapText="1"/>
    </xf>
    <xf numFmtId="1" fontId="4" fillId="8" borderId="6" xfId="0" applyNumberFormat="1" applyFont="1" applyFill="1" applyBorder="1"/>
    <xf numFmtId="1" fontId="0" fillId="0" borderId="33" xfId="0" applyNumberFormat="1" applyBorder="1" applyAlignment="1">
      <alignment horizontal="center" vertical="center"/>
    </xf>
    <xf numFmtId="164" fontId="0" fillId="0" borderId="11" xfId="0" applyNumberFormat="1" applyBorder="1"/>
    <xf numFmtId="0" fontId="5" fillId="0" borderId="0" xfId="0" applyFont="1"/>
    <xf numFmtId="1" fontId="4" fillId="0" borderId="24" xfId="0" applyNumberFormat="1" applyFont="1" applyBorder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top"/>
    </xf>
    <xf numFmtId="1" fontId="7" fillId="0" borderId="24" xfId="0" applyNumberFormat="1" applyFont="1" applyBorder="1" applyAlignment="1">
      <alignment horizontal="center" vertical="center"/>
    </xf>
    <xf numFmtId="164" fontId="7" fillId="0" borderId="10" xfId="0" applyNumberFormat="1" applyFont="1" applyBorder="1"/>
    <xf numFmtId="0" fontId="7" fillId="0" borderId="10" xfId="0" applyFont="1" applyBorder="1"/>
    <xf numFmtId="0" fontId="8" fillId="0" borderId="0" xfId="0" applyFont="1" applyAlignment="1">
      <alignment vertical="center" wrapText="1"/>
    </xf>
    <xf numFmtId="0" fontId="7" fillId="0" borderId="0" xfId="0" applyFont="1"/>
    <xf numFmtId="0" fontId="0" fillId="0" borderId="17" xfId="0" pivotButton="1" applyBorder="1"/>
    <xf numFmtId="0" fontId="0" fillId="0" borderId="17" xfId="0" applyBorder="1" applyAlignment="1">
      <alignment horizontal="center" vertical="center"/>
    </xf>
    <xf numFmtId="0" fontId="0" fillId="0" borderId="17" xfId="0" applyBorder="1" applyAlignment="1">
      <alignment horizontal="left"/>
    </xf>
    <xf numFmtId="9" fontId="0" fillId="0" borderId="0" xfId="1" applyFont="1"/>
    <xf numFmtId="1" fontId="4" fillId="0" borderId="10" xfId="0" applyNumberFormat="1" applyFont="1" applyBorder="1"/>
    <xf numFmtId="0" fontId="0" fillId="0" borderId="0" xfId="0" applyAlignment="1"/>
    <xf numFmtId="14" fontId="4" fillId="8" borderId="6" xfId="0" applyNumberFormat="1" applyFont="1" applyFill="1" applyBorder="1"/>
    <xf numFmtId="14" fontId="0" fillId="0" borderId="11" xfId="0" applyNumberFormat="1" applyBorder="1"/>
    <xf numFmtId="0" fontId="4" fillId="8" borderId="6" xfId="0" applyFont="1" applyFill="1" applyBorder="1" applyAlignment="1">
      <alignment horizontal="center"/>
    </xf>
    <xf numFmtId="0" fontId="0" fillId="0" borderId="17" xfId="0" applyNumberFormat="1" applyBorder="1"/>
    <xf numFmtId="0" fontId="0" fillId="0" borderId="0" xfId="0" applyNumberFormat="1" applyAlignment="1">
      <alignment horizontal="center" vertical="center"/>
    </xf>
    <xf numFmtId="14" fontId="9" fillId="9" borderId="10" xfId="0" applyNumberFormat="1" applyFont="1" applyFill="1" applyBorder="1" applyAlignment="1">
      <alignment horizontal="center" vertical="center"/>
    </xf>
    <xf numFmtId="14" fontId="0" fillId="0" borderId="0" xfId="0" quotePrefix="1" applyNumberFormat="1"/>
    <xf numFmtId="44" fontId="0" fillId="0" borderId="0" xfId="2" applyFont="1"/>
    <xf numFmtId="14" fontId="0" fillId="0" borderId="10" xfId="0" applyNumberFormat="1" applyBorder="1" applyAlignment="1">
      <alignment horizontal="center"/>
    </xf>
    <xf numFmtId="1" fontId="7" fillId="0" borderId="10" xfId="0" applyNumberFormat="1" applyFont="1" applyFill="1" applyBorder="1"/>
    <xf numFmtId="0" fontId="0" fillId="0" borderId="0" xfId="0" applyBorder="1" applyAlignment="1">
      <alignment horizontal="center" vertical="center"/>
    </xf>
    <xf numFmtId="0" fontId="0" fillId="0" borderId="0" xfId="0" applyBorder="1"/>
    <xf numFmtId="1" fontId="0" fillId="10" borderId="24" xfId="0" applyNumberFormat="1" applyFill="1" applyBorder="1" applyAlignment="1">
      <alignment horizontal="center" vertical="center"/>
    </xf>
    <xf numFmtId="164" fontId="0" fillId="10" borderId="10" xfId="0" applyNumberFormat="1" applyFill="1" applyBorder="1"/>
    <xf numFmtId="0" fontId="0" fillId="10" borderId="10" xfId="0" applyFill="1" applyBorder="1"/>
    <xf numFmtId="1" fontId="0" fillId="10" borderId="10" xfId="0" applyNumberFormat="1" applyFill="1" applyBorder="1" applyAlignment="1">
      <alignment horizontal="center" vertical="center"/>
    </xf>
    <xf numFmtId="0" fontId="0" fillId="10" borderId="0" xfId="0" applyFill="1"/>
    <xf numFmtId="0" fontId="0" fillId="0" borderId="11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30" xfId="0" applyFont="1" applyFill="1" applyBorder="1" applyAlignment="1">
      <alignment horizontal="center"/>
    </xf>
    <xf numFmtId="0" fontId="2" fillId="7" borderId="1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0" fillId="4" borderId="16" xfId="0" applyFill="1" applyBorder="1" applyAlignment="1">
      <alignment horizontal="center" textRotation="255" wrapText="1"/>
    </xf>
  </cellXfs>
  <cellStyles count="3">
    <cellStyle name="Moeda" xfId="2" builtinId="4"/>
    <cellStyle name="Normal" xfId="0" builtinId="0"/>
    <cellStyle name="Porcentagem" xfId="1" builtinId="5"/>
  </cellStyles>
  <dxfs count="492"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</dxf>
    <dxf>
      <numFmt numFmtId="19" formatCode="dd/mm/yyyy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color auto="1"/>
      </font>
      <numFmt numFmtId="1" formatCode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4" formatCode="d/m/yy;@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numFmt numFmtId="164" formatCode="d/m/yy;@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color auto="1"/>
      </font>
      <numFmt numFmtId="1" formatCode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4" formatCode="d/m/yy;@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numFmt numFmtId="164" formatCode="d/m/yy;@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color auto="1"/>
      </font>
      <numFmt numFmtId="1" formatCode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4" formatCode="d/m/yy;@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numFmt numFmtId="164" formatCode="d/m/yy;@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color auto="1"/>
      </font>
      <numFmt numFmtId="1" formatCode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4" formatCode="d/m/yy;@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numFmt numFmtId="164" formatCode="d/m/yy;@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color auto="1"/>
      </font>
      <numFmt numFmtId="1" formatCode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4" formatCode="d/m/yy;@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numFmt numFmtId="164" formatCode="d/m/yy;@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color auto="1"/>
      </font>
      <numFmt numFmtId="1" formatCode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4" formatCode="d/m/yy;@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numFmt numFmtId="164" formatCode="d/m/yy;@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color auto="1"/>
      </font>
      <numFmt numFmtId="1" formatCode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4" formatCode="d/m/yy;@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numFmt numFmtId="164" formatCode="d/m/yy;@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color auto="1"/>
      </font>
      <numFmt numFmtId="1" formatCode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4" formatCode="d/m/yy;@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numFmt numFmtId="164" formatCode="d/m/yy;@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4" formatCode="d/m/yy;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numFmt numFmtId="164" formatCode="d/m/yy;@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outline="0">
        <top style="medium">
          <color indexed="64"/>
        </top>
        <bottom style="dashed">
          <color auto="1"/>
        </bottom>
      </border>
    </dxf>
    <dxf>
      <border outline="0">
        <bottom style="thin">
          <color indexed="64"/>
        </bottom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outline="0">
        <top style="medium">
          <color indexed="64"/>
        </top>
        <bottom style="dashed">
          <color auto="1"/>
        </bottom>
      </border>
    </dxf>
    <dxf>
      <border outline="0">
        <bottom style="thin">
          <color indexed="64"/>
        </bottom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outline="0">
        <top style="medium">
          <color indexed="64"/>
        </top>
        <bottom style="dashed">
          <color auto="1"/>
        </bottom>
      </border>
    </dxf>
    <dxf>
      <border outline="0">
        <bottom style="thin">
          <color indexed="64"/>
        </bottom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outline="0">
        <top style="medium">
          <color indexed="64"/>
        </top>
        <bottom style="dashed">
          <color auto="1"/>
        </bottom>
      </border>
    </dxf>
    <dxf>
      <border outline="0">
        <bottom style="thin">
          <color indexed="64"/>
        </bottom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outline="0">
        <top style="medium">
          <color indexed="64"/>
        </top>
        <bottom style="dashed">
          <color auto="1"/>
        </bottom>
      </border>
    </dxf>
    <dxf>
      <border outline="0">
        <bottom style="thin">
          <color indexed="64"/>
        </bottom>
      </border>
    </dxf>
    <dxf>
      <border diagonalUp="0" diagonalDown="0">
        <left style="dashed">
          <color auto="1"/>
        </left>
        <right style="dashed">
          <color auto="1"/>
        </right>
        <top/>
        <bottom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/>
      </border>
    </dxf>
    <dxf>
      <border diagonalUp="0" diagonalDown="0">
        <left style="dashed">
          <color auto="1"/>
        </left>
        <right style="dashed">
          <color auto="1"/>
        </right>
        <top/>
        <bottom/>
      </border>
    </dxf>
    <dxf>
      <border diagonalUp="0" diagonalDown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border diagonalUp="0" diagonalDown="0">
        <left style="dashed">
          <color auto="1"/>
        </left>
        <right style="dashed">
          <color auto="1"/>
        </right>
        <top/>
        <bottom/>
      </border>
    </dxf>
    <dxf>
      <border outline="0">
        <top style="medium">
          <color indexed="64"/>
        </top>
        <bottom style="dashed">
          <color auto="1"/>
        </bottom>
      </border>
    </dxf>
    <dxf>
      <border outline="0"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9" formatCode="dd/mm/yyyy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4" formatCode="d/m/yy;@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 outline="0">
        <left style="dashed">
          <color auto="1"/>
        </left>
        <right style="dashed">
          <color auto="1"/>
        </right>
        <top/>
        <bottom style="dashed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/>
        <bottom style="dashed">
          <color auto="1"/>
        </bottom>
      </border>
    </dxf>
    <dxf>
      <border diagonalUp="0" diagonalDown="0" outline="0">
        <left style="dashed">
          <color auto="1"/>
        </left>
        <right style="dashed">
          <color auto="1"/>
        </right>
        <top/>
        <bottom style="dashed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/>
        <bottom style="dashed">
          <color auto="1"/>
        </bottom>
      </border>
    </dxf>
    <dxf>
      <border outline="0">
        <bottom style="dash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outline="0">
        <top style="medium">
          <color indexed="64"/>
        </top>
        <bottom style="dashed">
          <color auto="1"/>
        </bottom>
      </border>
    </dxf>
    <dxf>
      <border outline="0"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numFmt numFmtId="164" formatCode="d/m/yy;@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d/m/yy;@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4" formatCode="d/m/yy;@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outline="0">
        <bottom style="dashed">
          <color auto="1"/>
        </bottom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outline="0">
        <top style="medium">
          <color indexed="64"/>
        </top>
        <bottom style="dashed">
          <color auto="1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 outline="0">
        <left/>
        <right style="dashed">
          <color auto="1"/>
        </right>
        <top/>
        <bottom style="dashed">
          <color auto="1"/>
        </bottom>
      </border>
    </dxf>
    <dxf>
      <numFmt numFmtId="165" formatCode="&quot;R$&quot;\ #,##0.00"/>
      <border diagonalUp="0" diagonalDown="0" outline="0">
        <left style="dashed">
          <color auto="1"/>
        </left>
        <right/>
        <top/>
        <bottom style="dashed">
          <color auto="1"/>
        </bottom>
      </border>
    </dxf>
    <dxf>
      <numFmt numFmtId="165" formatCode="&quot;R$&quot;\ #,##0.00"/>
      <border diagonalUp="0" diagonalDown="0" outline="0">
        <left style="dashed">
          <color auto="1"/>
        </left>
        <right style="dashed">
          <color auto="1"/>
        </right>
        <top/>
        <bottom style="dashed">
          <color auto="1"/>
        </bottom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 outline="0">
        <top style="medium">
          <color indexed="64"/>
        </top>
        <bottom style="dashed">
          <color auto="1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9" formatCode="dd/mm/yyyy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dashed">
          <color auto="1"/>
        </right>
        <top/>
        <bottom style="dashed">
          <color auto="1"/>
        </bottom>
      </border>
    </dxf>
    <dxf>
      <border outline="0">
        <top style="medium">
          <color indexed="64"/>
        </top>
        <bottom style="dashed">
          <color auto="1"/>
        </bottom>
      </border>
    </dxf>
    <dxf>
      <border outline="0"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numFmt numFmtId="164" formatCode="d/m/yy;@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d/m/yy;@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9" formatCode="dd/mm/yyyy"/>
      <border diagonalUp="0" diagonalDown="0" outline="0">
        <left style="dashed">
          <color auto="1"/>
        </left>
        <right style="dashed">
          <color auto="1"/>
        </right>
        <top/>
        <bottom style="dash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5" formatCode="&quot;R$&quot;\ #,##0.0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64" formatCode="d/m/yy;@"/>
      <border diagonalUp="0" diagonalDown="0">
        <left style="dashed">
          <color auto="1"/>
        </left>
        <right style="dashed">
          <color auto="1"/>
        </right>
        <top/>
        <bottom style="dashed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outline="0">
        <bottom style="dashed">
          <color auto="1"/>
        </bottom>
      </border>
    </dxf>
    <dxf>
      <alignment horizontal="center"/>
    </dxf>
    <dxf>
      <alignment horizontal="center"/>
    </dxf>
    <dxf>
      <alignment vertical="top"/>
    </dxf>
    <dxf>
      <alignment vertical="top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vertical="center"/>
    </dxf>
    <dxf>
      <alignment vertical="center"/>
    </dxf>
    <dxf>
      <alignment vertical="center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114300</xdr:rowOff>
    </xdr:to>
    <xdr:sp macro="" textlink="">
      <xdr:nvSpPr>
        <xdr:cNvPr id="2" name="AutoShape 1" descr="Drogaria São Paulo Logo - PNG e Vetor - Download de Logo">
          <a:extLst>
            <a:ext uri="{FF2B5EF4-FFF2-40B4-BE49-F238E27FC236}">
              <a16:creationId xmlns:a16="http://schemas.microsoft.com/office/drawing/2014/main" id="{837D69AA-1382-4BC3-BDA5-54AE9311143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353786</xdr:colOff>
      <xdr:row>0</xdr:row>
      <xdr:rowOff>102053</xdr:rowOff>
    </xdr:from>
    <xdr:to>
      <xdr:col>2</xdr:col>
      <xdr:colOff>227976</xdr:colOff>
      <xdr:row>6</xdr:row>
      <xdr:rowOff>13606</xdr:rowOff>
    </xdr:to>
    <xdr:pic>
      <xdr:nvPicPr>
        <xdr:cNvPr id="3" name="Imagem 2" descr="Droga Raia Logo - PNG e Vetor - Download de Logo">
          <a:extLst>
            <a:ext uri="{FF2B5EF4-FFF2-40B4-BE49-F238E27FC236}">
              <a16:creationId xmlns:a16="http://schemas.microsoft.com/office/drawing/2014/main" id="{E9056369-A6FD-48EB-B61D-E409D6F88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786" y="102053"/>
          <a:ext cx="2840547" cy="10545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114300</xdr:rowOff>
    </xdr:to>
    <xdr:sp macro="" textlink="">
      <xdr:nvSpPr>
        <xdr:cNvPr id="2" name="AutoShape 1" descr="Drogaria São Paulo Logo - PNG e Vetor - Download de Logo">
          <a:extLst>
            <a:ext uri="{FF2B5EF4-FFF2-40B4-BE49-F238E27FC236}">
              <a16:creationId xmlns:a16="http://schemas.microsoft.com/office/drawing/2014/main" id="{E86F1A2C-DA80-425D-B21A-768F17DFEEA8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1795513</xdr:colOff>
      <xdr:row>7</xdr:row>
      <xdr:rowOff>1279</xdr:rowOff>
    </xdr:to>
    <xdr:pic>
      <xdr:nvPicPr>
        <xdr:cNvPr id="4" name="Imagem 3" descr="Lojas - RD – Gente, Saúde e Bem-Estar">
          <a:extLst>
            <a:ext uri="{FF2B5EF4-FFF2-40B4-BE49-F238E27FC236}">
              <a16:creationId xmlns:a16="http://schemas.microsoft.com/office/drawing/2014/main" id="{3123FF53-EE12-4B6F-AB7A-ECA18D08C94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429" r="18687" b="32857"/>
        <a:stretch/>
      </xdr:blipFill>
      <xdr:spPr bwMode="auto">
        <a:xfrm>
          <a:off x="0" y="0"/>
          <a:ext cx="4761870" cy="11974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114300</xdr:rowOff>
    </xdr:to>
    <xdr:sp macro="" textlink="">
      <xdr:nvSpPr>
        <xdr:cNvPr id="2" name="AutoShape 1" descr="Drogaria São Paulo Logo - PNG e Vetor - Download de Logo">
          <a:extLst>
            <a:ext uri="{FF2B5EF4-FFF2-40B4-BE49-F238E27FC236}">
              <a16:creationId xmlns:a16="http://schemas.microsoft.com/office/drawing/2014/main" id="{0F92F616-D5D5-4E79-878F-A60C72B7C2D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367393</xdr:colOff>
      <xdr:row>0</xdr:row>
      <xdr:rowOff>0</xdr:rowOff>
    </xdr:from>
    <xdr:to>
      <xdr:col>2</xdr:col>
      <xdr:colOff>1029746</xdr:colOff>
      <xdr:row>5</xdr:row>
      <xdr:rowOff>149679</xdr:rowOff>
    </xdr:to>
    <xdr:pic>
      <xdr:nvPicPr>
        <xdr:cNvPr id="3" name="Imagem 2" descr="Logo Drogaria São Paulo – Logos PNG">
          <a:extLst>
            <a:ext uri="{FF2B5EF4-FFF2-40B4-BE49-F238E27FC236}">
              <a16:creationId xmlns:a16="http://schemas.microsoft.com/office/drawing/2014/main" id="{AFEC2DE9-561B-4DD5-995A-B432C1452CD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951" b="37339"/>
        <a:stretch/>
      </xdr:blipFill>
      <xdr:spPr bwMode="auto">
        <a:xfrm>
          <a:off x="367393" y="0"/>
          <a:ext cx="3628710" cy="11021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0</xdr:row>
      <xdr:rowOff>28575</xdr:rowOff>
    </xdr:from>
    <xdr:to>
      <xdr:col>2</xdr:col>
      <xdr:colOff>152401</xdr:colOff>
      <xdr:row>5</xdr:row>
      <xdr:rowOff>57150</xdr:rowOff>
    </xdr:to>
    <xdr:pic>
      <xdr:nvPicPr>
        <xdr:cNvPr id="2" name="Imagem 1" descr="Drogarias Pacheco – iupp">
          <a:extLst>
            <a:ext uri="{FF2B5EF4-FFF2-40B4-BE49-F238E27FC236}">
              <a16:creationId xmlns:a16="http://schemas.microsoft.com/office/drawing/2014/main" id="{8DC52CB8-F0FB-433F-9565-8B45C3F3EF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28575"/>
          <a:ext cx="1809750" cy="981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114300</xdr:rowOff>
    </xdr:to>
    <xdr:sp macro="" textlink="">
      <xdr:nvSpPr>
        <xdr:cNvPr id="2" name="AutoShape 1" descr="Drogaria São Paulo Logo - PNG e Vetor - Download de Logo">
          <a:extLst>
            <a:ext uri="{FF2B5EF4-FFF2-40B4-BE49-F238E27FC236}">
              <a16:creationId xmlns:a16="http://schemas.microsoft.com/office/drawing/2014/main" id="{3C007DB7-00DA-4E54-A4FC-4428D28A85AC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68035</xdr:colOff>
      <xdr:row>0</xdr:row>
      <xdr:rowOff>104775</xdr:rowOff>
    </xdr:from>
    <xdr:to>
      <xdr:col>1</xdr:col>
      <xdr:colOff>1390338</xdr:colOff>
      <xdr:row>4</xdr:row>
      <xdr:rowOff>163284</xdr:rowOff>
    </xdr:to>
    <xdr:pic>
      <xdr:nvPicPr>
        <xdr:cNvPr id="3" name="Imagem 2" descr="Panvel Farmacias Fundo Branco - Logo Panvel Farmacias Clipart - Large Size  Png Image - PikPng">
          <a:extLst>
            <a:ext uri="{FF2B5EF4-FFF2-40B4-BE49-F238E27FC236}">
              <a16:creationId xmlns:a16="http://schemas.microsoft.com/office/drawing/2014/main" id="{DD2FC469-1E0B-40F7-9A8B-73C4ACF21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35" y="104775"/>
          <a:ext cx="3036803" cy="8205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114300</xdr:rowOff>
    </xdr:to>
    <xdr:sp macro="" textlink="">
      <xdr:nvSpPr>
        <xdr:cNvPr id="2" name="AutoShape 1" descr="Drogaria São Paulo Logo - PNG e Vetor - Download de Logo">
          <a:extLst>
            <a:ext uri="{FF2B5EF4-FFF2-40B4-BE49-F238E27FC236}">
              <a16:creationId xmlns:a16="http://schemas.microsoft.com/office/drawing/2014/main" id="{4BBF02D1-C49B-4A40-A1AA-12EDB264668E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779187</xdr:colOff>
      <xdr:row>6</xdr:row>
      <xdr:rowOff>27214</xdr:rowOff>
    </xdr:to>
    <xdr:pic>
      <xdr:nvPicPr>
        <xdr:cNvPr id="4" name="Imagem 3" descr="Até 90% de desconto Onofre cupom de desconto, cupons e códigos promocionais  | junho 2021">
          <a:extLst>
            <a:ext uri="{FF2B5EF4-FFF2-40B4-BE49-F238E27FC236}">
              <a16:creationId xmlns:a16="http://schemas.microsoft.com/office/drawing/2014/main" id="{B5BA9F5C-5CCB-4CC9-AF43-C0B87308FF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745544" cy="11702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114300</xdr:rowOff>
    </xdr:to>
    <xdr:sp macro="" textlink="">
      <xdr:nvSpPr>
        <xdr:cNvPr id="2" name="AutoShape 1" descr="Drogaria São Paulo Logo - PNG e Vetor - Download de Logo">
          <a:extLst>
            <a:ext uri="{FF2B5EF4-FFF2-40B4-BE49-F238E27FC236}">
              <a16:creationId xmlns:a16="http://schemas.microsoft.com/office/drawing/2014/main" id="{1556A2C9-B54F-4C54-82F9-C78BE48A91A2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898071</xdr:colOff>
      <xdr:row>5</xdr:row>
      <xdr:rowOff>176893</xdr:rowOff>
    </xdr:to>
    <xdr:pic>
      <xdr:nvPicPr>
        <xdr:cNvPr id="3" name="Imagem 2" descr="Ebit - Reputação de lojas virtuais e dados para o mercado online">
          <a:extLst>
            <a:ext uri="{FF2B5EF4-FFF2-40B4-BE49-F238E27FC236}">
              <a16:creationId xmlns:a16="http://schemas.microsoft.com/office/drawing/2014/main" id="{109A7D3C-55FD-4CFD-A750-2A78ADB37A8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8571"/>
        <a:stretch/>
      </xdr:blipFill>
      <xdr:spPr bwMode="auto">
        <a:xfrm>
          <a:off x="0" y="0"/>
          <a:ext cx="3415392" cy="11293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114300</xdr:rowOff>
    </xdr:to>
    <xdr:sp macro="" textlink="">
      <xdr:nvSpPr>
        <xdr:cNvPr id="2" name="AutoShape 1" descr="Drogaria São Paulo Logo - PNG e Vetor - Download de Logo">
          <a:extLst>
            <a:ext uri="{FF2B5EF4-FFF2-40B4-BE49-F238E27FC236}">
              <a16:creationId xmlns:a16="http://schemas.microsoft.com/office/drawing/2014/main" id="{F5F60EDE-95F9-439E-B9D6-FBFEE1B9E3E1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394606</xdr:colOff>
      <xdr:row>7</xdr:row>
      <xdr:rowOff>54428</xdr:rowOff>
    </xdr:to>
    <xdr:pic>
      <xdr:nvPicPr>
        <xdr:cNvPr id="3" name="Imagem 2" descr="Portal Drogal">
          <a:extLst>
            <a:ext uri="{FF2B5EF4-FFF2-40B4-BE49-F238E27FC236}">
              <a16:creationId xmlns:a16="http://schemas.microsoft.com/office/drawing/2014/main" id="{23893670-4DAE-439D-87B7-3CA34BA505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129642" cy="1251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114300</xdr:rowOff>
    </xdr:to>
    <xdr:sp macro="" textlink="">
      <xdr:nvSpPr>
        <xdr:cNvPr id="2" name="AutoShape 1" descr="Drogaria São Paulo Logo - PNG e Vetor - Download de Logo">
          <a:extLst>
            <a:ext uri="{FF2B5EF4-FFF2-40B4-BE49-F238E27FC236}">
              <a16:creationId xmlns:a16="http://schemas.microsoft.com/office/drawing/2014/main" id="{0BD3A4EC-BC25-482B-8824-CD24593B0989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312965</xdr:colOff>
      <xdr:row>1</xdr:row>
      <xdr:rowOff>75521</xdr:rowOff>
    </xdr:from>
    <xdr:to>
      <xdr:col>2</xdr:col>
      <xdr:colOff>1328162</xdr:colOff>
      <xdr:row>4</xdr:row>
      <xdr:rowOff>95249</xdr:rowOff>
    </xdr:to>
    <xdr:pic>
      <xdr:nvPicPr>
        <xdr:cNvPr id="3" name="Imagem 2" descr="Pague Menos Logo - PNG e Vetor - Download de Logo">
          <a:extLst>
            <a:ext uri="{FF2B5EF4-FFF2-40B4-BE49-F238E27FC236}">
              <a16:creationId xmlns:a16="http://schemas.microsoft.com/office/drawing/2014/main" id="{D079345E-F106-4EC7-B869-1227BA5C2B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965" y="266021"/>
          <a:ext cx="3981554" cy="5912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114300</xdr:rowOff>
    </xdr:to>
    <xdr:sp macro="" textlink="">
      <xdr:nvSpPr>
        <xdr:cNvPr id="2" name="AutoShape 1" descr="Drogaria São Paulo Logo - PNG e Vetor - Download de Logo">
          <a:extLst>
            <a:ext uri="{FF2B5EF4-FFF2-40B4-BE49-F238E27FC236}">
              <a16:creationId xmlns:a16="http://schemas.microsoft.com/office/drawing/2014/main" id="{D3A1C5B8-8111-4BDF-89D7-B0723A5D7E8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1130965</xdr:colOff>
      <xdr:row>7</xdr:row>
      <xdr:rowOff>122463</xdr:rowOff>
    </xdr:to>
    <xdr:pic>
      <xdr:nvPicPr>
        <xdr:cNvPr id="3" name="Imagem 2" descr="Drogaria Nova Esperança - Parceiros">
          <a:extLst>
            <a:ext uri="{FF2B5EF4-FFF2-40B4-BE49-F238E27FC236}">
              <a16:creationId xmlns:a16="http://schemas.microsoft.com/office/drawing/2014/main" id="{1C0BA360-36EC-4F77-A83E-E588E06A20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97322" cy="13198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114300</xdr:rowOff>
    </xdr:to>
    <xdr:sp macro="" textlink="">
      <xdr:nvSpPr>
        <xdr:cNvPr id="2" name="AutoShape 1" descr="Drogaria São Paulo Logo - PNG e Vetor - Download de Logo">
          <a:extLst>
            <a:ext uri="{FF2B5EF4-FFF2-40B4-BE49-F238E27FC236}">
              <a16:creationId xmlns:a16="http://schemas.microsoft.com/office/drawing/2014/main" id="{F54D6B5E-0861-4987-96C9-9CEE53E86511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734785</xdr:colOff>
      <xdr:row>5</xdr:row>
      <xdr:rowOff>182750</xdr:rowOff>
    </xdr:to>
    <xdr:pic>
      <xdr:nvPicPr>
        <xdr:cNvPr id="3" name="Imagem 2" descr="Farmácias Nissei | Estação Mall">
          <a:extLst>
            <a:ext uri="{FF2B5EF4-FFF2-40B4-BE49-F238E27FC236}">
              <a16:creationId xmlns:a16="http://schemas.microsoft.com/office/drawing/2014/main" id="{E7CBC78B-3664-4D8B-8E0A-6D342AD29E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905" b="29085"/>
        <a:stretch/>
      </xdr:blipFill>
      <xdr:spPr bwMode="auto">
        <a:xfrm>
          <a:off x="0" y="0"/>
          <a:ext cx="3701142" cy="1142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114300</xdr:rowOff>
    </xdr:to>
    <xdr:sp macro="" textlink="">
      <xdr:nvSpPr>
        <xdr:cNvPr id="2" name="AutoShape 1" descr="Drogaria São Paulo Logo - PNG e Vetor - Download de Logo">
          <a:extLst>
            <a:ext uri="{FF2B5EF4-FFF2-40B4-BE49-F238E27FC236}">
              <a16:creationId xmlns:a16="http://schemas.microsoft.com/office/drawing/2014/main" id="{DA0FD96A-03A6-490C-84A6-865F0C379B41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54429</xdr:colOff>
      <xdr:row>0</xdr:row>
      <xdr:rowOff>0</xdr:rowOff>
    </xdr:from>
    <xdr:to>
      <xdr:col>2</xdr:col>
      <xdr:colOff>693964</xdr:colOff>
      <xdr:row>6</xdr:row>
      <xdr:rowOff>28575</xdr:rowOff>
    </xdr:to>
    <xdr:pic>
      <xdr:nvPicPr>
        <xdr:cNvPr id="3" name="Imagem 2" descr="Extrafarma deverá ter CEO que vem do Pão de Açúcar - DikaJob - Rede Social  Farma, Biotec e Life Sciences">
          <a:extLst>
            <a:ext uri="{FF2B5EF4-FFF2-40B4-BE49-F238E27FC236}">
              <a16:creationId xmlns:a16="http://schemas.microsoft.com/office/drawing/2014/main" id="{07A1B3EA-CEB6-496D-A8F7-8D756E5811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29" y="0"/>
          <a:ext cx="3605892" cy="1171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114300</xdr:rowOff>
    </xdr:to>
    <xdr:sp macro="" textlink="">
      <xdr:nvSpPr>
        <xdr:cNvPr id="2" name="AutoShape 1" descr="Drogaria São Paulo Logo - PNG e Vetor - Download de Logo">
          <a:extLst>
            <a:ext uri="{FF2B5EF4-FFF2-40B4-BE49-F238E27FC236}">
              <a16:creationId xmlns:a16="http://schemas.microsoft.com/office/drawing/2014/main" id="{018717CA-4CD3-4B8C-9603-D0A0822878B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1</xdr:rowOff>
    </xdr:from>
    <xdr:to>
      <xdr:col>2</xdr:col>
      <xdr:colOff>829269</xdr:colOff>
      <xdr:row>5</xdr:row>
      <xdr:rowOff>163287</xdr:rowOff>
    </xdr:to>
    <xdr:pic>
      <xdr:nvPicPr>
        <xdr:cNvPr id="4" name="Imagem 3" descr="Benefícios | Prever Assistência Familiar">
          <a:extLst>
            <a:ext uri="{FF2B5EF4-FFF2-40B4-BE49-F238E27FC236}">
              <a16:creationId xmlns:a16="http://schemas.microsoft.com/office/drawing/2014/main" id="{0838DDD9-2BF5-487A-B104-9C0A4BE3C56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099" b="23632"/>
        <a:stretch/>
      </xdr:blipFill>
      <xdr:spPr bwMode="auto">
        <a:xfrm>
          <a:off x="0" y="1"/>
          <a:ext cx="3795626" cy="11157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114300</xdr:rowOff>
    </xdr:to>
    <xdr:sp macro="" textlink="">
      <xdr:nvSpPr>
        <xdr:cNvPr id="2" name="AutoShape 1" descr="Drogaria São Paulo Logo - PNG e Vetor - Download de Logo">
          <a:extLst>
            <a:ext uri="{FF2B5EF4-FFF2-40B4-BE49-F238E27FC236}">
              <a16:creationId xmlns:a16="http://schemas.microsoft.com/office/drawing/2014/main" id="{AD3222E2-0AA0-4B71-888E-DB31A39EE3D9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729971</xdr:colOff>
      <xdr:row>7</xdr:row>
      <xdr:rowOff>54428</xdr:rowOff>
    </xdr:to>
    <xdr:pic>
      <xdr:nvPicPr>
        <xdr:cNvPr id="4" name="Imagem 3" descr="Drogaria Venancio - Shopping Downtown">
          <a:extLst>
            <a:ext uri="{FF2B5EF4-FFF2-40B4-BE49-F238E27FC236}">
              <a16:creationId xmlns:a16="http://schemas.microsoft.com/office/drawing/2014/main" id="{22549267-B5CE-4AF4-A923-1B8BA7DCE5A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827" b="28975"/>
        <a:stretch/>
      </xdr:blipFill>
      <xdr:spPr bwMode="auto">
        <a:xfrm>
          <a:off x="0" y="0"/>
          <a:ext cx="3696328" cy="1251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ni" refreshedDate="44543.450569328706" createdVersion="7" refreshedVersion="7" minRefreshableVersion="3" recordCount="962" xr:uid="{B9933BC1-3E0D-4772-AB21-5424CD5221FB}">
  <cacheSource type="worksheet">
    <worksheetSource ref="A1:N1048576" sheet="CONSOLIDADO"/>
  </cacheSource>
  <cacheFields count="14">
    <cacheField name="Rede" numFmtId="0">
      <sharedItems containsBlank="1" count="15">
        <s v="RAIA"/>
        <s v="DROGASIL"/>
        <m/>
        <s v="DSP"/>
        <s v="PACHECO"/>
        <s v="PANVEL"/>
        <s v="ONOFRE"/>
        <s v="P.MENOS"/>
        <s v="DROGAL"/>
        <s v="DNE"/>
        <s v="NISSEI"/>
        <s v="EXTRAFARMA"/>
        <s v="DROGAO"/>
        <s v="VENÂNCIO"/>
        <s v="QUALIDOC" u="1"/>
      </sharedItems>
    </cacheField>
    <cacheField name="Semana do mês" numFmtId="0">
      <sharedItems containsBlank="1" containsMixedTypes="1" containsNumber="1" containsInteger="1" minValue="1" maxValue="4" count="6">
        <m/>
        <s v=""/>
        <n v="2" u="1"/>
        <n v="1" u="1"/>
        <n v="3" u="1"/>
        <n v="4" u="1"/>
      </sharedItems>
    </cacheField>
    <cacheField name="Data Monitoria" numFmtId="14">
      <sharedItems containsNonDate="0" containsDate="1" containsString="0" containsBlank="1" minDate="2021-08-03T00:00:00" maxDate="2021-08-28T00:00:00" count="12">
        <m/>
        <d v="2021-08-27T00:00:00" u="1"/>
        <d v="2021-08-18T00:00:00" u="1"/>
        <d v="2021-08-11T00:00:00" u="1"/>
        <d v="2021-08-04T00:00:00" u="1"/>
        <d v="2021-08-23T00:00:00" u="1"/>
        <d v="2021-08-16T00:00:00" u="1"/>
        <d v="2021-08-09T00:00:00" u="1"/>
        <d v="2021-08-12T00:00:00" u="1"/>
        <d v="2021-08-05T00:00:00" u="1"/>
        <d v="2021-08-24T00:00:00" u="1"/>
        <d v="2021-08-03T00:00:00" u="1"/>
      </sharedItems>
    </cacheField>
    <cacheField name="Insumos para Teste" numFmtId="0">
      <sharedItems containsNonDate="0" containsString="0" containsBlank="1"/>
    </cacheField>
    <cacheField name="Identificação do programa" numFmtId="0">
      <sharedItems containsNonDate="0" containsString="0" containsBlank="1"/>
    </cacheField>
    <cacheField name="Produtos" numFmtId="0">
      <sharedItems containsNonDate="0" containsString="0" containsBlank="1"/>
    </cacheField>
    <cacheField name="EAN" numFmtId="1">
      <sharedItems containsBlank="1"/>
    </cacheField>
    <cacheField name="Tipo de Campanha" numFmtId="0">
      <sharedItems containsNonDate="0" containsString="0" containsBlank="1"/>
    </cacheField>
    <cacheField name="Preço Site" numFmtId="44">
      <sharedItems containsNonDate="0" containsString="0" containsBlank="1"/>
    </cacheField>
    <cacheField name="Preço do programa" numFmtId="44">
      <sharedItems containsNonDate="0" containsString="0" containsBlank="1"/>
    </cacheField>
    <cacheField name="Tipo Paciente" numFmtId="0">
      <sharedItems containsNonDate="0" containsBlank="1" count="3">
        <m/>
        <s v="Legado" u="1"/>
        <s v="Novo" u="1"/>
      </sharedItems>
    </cacheField>
    <cacheField name="LGPD" numFmtId="0">
      <sharedItems containsNonDate="0" containsString="0" containsBlank="1"/>
    </cacheField>
    <cacheField name="Adesão" numFmtId="0">
      <sharedItems containsNonDate="0" containsBlank="1" count="3">
        <m/>
        <s v="Sim" u="1"/>
        <s v="Não" u="1"/>
      </sharedItems>
    </cacheField>
    <cacheField name="Teste segiu sem erro?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ni" refreshedDate="44543.450569560184" createdVersion="6" refreshedVersion="7" minRefreshableVersion="3" recordCount="961" xr:uid="{13572EE6-AF8C-4E43-B657-06A0A06C018E}">
  <cacheSource type="worksheet">
    <worksheetSource name="CONSOLIDADO"/>
  </cacheSource>
  <cacheFields count="22">
    <cacheField name="Rede" numFmtId="0">
      <sharedItems containsBlank="1" count="15">
        <s v="RAIA"/>
        <s v="DROGASIL"/>
        <m/>
        <s v="DSP"/>
        <s v="PACHECO"/>
        <s v="PANVEL"/>
        <s v="ONOFRE"/>
        <s v="P.MENOS"/>
        <s v="DROGAL"/>
        <s v="DNE"/>
        <s v="NISSEI"/>
        <s v="EXTRAFARMA"/>
        <s v="DROGAO"/>
        <s v="VENÂNCIO"/>
        <s v="QUALIDOC" u="1"/>
      </sharedItems>
    </cacheField>
    <cacheField name="Semana do mês" numFmtId="0">
      <sharedItems containsBlank="1" containsMixedTypes="1" containsNumber="1" containsInteger="1" minValue="1" maxValue="4" count="6">
        <m/>
        <s v=""/>
        <n v="2" u="1"/>
        <n v="1" u="1"/>
        <n v="3" u="1"/>
        <n v="4" u="1"/>
      </sharedItems>
    </cacheField>
    <cacheField name="Data Monitoria" numFmtId="14">
      <sharedItems containsNonDate="0" containsString="0" containsBlank="1"/>
    </cacheField>
    <cacheField name="Insumos para Teste" numFmtId="0">
      <sharedItems containsNonDate="0" containsString="0" containsBlank="1"/>
    </cacheField>
    <cacheField name="Identificação do programa" numFmtId="0">
      <sharedItems containsNonDate="0" containsString="0" containsBlank="1"/>
    </cacheField>
    <cacheField name="Produtos" numFmtId="0">
      <sharedItems containsNonDate="0" containsString="0" containsBlank="1"/>
    </cacheField>
    <cacheField name="EAN" numFmtId="1">
      <sharedItems containsBlank="1"/>
    </cacheField>
    <cacheField name="Tipo de Campanha" numFmtId="0">
      <sharedItems containsNonDate="0" containsBlank="1" count="14">
        <m/>
        <s v="ONE SHOT" u="1"/>
        <s v="L3P2" u="1"/>
        <s v="KIT" u="1"/>
        <s v="Desconto Padrão" u="1"/>
        <s v="Prática do melhor preço" u="1"/>
        <s v="Desconto por unidade comprada" u="1"/>
        <s v="Produto Sem PMC" u="1"/>
        <s v="Preço sugerido" u="1"/>
        <s v="Quantidade" u="1"/>
        <s v="FLAT" u="1"/>
        <s v="Desconto Progressivo" u="1"/>
        <s v="Preço sugerido pela adm" u="1"/>
        <s v="Combo" u="1"/>
      </sharedItems>
    </cacheField>
    <cacheField name="Preço Site" numFmtId="44">
      <sharedItems containsNonDate="0" containsString="0" containsBlank="1"/>
    </cacheField>
    <cacheField name="Preço do programa" numFmtId="44">
      <sharedItems containsNonDate="0" containsString="0" containsBlank="1"/>
    </cacheField>
    <cacheField name="Tipo Paciente" numFmtId="0">
      <sharedItems containsNonDate="0" containsBlank="1" count="3">
        <m/>
        <s v="Legado" u="1"/>
        <s v="Novo" u="1"/>
      </sharedItems>
    </cacheField>
    <cacheField name="LGPD" numFmtId="0">
      <sharedItems containsNonDate="0" containsString="0" containsBlank="1"/>
    </cacheField>
    <cacheField name="Adesão" numFmtId="0">
      <sharedItems containsNonDate="0" containsString="0" containsBlank="1"/>
    </cacheField>
    <cacheField name="Teste segiu sem erro?" numFmtId="0">
      <sharedItems containsNonDate="0" containsString="0" containsBlank="1"/>
    </cacheField>
    <cacheField name="Problemas Identificados" numFmtId="0">
      <sharedItems containsNonDate="0" containsString="0" containsBlank="1"/>
    </cacheField>
    <cacheField name="Responsável pela correção" numFmtId="0">
      <sharedItems containsNonDate="0" containsString="0" containsBlank="1"/>
    </cacheField>
    <cacheField name="Nº chamado" numFmtId="0">
      <sharedItems containsNonDate="0" containsString="0" containsBlank="1"/>
    </cacheField>
    <cacheField name="Ações Tomadas" numFmtId="0">
      <sharedItems containsNonDate="0" containsString="0" containsBlank="1"/>
    </cacheField>
    <cacheField name="Abertura de chamado" numFmtId="14">
      <sharedItems containsNonDate="0" containsString="0" containsBlank="1"/>
    </cacheField>
    <cacheField name="Prazo de correção" numFmtId="14">
      <sharedItems containsNonDate="0" containsString="0" containsBlank="1"/>
    </cacheField>
    <cacheField name="Deadline" numFmtId="1">
      <sharedItems containsBlank="1"/>
    </cacheField>
    <cacheField name="Chamado encerrado?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2"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0"/>
    <x v="0"/>
    <m/>
    <m/>
    <m/>
    <m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0"/>
    <x v="1"/>
    <x v="0"/>
    <m/>
    <m/>
    <m/>
    <s v=""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0"/>
    <x v="0"/>
    <m/>
    <m/>
    <m/>
    <m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1"/>
    <x v="1"/>
    <x v="0"/>
    <m/>
    <m/>
    <m/>
    <s v=""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0"/>
    <x v="0"/>
    <m/>
    <m/>
    <m/>
    <m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3"/>
    <x v="1"/>
    <x v="0"/>
    <m/>
    <m/>
    <m/>
    <s v=""/>
    <m/>
    <m/>
    <m/>
    <x v="0"/>
    <m/>
    <x v="0"/>
    <m/>
  </r>
  <r>
    <x v="2"/>
    <x v="1"/>
    <x v="0"/>
    <m/>
    <m/>
    <m/>
    <s v=""/>
    <m/>
    <m/>
    <m/>
    <x v="0"/>
    <m/>
    <x v="0"/>
    <m/>
  </r>
  <r>
    <x v="2"/>
    <x v="1"/>
    <x v="0"/>
    <m/>
    <m/>
    <m/>
    <s v=""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4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0"/>
    <x v="0"/>
    <m/>
    <m/>
    <m/>
    <m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5"/>
    <x v="1"/>
    <x v="0"/>
    <m/>
    <m/>
    <m/>
    <s v=""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6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m/>
    <m/>
    <m/>
    <m/>
    <x v="0"/>
    <m/>
    <x v="0"/>
    <m/>
  </r>
  <r>
    <x v="2"/>
    <x v="1"/>
    <x v="0"/>
    <m/>
    <m/>
    <m/>
    <s v=""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7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8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9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10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11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1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13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  <r>
    <x v="2"/>
    <x v="0"/>
    <x v="0"/>
    <m/>
    <m/>
    <m/>
    <m/>
    <m/>
    <m/>
    <m/>
    <x v="0"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1"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0"/>
    <m/>
    <m/>
    <m/>
    <m/>
    <m/>
    <x v="0"/>
    <m/>
    <m/>
    <x v="0"/>
    <m/>
    <m/>
    <m/>
    <m/>
    <m/>
    <m/>
    <m/>
    <m/>
    <m/>
    <m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0"/>
    <x v="1"/>
    <m/>
    <m/>
    <m/>
    <m/>
    <s v=""/>
    <x v="0"/>
    <m/>
    <m/>
    <x v="0"/>
    <m/>
    <m/>
    <m/>
    <m/>
    <m/>
    <m/>
    <m/>
    <m/>
    <m/>
    <s v=""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0"/>
    <m/>
    <m/>
    <m/>
    <m/>
    <m/>
    <x v="0"/>
    <m/>
    <m/>
    <x v="0"/>
    <m/>
    <m/>
    <m/>
    <m/>
    <m/>
    <m/>
    <m/>
    <m/>
    <m/>
    <m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1"/>
    <x v="1"/>
    <m/>
    <m/>
    <m/>
    <m/>
    <s v=""/>
    <x v="0"/>
    <m/>
    <m/>
    <x v="0"/>
    <m/>
    <m/>
    <m/>
    <m/>
    <m/>
    <m/>
    <m/>
    <m/>
    <m/>
    <s v=""/>
    <m/>
  </r>
  <r>
    <x v="2"/>
    <x v="1"/>
    <m/>
    <m/>
    <m/>
    <m/>
    <m/>
    <x v="0"/>
    <m/>
    <m/>
    <x v="0"/>
    <m/>
    <m/>
    <m/>
    <m/>
    <m/>
    <m/>
    <m/>
    <m/>
    <m/>
    <s v=""/>
    <m/>
  </r>
  <r>
    <x v="2"/>
    <x v="1"/>
    <m/>
    <m/>
    <m/>
    <m/>
    <m/>
    <x v="0"/>
    <m/>
    <m/>
    <x v="0"/>
    <m/>
    <m/>
    <m/>
    <m/>
    <m/>
    <m/>
    <m/>
    <m/>
    <m/>
    <s v=""/>
    <m/>
  </r>
  <r>
    <x v="2"/>
    <x v="1"/>
    <m/>
    <m/>
    <m/>
    <m/>
    <m/>
    <x v="0"/>
    <m/>
    <m/>
    <x v="0"/>
    <m/>
    <m/>
    <m/>
    <m/>
    <m/>
    <m/>
    <m/>
    <m/>
    <m/>
    <s v=""/>
    <m/>
  </r>
  <r>
    <x v="2"/>
    <x v="1"/>
    <m/>
    <m/>
    <m/>
    <m/>
    <m/>
    <x v="0"/>
    <m/>
    <m/>
    <x v="0"/>
    <m/>
    <m/>
    <m/>
    <m/>
    <m/>
    <m/>
    <m/>
    <m/>
    <m/>
    <s v=""/>
    <m/>
  </r>
  <r>
    <x v="2"/>
    <x v="1"/>
    <m/>
    <m/>
    <m/>
    <m/>
    <m/>
    <x v="0"/>
    <m/>
    <m/>
    <x v="0"/>
    <m/>
    <m/>
    <m/>
    <m/>
    <m/>
    <m/>
    <m/>
    <m/>
    <m/>
    <s v=""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0"/>
    <m/>
    <m/>
    <m/>
    <m/>
    <m/>
    <x v="0"/>
    <m/>
    <m/>
    <x v="0"/>
    <m/>
    <m/>
    <m/>
    <m/>
    <m/>
    <m/>
    <m/>
    <m/>
    <m/>
    <m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3"/>
    <x v="1"/>
    <m/>
    <m/>
    <m/>
    <m/>
    <s v=""/>
    <x v="0"/>
    <m/>
    <m/>
    <x v="0"/>
    <m/>
    <m/>
    <m/>
    <m/>
    <m/>
    <m/>
    <m/>
    <m/>
    <m/>
    <s v=""/>
    <m/>
  </r>
  <r>
    <x v="2"/>
    <x v="1"/>
    <m/>
    <m/>
    <m/>
    <m/>
    <s v=""/>
    <x v="0"/>
    <m/>
    <m/>
    <x v="0"/>
    <m/>
    <m/>
    <m/>
    <m/>
    <m/>
    <m/>
    <m/>
    <m/>
    <m/>
    <s v=""/>
    <m/>
  </r>
  <r>
    <x v="2"/>
    <x v="1"/>
    <m/>
    <m/>
    <m/>
    <m/>
    <s v=""/>
    <x v="0"/>
    <m/>
    <m/>
    <x v="0"/>
    <m/>
    <m/>
    <m/>
    <m/>
    <m/>
    <m/>
    <m/>
    <m/>
    <m/>
    <s v=""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4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0"/>
    <m/>
    <m/>
    <m/>
    <m/>
    <m/>
    <x v="0"/>
    <m/>
    <m/>
    <x v="0"/>
    <m/>
    <m/>
    <m/>
    <m/>
    <m/>
    <m/>
    <m/>
    <m/>
    <m/>
    <m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5"/>
    <x v="1"/>
    <m/>
    <m/>
    <m/>
    <m/>
    <s v=""/>
    <x v="0"/>
    <m/>
    <m/>
    <x v="0"/>
    <m/>
    <m/>
    <m/>
    <m/>
    <m/>
    <m/>
    <m/>
    <m/>
    <m/>
    <s v=""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6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m/>
    <x v="0"/>
    <m/>
    <m/>
    <x v="0"/>
    <m/>
    <m/>
    <m/>
    <m/>
    <m/>
    <m/>
    <m/>
    <m/>
    <m/>
    <m/>
    <m/>
  </r>
  <r>
    <x v="2"/>
    <x v="1"/>
    <m/>
    <m/>
    <m/>
    <m/>
    <s v=""/>
    <x v="0"/>
    <m/>
    <m/>
    <x v="0"/>
    <m/>
    <m/>
    <m/>
    <m/>
    <m/>
    <m/>
    <m/>
    <m/>
    <m/>
    <s v=""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7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8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9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10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11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1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13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  <r>
    <x v="2"/>
    <x v="0"/>
    <m/>
    <m/>
    <m/>
    <m/>
    <m/>
    <x v="0"/>
    <m/>
    <m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BC12E9-0467-4F23-816D-93561F286795}" name="Tabela dinâmica1" cacheId="53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1" rowHeaderCaption="SEMANA MÊS">
  <location ref="A3:B5" firstHeaderRow="1" firstDataRow="2" firstDataCol="1" rowPageCount="1" colPageCount="1"/>
  <pivotFields count="22">
    <pivotField axis="axisRow" showAll="0">
      <items count="16">
        <item x="9"/>
        <item x="8"/>
        <item x="12"/>
        <item x="1"/>
        <item x="3"/>
        <item x="11"/>
        <item x="10"/>
        <item x="6"/>
        <item x="7"/>
        <item x="4"/>
        <item x="5"/>
        <item m="1" x="14"/>
        <item x="0"/>
        <item x="13"/>
        <item x="2"/>
        <item t="default"/>
      </items>
    </pivotField>
    <pivotField axis="axisRow" showAll="0">
      <items count="7">
        <item m="1" x="3"/>
        <item x="1"/>
        <item sd="0" m="1" x="2"/>
        <item h="1" x="0"/>
        <item sd="0" m="1" x="4"/>
        <item h="1" m="1" x="5"/>
        <item t="default"/>
      </items>
    </pivotField>
    <pivotField showAll="0"/>
    <pivotField showAll="0"/>
    <pivotField showAll="0"/>
    <pivotField showAll="0"/>
    <pivotField showAll="0"/>
    <pivotField axis="axisCol" showAll="0">
      <items count="15">
        <item m="1" x="13"/>
        <item m="1" x="10"/>
        <item m="1" x="3"/>
        <item m="1" x="9"/>
        <item h="1" x="0"/>
        <item m="1" x="2"/>
        <item m="1" x="1"/>
        <item m="1" x="8"/>
        <item m="1" x="7"/>
        <item h="1" m="1" x="4"/>
        <item h="1" m="1" x="6"/>
        <item h="1" m="1" x="12"/>
        <item h="1" m="1" x="5"/>
        <item h="1" m="1" x="11"/>
        <item t="default"/>
      </items>
    </pivotField>
    <pivotField showAll="0"/>
    <pivotField showAll="0"/>
    <pivotField axis="axisPage" multipleItemSelectionAllowed="1" showAll="0">
      <items count="4">
        <item h="1" m="1" x="2"/>
        <item m="1" x="1"/>
        <item h="1"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0"/>
  </rowFields>
  <rowItems count="1">
    <i t="grand">
      <x/>
    </i>
  </rowItems>
  <colFields count="1">
    <field x="7"/>
  </colFields>
  <colItems count="1">
    <i t="grand">
      <x/>
    </i>
  </colItems>
  <pageFields count="1">
    <pageField fld="10" hier="-1"/>
  </pageFields>
  <dataFields count="1">
    <dataField name="Com erro" fld="14" subtotal="count" baseField="1" baseItem="0"/>
  </dataFields>
  <formats count="29">
    <format dxfId="481">
      <pivotArea type="all" dataOnly="0" outline="0" fieldPosition="0"/>
    </format>
    <format dxfId="480">
      <pivotArea outline="0" collapsedLevelsAreSubtotals="1" fieldPosition="0"/>
    </format>
    <format dxfId="479">
      <pivotArea type="origin" dataOnly="0" labelOnly="1" outline="0" fieldPosition="0"/>
    </format>
    <format dxfId="478">
      <pivotArea field="7" type="button" dataOnly="0" labelOnly="1" outline="0" axis="axisCol" fieldPosition="0"/>
    </format>
    <format dxfId="477">
      <pivotArea type="topRight" dataOnly="0" labelOnly="1" outline="0" fieldPosition="0"/>
    </format>
    <format dxfId="476">
      <pivotArea field="1" type="button" dataOnly="0" labelOnly="1" outline="0" axis="axisRow" fieldPosition="0"/>
    </format>
    <format dxfId="475">
      <pivotArea dataOnly="0" labelOnly="1" grandRow="1" outline="0" fieldPosition="0"/>
    </format>
    <format dxfId="474">
      <pivotArea dataOnly="0" labelOnly="1" fieldPosition="0">
        <references count="1">
          <reference field="7" count="0"/>
        </references>
      </pivotArea>
    </format>
    <format dxfId="473">
      <pivotArea dataOnly="0" labelOnly="1" grandCol="1" outline="0" fieldPosition="0"/>
    </format>
    <format dxfId="472">
      <pivotArea type="all" dataOnly="0" outline="0" fieldPosition="0"/>
    </format>
    <format dxfId="471">
      <pivotArea outline="0" collapsedLevelsAreSubtotals="1" fieldPosition="0"/>
    </format>
    <format dxfId="470">
      <pivotArea dataOnly="0" labelOnly="1" grandRow="1" outline="0" fieldPosition="0"/>
    </format>
    <format dxfId="469">
      <pivotArea field="7" type="button" dataOnly="0" labelOnly="1" outline="0" axis="axisCol" fieldPosition="0"/>
    </format>
    <format dxfId="468">
      <pivotArea type="origin" dataOnly="0" labelOnly="1" outline="0" fieldPosition="0"/>
    </format>
    <format dxfId="467">
      <pivotArea field="7" type="button" dataOnly="0" labelOnly="1" outline="0" axis="axisCol" fieldPosition="0"/>
    </format>
    <format dxfId="466">
      <pivotArea type="topRight" dataOnly="0" labelOnly="1" outline="0" fieldPosition="0"/>
    </format>
    <format dxfId="465">
      <pivotArea field="1" type="button" dataOnly="0" labelOnly="1" outline="0" axis="axisRow" fieldPosition="0"/>
    </format>
    <format dxfId="464">
      <pivotArea dataOnly="0" labelOnly="1" grandCol="1" outline="0" fieldPosition="0"/>
    </format>
    <format dxfId="463">
      <pivotArea type="origin" dataOnly="0" labelOnly="1" outline="0" fieldPosition="0"/>
    </format>
    <format dxfId="462">
      <pivotArea field="7" type="button" dataOnly="0" labelOnly="1" outline="0" axis="axisCol" fieldPosition="0"/>
    </format>
    <format dxfId="461">
      <pivotArea type="topRight" dataOnly="0" labelOnly="1" outline="0" fieldPosition="0"/>
    </format>
    <format dxfId="460">
      <pivotArea field="1" type="button" dataOnly="0" labelOnly="1" outline="0" axis="axisRow" fieldPosition="0"/>
    </format>
    <format dxfId="459">
      <pivotArea dataOnly="0" labelOnly="1" grandCol="1" outline="0" fieldPosition="0"/>
    </format>
    <format dxfId="458">
      <pivotArea outline="0" collapsedLevelsAreSubtotals="1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format>
    <format dxfId="457">
      <pivotArea dataOnly="0" labelOnly="1" outline="0" fieldPosition="0">
        <references count="2">
          <reference field="4294967294" count="1">
            <x v="0"/>
          </reference>
          <reference field="7" count="1" selected="0">
            <x v="0"/>
          </reference>
        </references>
      </pivotArea>
    </format>
    <format dxfId="456">
      <pivotArea dataOnly="0" labelOnly="1" fieldPosition="0">
        <references count="1">
          <reference field="7" count="0"/>
        </references>
      </pivotArea>
    </format>
    <format dxfId="455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54">
      <pivotArea dataOnly="0" labelOnly="1" fieldPosition="0">
        <references count="1">
          <reference field="7" count="0"/>
        </references>
      </pivotArea>
    </format>
    <format dxfId="453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93F0D7-22D3-4CFE-8AA7-9A5A0AD56417}" name="Tabela dinâmica2" cacheId="4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REDES">
  <location ref="M4:N6" firstHeaderRow="1" firstDataRow="2" firstDataCol="1" rowPageCount="2" colPageCount="1"/>
  <pivotFields count="14">
    <pivotField axis="axisRow" showAll="0">
      <items count="16">
        <item x="9"/>
        <item x="8"/>
        <item x="12"/>
        <item x="1"/>
        <item x="3"/>
        <item x="11"/>
        <item x="10"/>
        <item x="6"/>
        <item x="7"/>
        <item x="4"/>
        <item x="5"/>
        <item m="1" x="14"/>
        <item x="0"/>
        <item x="13"/>
        <item x="2"/>
        <item t="default"/>
      </items>
    </pivotField>
    <pivotField axis="axisRow" showAll="0">
      <items count="7">
        <item m="1" x="3"/>
        <item sd="0" m="1" x="2"/>
        <item x="1"/>
        <item x="0"/>
        <item sd="0" m="1" x="4"/>
        <item m="1" x="5"/>
        <item t="default"/>
      </items>
    </pivotField>
    <pivotField axis="axisPage" showAll="0">
      <items count="13">
        <item m="1" x="11"/>
        <item m="1" x="4"/>
        <item m="1" x="9"/>
        <item m="1" x="7"/>
        <item x="0"/>
        <item m="1" x="3"/>
        <item m="1" x="8"/>
        <item m="1" x="2"/>
        <item m="1" x="5"/>
        <item m="1" x="6"/>
        <item m="1" x="1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h="1" m="1" x="1"/>
        <item m="1" x="2"/>
        <item h="1" x="0"/>
        <item t="default"/>
      </items>
    </pivotField>
    <pivotField showAll="0"/>
    <pivotField axis="axisCol" dataField="1" showAll="0">
      <items count="4">
        <item m="1" x="2"/>
        <item m="1" x="1"/>
        <item h="1" x="0"/>
        <item t="default"/>
      </items>
    </pivotField>
    <pivotField showAll="0"/>
  </pivotFields>
  <rowFields count="2">
    <field x="1"/>
    <field x="0"/>
  </rowFields>
  <rowItems count="1">
    <i t="grand">
      <x/>
    </i>
  </rowItems>
  <colFields count="1">
    <field x="12"/>
  </colFields>
  <colItems count="1">
    <i t="grand">
      <x/>
    </i>
  </colItems>
  <pageFields count="2">
    <pageField fld="2" hier="-1"/>
    <pageField fld="10" hier="-1"/>
  </pageFields>
  <dataFields count="1">
    <dataField name="Contagem de Adesão" fld="12" subtotal="count" baseField="0" baseItem="0"/>
  </dataFields>
  <formats count="10">
    <format dxfId="491">
      <pivotArea type="all" dataOnly="0" outline="0" fieldPosition="0"/>
    </format>
    <format dxfId="490">
      <pivotArea outline="0" collapsedLevelsAreSubtotals="1" fieldPosition="0"/>
    </format>
    <format dxfId="489">
      <pivotArea type="origin" dataOnly="0" labelOnly="1" outline="0" fieldPosition="0"/>
    </format>
    <format dxfId="488">
      <pivotArea field="12" type="button" dataOnly="0" labelOnly="1" outline="0" axis="axisCol" fieldPosition="0"/>
    </format>
    <format dxfId="487">
      <pivotArea type="topRight" dataOnly="0" labelOnly="1" outline="0" fieldPosition="0"/>
    </format>
    <format dxfId="486">
      <pivotArea field="0" type="button" dataOnly="0" labelOnly="1" outline="0" axis="axisRow" fieldPosition="1"/>
    </format>
    <format dxfId="485">
      <pivotArea dataOnly="0" labelOnly="1" fieldPosition="0">
        <references count="1">
          <reference field="0" count="0"/>
        </references>
      </pivotArea>
    </format>
    <format dxfId="484">
      <pivotArea dataOnly="0" labelOnly="1" grandRow="1" outline="0" fieldPosition="0"/>
    </format>
    <format dxfId="483">
      <pivotArea dataOnly="0" labelOnly="1" fieldPosition="0">
        <references count="1">
          <reference field="12" count="0"/>
        </references>
      </pivotArea>
    </format>
    <format dxfId="48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DB123CFF-9B8B-49FB-8BE8-D77715FE2B73}" autoFormatId="16" applyNumberFormats="0" applyBorderFormats="0" applyFontFormats="0" applyPatternFormats="0" applyAlignmentFormats="0" applyWidthHeightFormats="0">
  <queryTableRefresh nextId="24">
    <queryTableFields count="22">
      <queryTableField id="1" name="Rede" tableColumnId="1"/>
      <queryTableField id="2" name="Semana do mês" tableColumnId="2"/>
      <queryTableField id="3" name="Data Monitoria" tableColumnId="3"/>
      <queryTableField id="4" name="Insumos para Teste" tableColumnId="4"/>
      <queryTableField id="5" name="Identificação do programa" tableColumnId="5"/>
      <queryTableField id="6" name="Produtos" tableColumnId="6"/>
      <queryTableField id="7" name="EAN" tableColumnId="7"/>
      <queryTableField id="8" name="Tipo de Campanha" tableColumnId="8"/>
      <queryTableField id="9" name="Preço Site" tableColumnId="9"/>
      <queryTableField id="10" name="Preço do programa" tableColumnId="10"/>
      <queryTableField id="11" name="Tipo Paciente" tableColumnId="11"/>
      <queryTableField id="12" name="LGPD" tableColumnId="12"/>
      <queryTableField id="13" name="Adesão" tableColumnId="13"/>
      <queryTableField id="14" name="Teste segiu sem erro?" tableColumnId="14"/>
      <queryTableField id="15" name="Problemas Identificados" tableColumnId="15"/>
      <queryTableField id="16" name="Responsável pela correção" tableColumnId="16"/>
      <queryTableField id="17" name="Nº chamado" tableColumnId="17"/>
      <queryTableField id="18" name="Ações Tomadas" tableColumnId="18"/>
      <queryTableField id="19" name="Abertura de chamado" tableColumnId="19"/>
      <queryTableField id="20" name="Prazo de correção" tableColumnId="20"/>
      <queryTableField id="21" name="Deadline" tableColumnId="21"/>
      <queryTableField id="22" name="Chamado encerrado?" tableColumnId="2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FFC5F0C5-C3BD-43A2-9EF4-11E255841A92}" autoFormatId="16" applyNumberFormats="0" applyBorderFormats="0" applyFontFormats="0" applyPatternFormats="0" applyAlignmentFormats="0" applyWidthHeightFormats="0">
  <queryTableRefresh nextId="14">
    <queryTableFields count="12">
      <queryTableField id="1" name="Rede" tableColumnId="1"/>
      <queryTableField id="2" name="Semana do mês" tableColumnId="2"/>
      <queryTableField id="3" name="Data Monitoria" tableColumnId="3"/>
      <queryTableField id="4" name="Tipo de Campanha" tableColumnId="4"/>
      <queryTableField id="5" name="Problemas Identificados" tableColumnId="5"/>
      <queryTableField id="6" name="Responsável pela correção" tableColumnId="6"/>
      <queryTableField id="7" name="Nº chamado" tableColumnId="7"/>
      <queryTableField id="8" name="Ações Tomadas" tableColumnId="8"/>
      <queryTableField id="9" name="Abertura de chamado" tableColumnId="9"/>
      <queryTableField id="10" name="Prazo de correção" tableColumnId="10"/>
      <queryTableField id="11" name="Deadline" tableColumnId="11"/>
      <queryTableField id="12" name="Chamado encerrado?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A6E360-487C-488C-BAAC-D57A3593F0F4}" name="CONSOLIDADO" displayName="CONSOLIDADO" ref="A1:V962" tableType="queryTable" totalsRowShown="0">
  <autoFilter ref="A1:V962" xr:uid="{3C10DE9F-4EE9-4BBC-A82F-68AE8E61F017}">
    <filterColumn colId="1">
      <customFilters>
        <customFilter operator="notEqual" val=" "/>
      </customFilters>
    </filterColumn>
  </autoFilter>
  <tableColumns count="22">
    <tableColumn id="1" xr3:uid="{E1A7B91C-DDC6-4B45-A6CC-36DEB7CD7C78}" uniqueName="1" name="Rede" queryTableFieldId="1"/>
    <tableColumn id="2" xr3:uid="{F45DB9F2-46D6-4EAD-A387-D8B762596149}" uniqueName="2" name="Semana do mês" queryTableFieldId="2"/>
    <tableColumn id="3" xr3:uid="{0F5F4F72-4FE0-461F-88D1-964ACA858BAD}" uniqueName="3" name="Data Monitoria" queryTableFieldId="3" dataDxfId="7"/>
    <tableColumn id="4" xr3:uid="{E0093D73-53FE-432D-B67D-D2DEB5390532}" uniqueName="4" name="Insumos para Teste" queryTableFieldId="4"/>
    <tableColumn id="5" xr3:uid="{49682BCF-E236-4943-926B-8A570500CA3B}" uniqueName="5" name="Identificação do programa" queryTableFieldId="5"/>
    <tableColumn id="6" xr3:uid="{7013457D-538E-4972-9ED1-66361711B7D4}" uniqueName="6" name="Produtos" queryTableFieldId="6"/>
    <tableColumn id="7" xr3:uid="{E9694A95-527D-44B0-ABCD-15D8C0713F55}" uniqueName="7" name="EAN" queryTableFieldId="7" dataDxfId="6"/>
    <tableColumn id="8" xr3:uid="{33BCC724-AF81-4BEA-8A52-0BF423C1E8D0}" uniqueName="8" name="Tipo de Campanha" queryTableFieldId="8"/>
    <tableColumn id="9" xr3:uid="{44CC07BD-E0C1-49B1-A67A-0B8B4BBA469A}" uniqueName="9" name="Preço Site" queryTableFieldId="9" dataDxfId="5" dataCellStyle="Moeda"/>
    <tableColumn id="10" xr3:uid="{196735EE-0B37-40BD-A330-3242EE98C4CC}" uniqueName="10" name="Preço do programa" queryTableFieldId="10" dataDxfId="4" dataCellStyle="Moeda"/>
    <tableColumn id="11" xr3:uid="{EE7A9A3C-47B9-46CE-89B8-21C3212D1166}" uniqueName="11" name="Tipo Paciente" queryTableFieldId="11"/>
    <tableColumn id="12" xr3:uid="{8A05C880-10E5-4BE2-A0FD-2E915A92DF87}" uniqueName="12" name="LGPD" queryTableFieldId="12"/>
    <tableColumn id="13" xr3:uid="{E9536192-32D2-497F-B446-3962A1D2F293}" uniqueName="13" name="Adesão" queryTableFieldId="13"/>
    <tableColumn id="14" xr3:uid="{D80C610E-E8C1-45DE-B990-6AEA086FCE14}" uniqueName="14" name="Teste segiu sem erro?" queryTableFieldId="14"/>
    <tableColumn id="15" xr3:uid="{95998AF1-E859-4807-945F-09F123DFAC31}" uniqueName="15" name="Problemas Identificados" queryTableFieldId="15"/>
    <tableColumn id="16" xr3:uid="{19FB155B-4A04-4DA6-9D4E-2F0170FC74C5}" uniqueName="16" name="Responsável pela correção" queryTableFieldId="16"/>
    <tableColumn id="17" xr3:uid="{042403C8-BF7D-458A-9174-13736C4E53D7}" uniqueName="17" name="Nº chamado" queryTableFieldId="17"/>
    <tableColumn id="18" xr3:uid="{1B295A3D-DEAA-48F6-A636-68D448A66309}" uniqueName="18" name="Ações Tomadas" queryTableFieldId="18"/>
    <tableColumn id="19" xr3:uid="{07DB4343-C84C-4227-B708-0C7AB2A876B3}" uniqueName="19" name="Abertura de chamado" queryTableFieldId="19" dataDxfId="3"/>
    <tableColumn id="20" xr3:uid="{F622DB06-568D-49DF-8E20-06FB6C979C1E}" uniqueName="20" name="Prazo de correção" queryTableFieldId="20" dataDxfId="2"/>
    <tableColumn id="21" xr3:uid="{2822B21D-EB10-43CB-A3BB-B15646148FB4}" uniqueName="21" name="Deadline" queryTableFieldId="21" dataDxfId="1"/>
    <tableColumn id="22" xr3:uid="{3D28CA70-D395-4B33-9FE2-B185B38928B1}" uniqueName="22" name="Chamado encerrado?" queryTableField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7B7429-F88E-4DF7-B3F9-C3C73199C1D7}" name="OCORRENCIAS" displayName="OCORRENCIAS" ref="A1:L962" tableType="queryTable" totalsRowShown="0">
  <autoFilter ref="A1:L962" xr:uid="{8FE134BE-DB97-42AC-B118-BB486CA92554}">
    <filterColumn colId="1">
      <filters>
        <filter val="1"/>
        <filter val="2"/>
      </filters>
    </filterColumn>
    <filterColumn colId="4">
      <customFilters>
        <customFilter operator="notEqual" val=" "/>
      </customFilters>
    </filterColumn>
  </autoFilter>
  <tableColumns count="12">
    <tableColumn id="1" xr3:uid="{2B55FA45-6217-4D18-B712-96BDEFDD26AF}" uniqueName="1" name="Rede" queryTableFieldId="1"/>
    <tableColumn id="2" xr3:uid="{CCCC3823-3C4B-4093-AACE-CC21FD3570E0}" uniqueName="2" name="Semana do mês" queryTableFieldId="2"/>
    <tableColumn id="3" xr3:uid="{07A784DA-4958-462B-B792-14106421B396}" uniqueName="3" name="Data Monitoria" queryTableFieldId="3" dataDxfId="0"/>
    <tableColumn id="4" xr3:uid="{1364F492-9EA6-4F88-A4EB-48670564B30D}" uniqueName="4" name="Tipo de Campanha" queryTableFieldId="4"/>
    <tableColumn id="5" xr3:uid="{057B13BE-380F-40A0-A4ED-C1E88DA0BEEB}" uniqueName="5" name="Problemas Identificados" queryTableFieldId="5"/>
    <tableColumn id="6" xr3:uid="{882DE9A6-5676-4DF1-AB97-6F2D819FA5AE}" uniqueName="6" name="Responsável pela correção" queryTableFieldId="6"/>
    <tableColumn id="7" xr3:uid="{7A14164B-C1F0-4FE4-9644-EA86FA19B79A}" uniqueName="7" name="Nº chamado" queryTableFieldId="7"/>
    <tableColumn id="8" xr3:uid="{FEC3B3AF-63F8-413D-9BC0-8DE28A9E8FBA}" uniqueName="8" name="Ações Tomadas" queryTableFieldId="8"/>
    <tableColumn id="9" xr3:uid="{FB33228B-D0BD-4E6D-B973-95F8A7D39C39}" uniqueName="9" name="Abertura de chamado" queryTableFieldId="9"/>
    <tableColumn id="10" xr3:uid="{B06ACCA9-8484-443E-AA69-801226354C49}" uniqueName="10" name="Prazo de correção" queryTableFieldId="10"/>
    <tableColumn id="11" xr3:uid="{012A7302-DC5A-4DF5-881D-B30AA792D1DD}" uniqueName="11" name="Deadline" queryTableFieldId="11"/>
    <tableColumn id="12" xr3:uid="{0A5D2BF7-8A5D-4035-91A9-EEA8047AE8A5}" uniqueName="12" name="Chamado encerrado?" queryTableField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E6F061C-3F95-48A4-98F6-6F379DA4EDC0}" name="RAIA" displayName="RAIA" ref="A9:W73" totalsRowShown="0" tableBorderDxfId="452">
  <autoFilter ref="A9:W73" xr:uid="{F9A3F440-D93F-4A27-886D-2DD94C653C7B}"/>
  <tableColumns count="23">
    <tableColumn id="1" xr3:uid="{D02D32F9-15AD-4168-A6BA-CFBCF4F6D2C7}" name="Semana do mês" dataDxfId="451">
      <calculatedColumnFormula>IF(RAIA[[#This Row],[Data Monitoria]]="","",((((WEEKNUM(B10)-WEEKNUM(DATE(YEAR(B10),MONTH(B10),1))+1)))))</calculatedColumnFormula>
    </tableColumn>
    <tableColumn id="2" xr3:uid="{B06CF1B0-6914-42E9-9B50-038F518166BB}" name="Data Monitoria" dataDxfId="450"/>
    <tableColumn id="3" xr3:uid="{32F688B7-1144-4467-9336-7FBCA948979B}" name="Insumos para Teste" dataDxfId="449"/>
    <tableColumn id="4" xr3:uid="{0EBC7AD2-46D1-4935-90B3-8480A538053A}" name="Identificação do programa" dataDxfId="448"/>
    <tableColumn id="5" xr3:uid="{0721A74D-B98E-49E6-B92E-9314540363DF}" name="Produtos" dataDxfId="447"/>
    <tableColumn id="6" xr3:uid="{B4FBE6E1-1B6E-43CA-B21B-04681649CF91}" name="Industria" dataDxfId="446">
      <calculatedColumnFormula>VLOOKUP(E10,'TAB PROD'!B:D,3,)</calculatedColumnFormula>
    </tableColumn>
    <tableColumn id="7" xr3:uid="{E8141981-E88F-4DD3-B85D-ECE51AF1F049}" name="EAN" dataDxfId="445">
      <calculatedColumnFormula>VLOOKUP(E10,'TAB PROD'!B:C,2,)</calculatedColumnFormula>
    </tableColumn>
    <tableColumn id="8" xr3:uid="{C4B58AA4-44FD-4601-A5EF-98ED67FE478F}" name="Tipo de Campanha" dataDxfId="444"/>
    <tableColumn id="9" xr3:uid="{C90044AF-8CBE-400F-B4BD-27F263A295A5}" name="Preço Site" dataDxfId="443"/>
    <tableColumn id="10" xr3:uid="{E8C2A0B0-F8B0-4DE1-82B9-219B20E5252C}" name="Preço do programa" dataDxfId="442"/>
    <tableColumn id="11" xr3:uid="{3B899794-79EA-4EF1-A82E-2048C6F7EDF4}" name="Tipo Paciente" dataDxfId="441"/>
    <tableColumn id="12" xr3:uid="{B5FB69D7-FFE2-4AD1-9007-660DC9E60057}" name="LGPD" dataDxfId="440"/>
    <tableColumn id="13" xr3:uid="{82F4A8E2-C456-4B61-A717-403CF09C5C16}" name="Adesão" dataDxfId="439"/>
    <tableColumn id="23" xr3:uid="{2770ECB6-9CC3-48D0-B89D-484B1EA75902}" name="Teste segiu sem erro?" dataDxfId="438"/>
    <tableColumn id="14" xr3:uid="{041F3A04-D697-45F7-9C8B-DAC25AC91CC3}" name="Problemas Identificados" dataDxfId="437"/>
    <tableColumn id="15" xr3:uid="{51270D81-8534-4ABE-A21F-7A701EEF049C}" name="Responsável pela correção" dataDxfId="436"/>
    <tableColumn id="16" xr3:uid="{A40D2E6F-8553-4A1F-A454-FA7D7CF0DAE2}" name="Nº chamado" dataDxfId="435"/>
    <tableColumn id="17" xr3:uid="{885A9DBD-CA9A-40CB-9792-EC876783EB4F}" name="Ações Tomadas" dataDxfId="434"/>
    <tableColumn id="21" xr3:uid="{A75F4C66-52A4-41DF-8D01-C99E6C077679}" name="Abertura de chamado" dataDxfId="433"/>
    <tableColumn id="18" xr3:uid="{B3AD8BC3-2354-472B-BEE1-2A3CAD026A71}" name="Prazo de correção" dataDxfId="432"/>
    <tableColumn id="19" xr3:uid="{7E012740-86BD-4BEC-A361-5EAF2135ECC6}" name="Deadline" dataDxfId="431">
      <calculatedColumnFormula>IF(RAIA[[#This Row],[Prazo de correção]]="","",RAIA[[#This Row],[Prazo de correção]]-RAIA[[#This Row],[Data Monitoria]])</calculatedColumnFormula>
    </tableColumn>
    <tableColumn id="20" xr3:uid="{C8CA7553-0994-421D-BBFF-4A4BF7EA7EAB}" name="Chamado encerrado?" dataDxfId="430"/>
    <tableColumn id="22" xr3:uid="{69547D71-2922-4212-9C7F-77C142FB9C47}" name="Rede" dataDxfId="429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77712D9-04E7-4825-BF2A-0F94219C0CCC}" name="DROGASIL" displayName="DROGASIL" ref="A9:W79" totalsRowShown="0" headerRowBorderDxfId="428" tableBorderDxfId="427">
  <autoFilter ref="A9:W79" xr:uid="{8A2DE324-F56B-445A-91AB-31C2B0F71485}"/>
  <tableColumns count="23">
    <tableColumn id="22" xr3:uid="{5B0553A9-EB57-4D5F-9286-EF6EDB6D49D2}" name="Semana do mês" dataDxfId="426">
      <calculatedColumnFormula>IF(DROGASIL[[#This Row],[Data Monitoria]]="","",((((WEEKNUM(B10)-WEEKNUM(DATE(YEAR(B10),MONTH(B10),1))+1)))))</calculatedColumnFormula>
    </tableColumn>
    <tableColumn id="1" xr3:uid="{278A71EE-10E2-445F-B674-4BD60547534B}" name="Data Monitoria" dataDxfId="425"/>
    <tableColumn id="2" xr3:uid="{586A71FE-20FE-4DAB-8CA7-D88E1077BA00}" name="Insumos para Teste" dataDxfId="424"/>
    <tableColumn id="3" xr3:uid="{A0DB0324-5918-48BA-83F6-24F5AC0A6C63}" name="Identificação do programa" dataDxfId="423"/>
    <tableColumn id="4" xr3:uid="{792FA0B4-4EC0-4DA4-B5AE-6198FCB8EC0D}" name="Produtos" dataDxfId="422"/>
    <tableColumn id="5" xr3:uid="{CB6DAB8A-F522-483C-A4ED-378F8BD83ECE}" name="Industria" dataDxfId="421">
      <calculatedColumnFormula>VLOOKUP(E10,'TAB PROD'!B:D,3,)</calculatedColumnFormula>
    </tableColumn>
    <tableColumn id="6" xr3:uid="{2469B03F-9B8E-4198-BF47-003A3428C10E}" name="EAN" dataDxfId="420">
      <calculatedColumnFormula>VLOOKUP(E10,'TAB PROD'!B:C,2,)</calculatedColumnFormula>
    </tableColumn>
    <tableColumn id="7" xr3:uid="{2150C1A4-D7ED-4E63-8407-E3FCBF3B268C}" name="Tipo de Campanha" dataDxfId="419"/>
    <tableColumn id="9" xr3:uid="{32A380DB-3D50-4E46-AB0B-BB87DC0DC2D7}" name="Preço Site" dataDxfId="418"/>
    <tableColumn id="10" xr3:uid="{202CB74C-97C9-49EB-8F95-4237F3DC2018}" name="Preço do programa" dataDxfId="417"/>
    <tableColumn id="11" xr3:uid="{FBB86424-7B4A-484E-A74E-3BF827B15277}" name="Tipo Paciente" dataDxfId="416"/>
    <tableColumn id="12" xr3:uid="{3A1C6AFD-2244-4651-8A2F-83E5B7E86492}" name="LGPD" dataDxfId="415"/>
    <tableColumn id="13" xr3:uid="{391E5636-DF40-4003-A2CA-F61CB036FA3C}" name="Adesão" dataDxfId="414"/>
    <tableColumn id="23" xr3:uid="{1F01A5FF-A44F-4E48-AF1A-494FA1D880E0}" name="Teste segiu sem erro?" dataDxfId="413"/>
    <tableColumn id="14" xr3:uid="{FDA3701D-9816-4A38-AE25-479A0209CA92}" name="Problemas Identificados" dataDxfId="412"/>
    <tableColumn id="15" xr3:uid="{36F2F951-5678-45A8-AC3C-819C57A656D9}" name="Responsável pela correção" dataDxfId="411"/>
    <tableColumn id="16" xr3:uid="{F7DAE30B-9915-4AC2-91F8-2FA852BBBBF5}" name="Nº chamado" dataDxfId="410"/>
    <tableColumn id="17" xr3:uid="{8AE406A8-6336-44F5-AC15-020304D335C2}" name="Ações Tomadas" dataDxfId="409"/>
    <tableColumn id="20" xr3:uid="{537470CD-B1D9-4537-B48C-F0F904CD4972}" name="Abertura de chamado" dataDxfId="408"/>
    <tableColumn id="8" xr3:uid="{91408554-8993-4D81-A015-849FF9572E63}" name="Prazo de correção" dataDxfId="407"/>
    <tableColumn id="18" xr3:uid="{F7875AEF-5BD1-473D-B8F8-9CA9BA773877}" name="Deadline" dataDxfId="406">
      <calculatedColumnFormula>IF(DROGASIL[[#This Row],[Abertura de chamado]]="","",NETWORKDAYS(DROGASIL[[#This Row],[Abertura de chamado]],DROGASIL[[#This Row],[Prazo de correção]]))</calculatedColumnFormula>
    </tableColumn>
    <tableColumn id="19" xr3:uid="{DC535842-D7C8-4841-920E-6EEDD789AC34}" name="Chamado encerrado?" dataDxfId="405"/>
    <tableColumn id="21" xr3:uid="{AFDBF296-9BAB-4655-BCB2-B96E1EEF34AD}" name="Rede" dataDxfId="404"/>
  </tableColumns>
  <tableStyleInfo name="TableStyleLight4" showFirstColumn="0" showLastColumn="0" showRowStripes="1" showColumnStripes="0"/>
  <extLst>
    <ext xmlns:x14="http://schemas.microsoft.com/office/spreadsheetml/2009/9/main" uri="{504A1905-F514-4f6f-8877-14C23A59335A}">
      <x14:table altText="Sim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EDB4B6-1808-4354-BDFA-A562BD936C4F}" name="DSP" displayName="DSP" ref="A9:W77" totalsRowShown="0" headerRowDxfId="403" headerRowBorderDxfId="402" tableBorderDxfId="401">
  <autoFilter ref="A9:W77" xr:uid="{1B7E5106-B57D-4F9F-822E-9B48AC5CEA83}"/>
  <tableColumns count="23">
    <tableColumn id="22" xr3:uid="{BD82E094-898F-47DB-BEEB-E9AA66EA714E}" name="Semana do mês" dataDxfId="400">
      <calculatedColumnFormula>IF(DSP[[#This Row],[Data Monitoria]]="","",((((WEEKNUM(B10)-WEEKNUM(DATE(YEAR(B10),MONTH(B10),1))+1)))))</calculatedColumnFormula>
    </tableColumn>
    <tableColumn id="1" xr3:uid="{F072DAC8-6AD5-4806-93F9-5C58DE6AC147}" name="Data Monitoria" dataDxfId="399"/>
    <tableColumn id="2" xr3:uid="{6323CA72-4C34-433F-A7AC-52D2E37B7EA9}" name="Insumos para Teste" dataDxfId="398"/>
    <tableColumn id="3" xr3:uid="{A3794EB0-94F5-4875-B405-4997BEC16332}" name="Identificação do programa" dataDxfId="397"/>
    <tableColumn id="4" xr3:uid="{6C8FDA07-7107-43DC-9744-34B641813A82}" name="Produtos" dataDxfId="396"/>
    <tableColumn id="5" xr3:uid="{9D91CC2B-CEF3-438A-AA0B-00FA60F50CCF}" name="Industria" dataDxfId="395">
      <calculatedColumnFormula>VLOOKUP(E10,'TAB PROD'!B:D,3,)</calculatedColumnFormula>
    </tableColumn>
    <tableColumn id="6" xr3:uid="{69D62CCE-1843-4FB7-BDC1-0EDA1EF3D9E9}" name="EAN" dataDxfId="394">
      <calculatedColumnFormula>VLOOKUP(E10,'TAB PROD'!B:C,2,)</calculatedColumnFormula>
    </tableColumn>
    <tableColumn id="7" xr3:uid="{78187E2C-18ED-4BE4-8BA2-9404F04FD9BB}" name="Tipo de Campanha" dataDxfId="393"/>
    <tableColumn id="9" xr3:uid="{4B4BA929-8CB5-4F0A-B5E4-29038DC552FE}" name="Preço Site" dataDxfId="392"/>
    <tableColumn id="10" xr3:uid="{FB278FBF-3C3C-40AD-B592-86B5D7314444}" name="Preço do programa" dataDxfId="391"/>
    <tableColumn id="11" xr3:uid="{DE222A7F-1FBE-4494-BFBA-51F1E037744B}" name="Tipo Paciente" dataDxfId="390"/>
    <tableColumn id="12" xr3:uid="{49FFEAB5-02DC-4369-885F-4A73A4E65D42}" name="LGPD" dataDxfId="389"/>
    <tableColumn id="13" xr3:uid="{548080DD-3570-42BB-B79C-348ADA486A59}" name="Adesão" dataDxfId="388"/>
    <tableColumn id="23" xr3:uid="{B43610D8-6165-4B92-BAEA-737549F2E568}" name="Teste segiu sem erro?" dataDxfId="387"/>
    <tableColumn id="14" xr3:uid="{8D531D43-EE88-48D9-B209-D9582165B6F7}" name="Problemas Identificados" dataDxfId="386"/>
    <tableColumn id="15" xr3:uid="{65F00EFB-F461-496F-8B58-F6C5AA2C2DB5}" name="Responsável pela correção" dataDxfId="385"/>
    <tableColumn id="19" xr3:uid="{A6387ACC-49E2-4F94-B175-516BDF5196A9}" name="Nº chamado" dataDxfId="384"/>
    <tableColumn id="16" xr3:uid="{55E79C7D-8F1B-4667-B9E0-B30363E13796}" name="Ações Tomadas" dataDxfId="383"/>
    <tableColumn id="20" xr3:uid="{36E143D9-C438-423F-B2B2-93EF9667CF4A}" name="Abertura de chamado" dataDxfId="382"/>
    <tableColumn id="17" xr3:uid="{2625D42C-6550-4650-96B6-6E62C85D5C46}" name="Prazo de correção" dataDxfId="381"/>
    <tableColumn id="8" xr3:uid="{B3DA1709-5F58-412A-A3BC-2ED44E144397}" name="Deadline" dataDxfId="380">
      <calculatedColumnFormula>IF(DSP[[#This Row],[Abertura de chamado]]="","",NETWORKDAYS(DSP[[#This Row],[Abertura de chamado]],U$6))</calculatedColumnFormula>
    </tableColumn>
    <tableColumn id="18" xr3:uid="{E4ADF5E4-5965-4283-8ACD-4A1F6FBC9303}" name="Chamado encerrado?" dataDxfId="379"/>
    <tableColumn id="21" xr3:uid="{6F7865AC-B4AD-49B5-8669-87801B19C6E8}" name="Rede" dataDxfId="378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E2C8E1-16FA-433F-90B2-236FB502E9B6}" name="PACHECO" displayName="PACHECO" ref="A9:W77" totalsRowShown="0" headerRowDxfId="377" headerRowBorderDxfId="376" tableBorderDxfId="375">
  <autoFilter ref="A9:W77" xr:uid="{0CF107D6-8715-4336-87C7-29EC0389A746}"/>
  <tableColumns count="23">
    <tableColumn id="22" xr3:uid="{B65E456E-C873-472D-BDA1-3BA236221794}" name="Semana do mês" dataDxfId="101"/>
    <tableColumn id="1" xr3:uid="{D6FC7B0A-751A-4CBE-A5E8-03B052A666F6}" name="Data Monitoria" dataDxfId="100"/>
    <tableColumn id="2" xr3:uid="{3A655807-6E6B-45BC-90E9-7F8C1D60850E}" name="Insumos para Teste" dataDxfId="99"/>
    <tableColumn id="3" xr3:uid="{36BEED4F-998B-489B-A4DC-31ED340F27C9}" name="Identificação do programa" dataDxfId="98"/>
    <tableColumn id="4" xr3:uid="{6F24ADA4-EE3F-4F7B-89B5-8FD0621785F8}" name="Produtos" dataDxfId="97"/>
    <tableColumn id="5" xr3:uid="{24ABF491-5698-4D13-8F91-47CCB2663BA0}" name="Industria" dataDxfId="96"/>
    <tableColumn id="6" xr3:uid="{E4217094-D5DD-4B51-90ED-C05BA1DECC43}" name="EAN" dataDxfId="95"/>
    <tableColumn id="7" xr3:uid="{C1F700E6-F7C6-4DB7-A5AE-2B17E7280E5D}" name="Tipo de Campanha" dataDxfId="94"/>
    <tableColumn id="9" xr3:uid="{6599F178-0FB7-42EE-AF96-046808412063}" name="Preço Site" dataDxfId="93"/>
    <tableColumn id="10" xr3:uid="{5B0C0CCC-65F2-4D7E-87A7-E4127868D8A9}" name="Preço do programa" dataDxfId="92"/>
    <tableColumn id="11" xr3:uid="{897784D3-2A8A-4FBE-8F7E-770C8CDED6AD}" name="Tipo Paciente" dataDxfId="91"/>
    <tableColumn id="12" xr3:uid="{B50F18EC-7314-48A3-A1BF-34A15A722EBE}" name="LGPD" dataDxfId="90"/>
    <tableColumn id="13" xr3:uid="{7D535630-9D32-4F06-BED3-9DC90A8C4076}" name="Adesão" dataDxfId="89"/>
    <tableColumn id="23" xr3:uid="{CE1E0B89-688C-4510-8E98-74DCE6295DE4}" name="Teste segiu sem erro?" dataDxfId="88"/>
    <tableColumn id="14" xr3:uid="{436DF1A7-B335-47E6-A371-B160597F639C}" name="Problemas Identificados" dataDxfId="87"/>
    <tableColumn id="15" xr3:uid="{A4E2AA52-7AA0-4E31-8A8F-10DEE3C7C92A}" name="Responsável pela correção" dataDxfId="86"/>
    <tableColumn id="16" xr3:uid="{A0833AA0-9AEB-4946-90E3-10DEC4966C7C}" name="Nº chamado" dataDxfId="85"/>
    <tableColumn id="17" xr3:uid="{40B13CB1-96C9-4A02-BE3D-172D6CCA079B}" name="Ações Tomadas" dataDxfId="84"/>
    <tableColumn id="20" xr3:uid="{2D639213-FC1C-4ADD-90B2-A6D4259AA200}" name="Abertura de chamado" dataDxfId="83"/>
    <tableColumn id="8" xr3:uid="{748CA798-A76F-4D31-8CBB-D67DC7DE4D08}" name="Prazo de correção" dataDxfId="82"/>
    <tableColumn id="18" xr3:uid="{FA7888B6-5486-4018-BF3B-B7F6660CAB7C}" name="Deadline" dataDxfId="81"/>
    <tableColumn id="19" xr3:uid="{C8A6C445-AC6E-43F4-94E6-1D9B719DDCF6}" name="Chamado encerrado?" dataDxfId="80"/>
    <tableColumn id="21" xr3:uid="{7817F5B2-D2E0-49FD-A665-2087D20ABF30}" name="Rede" dataDxfId="374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9568983-B6AD-4CA6-B23E-2ADE478F9409}" name="PANVEL" displayName="PANVEL" ref="A9:W74" totalsRowShown="0" tableBorderDxfId="373">
  <autoFilter ref="A9:W74" xr:uid="{AD96CA15-76D4-4F6D-9EED-905EC0A61AC2}"/>
  <tableColumns count="23">
    <tableColumn id="1" xr3:uid="{B057F5A1-E23D-49A5-845C-28C7AC63DD71}" name="Semana do mês" dataDxfId="372">
      <calculatedColumnFormula>IF(PANVEL[[#This Row],[Data Monitoria]]="","",((((WEEKNUM(B10)-WEEKNUM(DATE(YEAR(B10),MONTH(B10),1))+1)))))</calculatedColumnFormula>
    </tableColumn>
    <tableColumn id="2" xr3:uid="{EE53BB36-369B-4B98-B31A-AA4FFFB0044D}" name="Data Monitoria" dataDxfId="371"/>
    <tableColumn id="3" xr3:uid="{3BE7E958-D801-493B-BD49-B21C0EBB6064}" name="Insumos para Teste" dataDxfId="370"/>
    <tableColumn id="4" xr3:uid="{B4A5A802-040B-4DE8-94EA-149F2F384BDB}" name="Identificação do programa" dataDxfId="369"/>
    <tableColumn id="5" xr3:uid="{137B7E43-E347-4EB4-9DF8-632CCB977FC6}" name="Produtos" dataDxfId="368"/>
    <tableColumn id="6" xr3:uid="{6F7BAF45-B249-4898-AE59-4034C6F04A5E}" name="Industria" dataDxfId="367">
      <calculatedColumnFormula>VLOOKUP(E10,'TAB PROD'!B:D,3,)</calculatedColumnFormula>
    </tableColumn>
    <tableColumn id="7" xr3:uid="{EC940E74-08AE-4B9C-85E6-048BC0084B0B}" name="EAN" dataDxfId="366">
      <calculatedColumnFormula>VLOOKUP(E10,'TAB PROD'!B:C,2,)</calculatedColumnFormula>
    </tableColumn>
    <tableColumn id="8" xr3:uid="{FE83D0C3-E006-4BA8-9AF6-9F1C13D6C1F4}" name="Tipo de Campanha" dataDxfId="365"/>
    <tableColumn id="9" xr3:uid="{AD931262-93E3-4CEA-B551-6064048B9BF3}" name="Preço Site" dataDxfId="364"/>
    <tableColumn id="10" xr3:uid="{9F2861C5-7BCC-44A8-BECC-3C5637EC024C}" name="Preço do programa" dataDxfId="363"/>
    <tableColumn id="11" xr3:uid="{1C1C39F6-46E5-4FBA-9DA9-F9672AC3DE6A}" name="Tipo Paciente" dataDxfId="362"/>
    <tableColumn id="12" xr3:uid="{E0FB7716-08FD-47F2-8F51-AFD79289583F}" name="LGPD" dataDxfId="361"/>
    <tableColumn id="13" xr3:uid="{A6F9201E-5B39-4F9A-BEC9-2D5F6009B940}" name="Adesão" dataDxfId="360"/>
    <tableColumn id="23" xr3:uid="{9717DD06-27C9-4140-A082-BE602D0B1B54}" name="Teste segiu sem erro?" dataDxfId="359"/>
    <tableColumn id="14" xr3:uid="{9DB11B8F-55BF-4936-8E0C-3DDCEC9AD83A}" name="Problemas Identificados" dataDxfId="358"/>
    <tableColumn id="15" xr3:uid="{20AEA751-720F-4BAC-9501-44F617288FEA}" name="Responsável pela correção" dataDxfId="357"/>
    <tableColumn id="16" xr3:uid="{299FCB4E-014C-48C9-B149-F1F2098A10F4}" name="Nº chamado" dataDxfId="356"/>
    <tableColumn id="17" xr3:uid="{F2B511C8-1D76-49F6-BC7E-6065D7BFDDA7}" name="Ações Tomadas" dataDxfId="355"/>
    <tableColumn id="21" xr3:uid="{AC6B74FA-19E2-4AD0-A17B-E26EE686AAEF}" name="Abertura de chamado" dataDxfId="354"/>
    <tableColumn id="18" xr3:uid="{4340E2FF-D9CF-464D-922F-4EEDD7C185A9}" name="Prazo de correção" dataDxfId="353"/>
    <tableColumn id="19" xr3:uid="{16537BAB-077D-43BC-A7A0-C9E2481347F8}" name="Deadline" dataDxfId="352">
      <calculatedColumnFormula>IF(PANVEL[[#This Row],[Abertura de chamado]]="","",NETWORKDAYS(PANVEL[[#This Row],[Abertura de chamado]],PANVEL[[#This Row],[Prazo de correção]]))</calculatedColumnFormula>
    </tableColumn>
    <tableColumn id="20" xr3:uid="{015A0374-520B-4DC6-B152-FB62F7171315}" name="Chamado encerrado?" dataDxfId="351"/>
    <tableColumn id="22" xr3:uid="{3D065F03-05C9-46DB-9D8E-DEAB412BD7AC}" name="Rede" dataDxfId="350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B5DD92C-F6CC-46B4-8E36-1BF10B5C64ED}" name="ONOFRE" displayName="ONOFRE" ref="A9:W79" totalsRowShown="0" headerRowBorderDxfId="349" tableBorderDxfId="348">
  <autoFilter ref="A9:W79" xr:uid="{BA7F1358-6BE2-413B-9972-64EF91C9EB5F}"/>
  <tableColumns count="23">
    <tableColumn id="22" xr3:uid="{9ADB1AD7-0D53-415F-9E78-CFD77C390E37}" name="Semana do mês" dataDxfId="255"/>
    <tableColumn id="1" xr3:uid="{27C33B9F-8BA1-4CA9-ACF3-10F85D681F44}" name="Data Monitoria" dataDxfId="254"/>
    <tableColumn id="2" xr3:uid="{5142019A-BEEA-485E-AA58-4FB7A8A33A5C}" name="Insumos para Teste" dataDxfId="253"/>
    <tableColumn id="3" xr3:uid="{CB92436E-5F27-4746-AA45-3D8965F00C03}" name="Identificação do programa" dataDxfId="252"/>
    <tableColumn id="4" xr3:uid="{3340D095-0B59-41D0-9B2D-074C2FE90C71}" name="Produtos" dataDxfId="251"/>
    <tableColumn id="5" xr3:uid="{9C8B720F-A450-4841-BE30-0EEF6050182B}" name="Industria" dataDxfId="250"/>
    <tableColumn id="6" xr3:uid="{E81EB926-A650-4342-95F8-42E6F8AE81FB}" name="EAN" dataDxfId="249"/>
    <tableColumn id="7" xr3:uid="{A20A244B-FB2D-4642-A56F-D129284D834B}" name="Tipo de Campanha" dataDxfId="248"/>
    <tableColumn id="9" xr3:uid="{AA32EE24-2518-4296-BF9D-24D5F910652E}" name="Preço Site" dataDxfId="247"/>
    <tableColumn id="10" xr3:uid="{4C1097C7-5EB3-422F-B4D7-4F929950F07C}" name="Preço do programa" dataDxfId="246"/>
    <tableColumn id="11" xr3:uid="{B678DC5B-48D5-4EBB-AB4C-68FC033ABDDB}" name="Tipo Paciente" dataDxfId="245"/>
    <tableColumn id="12" xr3:uid="{43F4664B-7758-409B-81D0-3B79B39D4912}" name="LGPD" dataDxfId="244"/>
    <tableColumn id="13" xr3:uid="{BEBCA79F-7814-48B6-BC4B-F6EF92E44401}" name="Adesão" dataDxfId="243"/>
    <tableColumn id="23" xr3:uid="{DE35F487-E657-4848-9945-1946493EF876}" name="Teste segiu sem erro?" dataDxfId="242"/>
    <tableColumn id="14" xr3:uid="{53F2B19A-9CB9-48BE-B622-1D86AF519519}" name="Problemas Identificados" dataDxfId="241"/>
    <tableColumn id="15" xr3:uid="{DA9F0A6F-3B6C-4645-AB93-A621CA6219BB}" name="Responsável pela correção" dataDxfId="240"/>
    <tableColumn id="16" xr3:uid="{B9BFF381-F003-40CE-872D-0EC7D7555E83}" name="Nº chamado" dataDxfId="239"/>
    <tableColumn id="17" xr3:uid="{1BEEF1A8-593E-417A-B9DD-A5C36B8A74F0}" name="Ações Tomadas" dataDxfId="238"/>
    <tableColumn id="20" xr3:uid="{5AAF7988-6B9F-4B23-B538-F57208164490}" name="Abertura de chamado" dataDxfId="237"/>
    <tableColumn id="8" xr3:uid="{42A34BC6-FEBC-433A-908D-2D9F4F97A3C3}" name="Prazo de correção" dataDxfId="236"/>
    <tableColumn id="18" xr3:uid="{BBD95714-8EA2-44E7-B678-71D16829E4A2}" name="Deadline" dataDxfId="235"/>
    <tableColumn id="19" xr3:uid="{653F68DA-8C51-4F6D-BD8B-87E9A825770A}" name="Chamado encerrado?" dataDxfId="234"/>
    <tableColumn id="21" xr3:uid="{24241571-0561-448D-9331-08FEF0E14C83}" name="Rede" dataDxfId="347"/>
  </tableColumns>
  <tableStyleInfo name="TableStyleLight4" showFirstColumn="0" showLastColumn="0" showRowStripes="1" showColumnStripes="0"/>
  <extLst>
    <ext xmlns:x14="http://schemas.microsoft.com/office/spreadsheetml/2009/9/main" uri="{504A1905-F514-4f6f-8877-14C23A59335A}">
      <x14:table altText="Sim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1E85E4-8862-40FB-8BA5-3C168D76AD4E}" name="QUALIDOC" displayName="QUALIDOC" ref="A9:W76" totalsRowShown="0" headerRowDxfId="346" tableBorderDxfId="345">
  <autoFilter ref="A9:W76" xr:uid="{445DD4DE-EB90-43DB-96F1-BF3089BCC16B}"/>
  <tableColumns count="23">
    <tableColumn id="22" xr3:uid="{9A9DE162-8ACE-4C3A-9EEB-3E6422F3CCF4}" name="Semana do mês" dataDxfId="344">
      <calculatedColumnFormula>IF(QUALIDOC[[#This Row],[Data Monitoria]]="","",((((WEEKNUM(B10)-WEEKNUM(DATE(YEAR(B10),MONTH(B10),1))+1)))))</calculatedColumnFormula>
    </tableColumn>
    <tableColumn id="1" xr3:uid="{72A1001A-6EEC-4F8C-8250-890BFDCCC616}" name="Data Monitoria" dataDxfId="343"/>
    <tableColumn id="2" xr3:uid="{46E6A8A5-F3ED-48C7-AC53-BB6AA82FF585}" name="Insumos para Teste" dataDxfId="342"/>
    <tableColumn id="3" xr3:uid="{BA9BF1B9-2C09-44C8-98AF-97F7E7456157}" name="Identificação do programa" dataDxfId="341"/>
    <tableColumn id="4" xr3:uid="{B8CD22BA-15EC-426D-8A94-DE1A2758C97D}" name="Produtos" dataDxfId="340"/>
    <tableColumn id="5" xr3:uid="{4934FDE4-7D61-4FBB-BA61-3E8247B21CAA}" name="Industria" dataDxfId="339">
      <calculatedColumnFormula>VLOOKUP(E10,'TAB PROD'!B:D,3,)</calculatedColumnFormula>
    </tableColumn>
    <tableColumn id="6" xr3:uid="{3C5D2B31-4CD5-4D1F-B368-9A210B57CE1C}" name="EAN" dataDxfId="338">
      <calculatedColumnFormula>VLOOKUP(E10,'TAB PROD'!B:C,2,)</calculatedColumnFormula>
    </tableColumn>
    <tableColumn id="7" xr3:uid="{B7A18E09-0536-4C57-81C0-A72BB9B16505}" name="Tipo de Campanha" dataDxfId="337"/>
    <tableColumn id="8" xr3:uid="{E28561AE-7DEE-46E4-BDAF-A00E2C7B0EA8}" name="Preço Site" dataDxfId="336"/>
    <tableColumn id="9" xr3:uid="{397C760D-29E7-4C7F-B2E9-2AD68D6F8E1D}" name="Preço do programa" dataDxfId="335"/>
    <tableColumn id="10" xr3:uid="{E92BA4BE-CD88-422E-8FEF-5156303A2B68}" name="Tipo Paciente" dataDxfId="334"/>
    <tableColumn id="11" xr3:uid="{C72DDCA1-5DDF-4325-8125-32BFD8ADE0D5}" name="LGPD" dataDxfId="333"/>
    <tableColumn id="12" xr3:uid="{2894010B-99F3-4D43-945F-6CD5DB8229D5}" name="Adesão" dataDxfId="332"/>
    <tableColumn id="23" xr3:uid="{41F94429-1CD9-4C08-8C36-F965F352E783}" name="Teste segiu sem erro?" dataDxfId="331"/>
    <tableColumn id="13" xr3:uid="{5BB837EE-3347-4ACC-A9F8-7AE6FB826D87}" name="Problemas Identificados" dataDxfId="330"/>
    <tableColumn id="14" xr3:uid="{67397526-D646-42A2-89AF-3BC0BA61FE0F}" name="Responsável pela correção" dataDxfId="329"/>
    <tableColumn id="15" xr3:uid="{B3409FC6-66E1-410F-A7B0-1E96CFBE8429}" name="Nº chamado" dataDxfId="328"/>
    <tableColumn id="16" xr3:uid="{798A0D03-5F98-4D3E-9224-68FEC85F998C}" name="Ações Tomadas" dataDxfId="327"/>
    <tableColumn id="20" xr3:uid="{927CF1C4-3907-417E-8A65-9C5AFCA1AD37}" name="Abertura de chamado" dataDxfId="326"/>
    <tableColumn id="17" xr3:uid="{CBF215AE-DB78-4F05-953A-2C86609A153B}" name="Prazo de correção" dataDxfId="325"/>
    <tableColumn id="18" xr3:uid="{D04A087C-3B95-49E6-8145-9ECA4F0A7914}" name="Deadline" dataDxfId="324">
      <calculatedColumnFormula>IF(QUALIDOC[[#This Row],[Abertura de chamado]]="","",NETWORKDAYS(QUALIDOC[[#This Row],[Abertura de chamado]],U$6))</calculatedColumnFormula>
    </tableColumn>
    <tableColumn id="19" xr3:uid="{982312FA-30E1-494E-B98A-CA8BB6CA5A32}" name="Chamado encerrado?" dataDxfId="323"/>
    <tableColumn id="21" xr3:uid="{D8F70ED2-7864-4FFB-8704-9555EAD70B79}" name="Rede" dataDxfId="322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34A646-12A5-4B07-B402-C5E8260279B5}" name="DROGAL" displayName="DROGAL" ref="A9:W79" headerRowBorderDxfId="319" tableBorderDxfId="318">
  <autoFilter ref="A9:W79" xr:uid="{C5ABCCC5-359F-4239-AA86-93DBCA4AFAD1}"/>
  <tableColumns count="23">
    <tableColumn id="22" xr3:uid="{76FED86E-5A4E-4ABD-94E8-298C780C5259}" name="Semana do mês" dataDxfId="233" totalsRowDxfId="317"/>
    <tableColumn id="1" xr3:uid="{AB761A65-2B89-4F85-BA82-ADF510E55EE0}" name="Data Monitoria" totalsRowLabel="Total" dataDxfId="232" totalsRowDxfId="316"/>
    <tableColumn id="2" xr3:uid="{FF116DA2-8EF2-43CC-8010-C6A8ADEF7E39}" name="Insumos para Teste" dataDxfId="231" totalsRowDxfId="315"/>
    <tableColumn id="3" xr3:uid="{8535DFB2-D58C-4471-A209-05B1AC5F6177}" name="Identificação do programa" dataDxfId="230" totalsRowDxfId="314"/>
    <tableColumn id="4" xr3:uid="{4A61545A-176B-417E-AEB6-46316B42A78D}" name="Produtos" dataDxfId="229" totalsRowDxfId="313"/>
    <tableColumn id="5" xr3:uid="{F849305A-C969-4181-9EE0-8DF51CB50816}" name="Industria" dataDxfId="228" totalsRowDxfId="312"/>
    <tableColumn id="6" xr3:uid="{D8FF0A0E-6F73-4CFA-A082-1E1DB71A8A8D}" name="EAN" dataDxfId="227" totalsRowDxfId="311"/>
    <tableColumn id="7" xr3:uid="{E9B764D9-185C-4D53-AF3D-C45F85BFC0D7}" name="Tipo de Campanha" dataDxfId="226" totalsRowDxfId="310"/>
    <tableColumn id="9" xr3:uid="{334444C7-3058-4D02-B502-CF0837FEECA6}" name="Preço Site" dataDxfId="225" totalsRowDxfId="309"/>
    <tableColumn id="10" xr3:uid="{4942F0EE-0358-4D21-AA15-5574464FBB32}" name="Preço do programa" dataDxfId="224" totalsRowDxfId="308"/>
    <tableColumn id="11" xr3:uid="{F24A166E-90B3-476C-8F69-E23565E40DC4}" name="Tipo Paciente" dataDxfId="223" totalsRowDxfId="307"/>
    <tableColumn id="12" xr3:uid="{146B9E53-EE17-4235-ABEF-633E5386C844}" name="LGPD" dataDxfId="222" totalsRowDxfId="306"/>
    <tableColumn id="13" xr3:uid="{8C362A9E-BA92-4D5B-A72B-97F9FD9120D8}" name="Adesão" dataDxfId="221" totalsRowDxfId="305"/>
    <tableColumn id="23" xr3:uid="{FFDC2157-5F7B-4CD2-AC20-6B9888E349CC}" name="Teste segiu sem erro?" dataDxfId="220" totalsRowDxfId="304"/>
    <tableColumn id="14" xr3:uid="{05FAB45B-CA8B-4397-A458-2ECC74B8DE55}" name="Problemas Identificados" dataDxfId="219" totalsRowDxfId="303"/>
    <tableColumn id="15" xr3:uid="{0444E07E-4E37-4A05-92E6-740B73D92952}" name="Responsável pela correção" dataDxfId="218" totalsRowDxfId="302"/>
    <tableColumn id="16" xr3:uid="{6C450B0D-E6EC-4286-94BE-215F769B94C6}" name="Nº chamado" dataDxfId="217" totalsRowDxfId="301"/>
    <tableColumn id="17" xr3:uid="{75A803E1-4CA9-4933-A3DA-A07C700CDFC6}" name="Ações Tomadas" totalsRowFunction="count" dataDxfId="216" totalsRowDxfId="300"/>
    <tableColumn id="20" xr3:uid="{01F221B4-EC00-48B0-B500-836CD4999F31}" name="Abertura de chamado" dataDxfId="215" totalsRowDxfId="299"/>
    <tableColumn id="8" xr3:uid="{6FC86D49-5B77-4ABF-AFFC-8FC3890FE024}" name="Prazo de correção" dataDxfId="214" totalsRowDxfId="298"/>
    <tableColumn id="18" xr3:uid="{0057003D-4530-4466-94E2-7A58B62AAD90}" name="Deadline" dataDxfId="213" totalsRowDxfId="297"/>
    <tableColumn id="19" xr3:uid="{C6201735-EBA9-447F-8F0F-8D440CB4ADAE}" name="Chamado encerrado?" dataDxfId="212" totalsRowDxfId="296"/>
    <tableColumn id="21" xr3:uid="{B1D88F95-E7E4-4FD4-A309-0A4BD57629BC}" name="Rede" dataDxfId="295" totalsRowDxfId="294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F2AF8CB-8953-4231-AF0E-EB486CF541F5}" name="P.Menos" displayName="P.Menos" ref="A9:W78" totalsRowShown="0" headerRowDxfId="321" headerRowBorderDxfId="320">
  <autoFilter ref="A9:W78" xr:uid="{3DC5ABB2-8BAA-4B36-873A-2B7680232D9A}"/>
  <tableColumns count="23">
    <tableColumn id="22" xr3:uid="{4E33ECF2-F9EE-47B7-BD00-4B398A91BC20}" name="Semana do mês" dataDxfId="278"/>
    <tableColumn id="1" xr3:uid="{E3B217D1-DC02-40E3-8329-BDE8485146E2}" name="Data Monitoria" dataDxfId="277"/>
    <tableColumn id="2" xr3:uid="{4D6E9996-0C35-4F05-8927-2F0B84B0775B}" name="Insumos para Teste" dataDxfId="276"/>
    <tableColumn id="3" xr3:uid="{92308D2E-20DE-45F6-B9CB-986C67168DB2}" name="Identificação do programa" dataDxfId="275"/>
    <tableColumn id="4" xr3:uid="{BB84E06A-1B4F-4D82-BCAB-B4C864515E6B}" name="Produtos" dataDxfId="274"/>
    <tableColumn id="5" xr3:uid="{FAA8A3C0-C5F6-469E-911F-E60A49DB4F65}" name="Industria" dataDxfId="273"/>
    <tableColumn id="6" xr3:uid="{8BE17168-F8B3-4D68-8802-429BF61475D0}" name="EAN" dataDxfId="272"/>
    <tableColumn id="7" xr3:uid="{90D4D370-661B-411E-A711-FAA2FB827B0D}" name="Tipo de Campanha" dataDxfId="271"/>
    <tableColumn id="8" xr3:uid="{B61F5BFA-8DD7-4665-92A9-A2F555A50268}" name="Preço Site" dataDxfId="270"/>
    <tableColumn id="9" xr3:uid="{1A66005A-2B84-4852-9467-4016820A1467}" name="Preço do programa" dataDxfId="269"/>
    <tableColumn id="10" xr3:uid="{66764483-D7C5-45E7-A05E-9CB162B39894}" name="Tipo Paciente" dataDxfId="268"/>
    <tableColumn id="11" xr3:uid="{F2BEE737-097F-47BD-95B7-437C3929C50D}" name="LGPD" dataDxfId="267"/>
    <tableColumn id="12" xr3:uid="{9BCA5499-17E4-4503-B4A0-74DB487C0775}" name="Adesão" dataDxfId="266"/>
    <tableColumn id="23" xr3:uid="{F543A0DD-4B0B-4A7F-8B6F-85C58AC6BFE1}" name="Teste segiu sem erro?" dataDxfId="265"/>
    <tableColumn id="13" xr3:uid="{80259213-5E34-4BF7-B296-B9143B9DF0A3}" name="Problemas Identificados" dataDxfId="264"/>
    <tableColumn id="14" xr3:uid="{CABBF6E2-D304-4A48-9E1E-2DB614B46223}" name="Responsável pela correção" dataDxfId="263"/>
    <tableColumn id="15" xr3:uid="{766E156E-E7FB-4C2E-A961-DEB6AE29E572}" name="Nº chamado" dataDxfId="262"/>
    <tableColumn id="16" xr3:uid="{0230D471-4F8D-4C72-A402-05371B5C337F}" name="Ações Tomadas" dataDxfId="261"/>
    <tableColumn id="20" xr3:uid="{51E68537-6553-4ECC-AEDC-BA6095DD0BB6}" name="Abertura de chamado" dataDxfId="260"/>
    <tableColumn id="17" xr3:uid="{88821CDB-BF34-460A-8A6C-215EC069D23A}" name="Prazo de correção" dataDxfId="259"/>
    <tableColumn id="18" xr3:uid="{63988792-3672-4DA0-93D1-DC4CF0ABC78E}" name="Deadline" dataDxfId="258"/>
    <tableColumn id="19" xr3:uid="{1ABF3023-5BDB-48B1-8042-73EF2FD4033D}" name="Chamado encerrado?" dataDxfId="257"/>
    <tableColumn id="21" xr3:uid="{31E17E74-F8DA-45D2-91B0-218439C932E5}" name="Rede" dataDxfId="256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68BC977-A9DB-43F8-9EF8-9348695BEDD5}" name="DNE" displayName="DNE" ref="A9:W79" totalsRowShown="0" headerRowBorderDxfId="293" tableBorderDxfId="292">
  <autoFilter ref="A9:W79" xr:uid="{63DE40AC-7115-4D72-BAC2-4FBC1E60BF5D}"/>
  <tableColumns count="23">
    <tableColumn id="22" xr3:uid="{A4E61830-37FE-44D5-994D-4161788DC3AD}" name="Semana do mês" dataDxfId="211"/>
    <tableColumn id="1" xr3:uid="{16ABB569-F9E4-49C5-AB11-154D09CEB4CB}" name="Data Monitoria" dataDxfId="210"/>
    <tableColumn id="2" xr3:uid="{1A581526-7ACE-4B02-911A-2251A23B16C6}" name="Insumos para Teste" dataDxfId="209"/>
    <tableColumn id="3" xr3:uid="{3041D6C6-BC9C-472D-A2FB-AAF5935DF676}" name="Identificação do programa" dataDxfId="208"/>
    <tableColumn id="4" xr3:uid="{2A212363-12F2-4587-A0DF-A6D863C06FBE}" name="Produtos" dataDxfId="207"/>
    <tableColumn id="5" xr3:uid="{8BE5DF09-049F-4C0D-93BE-F9141377DBFE}" name="Industria" dataDxfId="206"/>
    <tableColumn id="6" xr3:uid="{9A5EB541-3561-43D6-9F16-D83D3E0605A1}" name="EAN" dataDxfId="205"/>
    <tableColumn id="7" xr3:uid="{50BA3FE8-05F5-4FCE-8B8E-3CD43FE1E355}" name="Tipo de Campanha" dataDxfId="204"/>
    <tableColumn id="9" xr3:uid="{E207EE99-9195-44BA-9D1E-7EAF0D2A5794}" name="Preço Site" dataDxfId="203"/>
    <tableColumn id="10" xr3:uid="{D3F61782-E62C-4D88-B7FB-56BBBC789938}" name="Preço do programa" dataDxfId="202"/>
    <tableColumn id="11" xr3:uid="{D9CA8885-2856-4AC7-A13F-52D0AC14C80F}" name="Tipo Paciente" dataDxfId="201"/>
    <tableColumn id="12" xr3:uid="{EF520081-33BB-43B7-B661-577CCAC1E7FD}" name="LGPD" dataDxfId="200"/>
    <tableColumn id="13" xr3:uid="{7048F06D-702B-4752-9838-1B38CCF01057}" name="Adesão" dataDxfId="199"/>
    <tableColumn id="23" xr3:uid="{5236E786-16E5-4AB5-A0B8-D25192A58FF3}" name="Teste segiu sem erro?" dataDxfId="198"/>
    <tableColumn id="14" xr3:uid="{7AC1B6B5-B919-412A-ADDC-5611034FB6D0}" name="Problemas Identificados" dataDxfId="197"/>
    <tableColumn id="15" xr3:uid="{AC572B7A-8ACE-48E2-8BBE-A2A2736C8BDC}" name="Responsável pela correção" dataDxfId="196"/>
    <tableColumn id="16" xr3:uid="{5490A4DA-1C2D-41AF-84A9-D37F70B99F1D}" name="Nº chamado" dataDxfId="195"/>
    <tableColumn id="17" xr3:uid="{CFF90CBA-59C6-495D-9D82-8C39690A783B}" name="Ações Tomadas" dataDxfId="194"/>
    <tableColumn id="20" xr3:uid="{C51A2B47-B384-4B92-87E0-E78EA6C63FA1}" name="Abertura de chamado" dataDxfId="193"/>
    <tableColumn id="8" xr3:uid="{CC336732-FE1D-45AB-A3DC-B21FCD4D350F}" name="Prazo de correção" dataDxfId="192"/>
    <tableColumn id="18" xr3:uid="{E2E17501-C83E-4BB0-BE65-2F1095C1C161}" name="Deadline" dataDxfId="191"/>
    <tableColumn id="19" xr3:uid="{37276313-7A65-45D0-80CC-4D46029044C9}" name="Chamado encerrado?" dataDxfId="190"/>
    <tableColumn id="21" xr3:uid="{ED532BD3-EACF-4460-BDB1-4AB4543A070C}" name="Rede" dataDxfId="291"/>
  </tableColumns>
  <tableStyleInfo name="TableStyleLight4" showFirstColumn="0" showLastColumn="0" showRowStripes="1" showColumnStripes="0"/>
  <extLst>
    <ext xmlns:x14="http://schemas.microsoft.com/office/spreadsheetml/2009/9/main" uri="{504A1905-F514-4f6f-8877-14C23A59335A}">
      <x14:table altText="Sim"/>
    </ext>
  </extLst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523D36B-BF6F-4C65-8515-A14997123B94}" name="NISSEI" displayName="NISSEI" ref="A9:W79" totalsRowShown="0" headerRowBorderDxfId="290" tableBorderDxfId="289">
  <autoFilter ref="A9:W79" xr:uid="{9D61B8A2-097D-4BE9-9D55-ABFE68925B57}"/>
  <tableColumns count="23">
    <tableColumn id="22" xr3:uid="{8E4A1647-C78D-427F-80C7-E50E8D2AE269}" name="Semana do mês" dataDxfId="189"/>
    <tableColumn id="1" xr3:uid="{9B07F8D7-E4B9-429D-8FA4-C55E1B085E33}" name="Data Monitoria" dataDxfId="188"/>
    <tableColumn id="2" xr3:uid="{07A2DAB0-476C-47DC-9853-D6C68162053F}" name="Insumos para Teste" dataDxfId="187"/>
    <tableColumn id="3" xr3:uid="{446C78B8-5CB4-442D-874F-E06FD2E91132}" name="Identificação do programa" dataDxfId="186"/>
    <tableColumn id="4" xr3:uid="{946899EA-7793-48A4-A84B-395220AC6EA3}" name="Produtos" dataDxfId="185"/>
    <tableColumn id="5" xr3:uid="{6802F2E8-D559-44E2-91AB-6DEE788193C9}" name="Industria" dataDxfId="184"/>
    <tableColumn id="6" xr3:uid="{CEB2813B-6952-449E-93D0-923FFE2636E4}" name="EAN" dataDxfId="183"/>
    <tableColumn id="7" xr3:uid="{5E593DEF-9FC7-49E3-826D-AF2B3A739978}" name="Tipo de Campanha" dataDxfId="182"/>
    <tableColumn id="9" xr3:uid="{EDE00917-D2C1-4D06-B5E2-04ABF2963FC7}" name="Preço Site" dataDxfId="181"/>
    <tableColumn id="10" xr3:uid="{72CFBD1E-54C7-4263-B0E4-6784359C09E7}" name="Preço do programa" dataDxfId="180"/>
    <tableColumn id="11" xr3:uid="{18F3CCE6-51B9-4869-BA5D-B881A402BC6E}" name="Tipo Paciente" dataDxfId="179"/>
    <tableColumn id="12" xr3:uid="{62FBB7DC-3380-4404-84F4-2339C582A8A2}" name="LGPD" dataDxfId="178"/>
    <tableColumn id="13" xr3:uid="{777E821E-21F1-4328-90EA-D1FC5BAD6CAB}" name="Adesão" dataDxfId="177"/>
    <tableColumn id="23" xr3:uid="{AE72F6FB-8278-4882-A2E1-1A2F1F1D1AC0}" name="Teste segiu sem erro?" dataDxfId="176"/>
    <tableColumn id="14" xr3:uid="{0D6CFADF-6ACD-42C6-8CAC-91980AC6CB4D}" name="Problemas Identificados" dataDxfId="175"/>
    <tableColumn id="15" xr3:uid="{D40B0323-70A1-4AC8-A95C-AC042D1866A9}" name="Responsável pela correção" dataDxfId="174"/>
    <tableColumn id="16" xr3:uid="{6BCD020F-ABA1-4E21-A8FE-DBED4C99E104}" name="Nº chamado" dataDxfId="173"/>
    <tableColumn id="17" xr3:uid="{E1D11997-2C42-4B95-ABB9-271EBD3A39E1}" name="Ações Tomadas" dataDxfId="172"/>
    <tableColumn id="20" xr3:uid="{B97835EF-F9EB-4B16-8533-71BEA845723E}" name="Abertura de chamado" dataDxfId="171"/>
    <tableColumn id="8" xr3:uid="{16033767-EE48-4C0B-9633-4CDEC8532CBD}" name="Prazo de correção" dataDxfId="170"/>
    <tableColumn id="18" xr3:uid="{F2126992-1848-415E-B5D5-244FFB229B1D}" name="Deadline" dataDxfId="169"/>
    <tableColumn id="19" xr3:uid="{51B413BA-8DAD-4B8B-BF07-163B0BE5D2BD}" name="Chamado encerrado?" dataDxfId="168"/>
    <tableColumn id="21" xr3:uid="{F75791A3-8935-495B-AAA9-0F06DFD9EE2C}" name="Rede" dataDxfId="288"/>
  </tableColumns>
  <tableStyleInfo name="TableStyleLight4" showFirstColumn="0" showLastColumn="0" showRowStripes="1" showColumnStripes="0"/>
  <extLst>
    <ext xmlns:x14="http://schemas.microsoft.com/office/spreadsheetml/2009/9/main" uri="{504A1905-F514-4f6f-8877-14C23A59335A}">
      <x14:table altText="Sim"/>
    </ext>
  </extLst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639B03A-A68B-44BC-935A-C320DB23AEFB}" name="EXTRAFARMA" displayName="EXTRAFARMA" ref="A9:W79" totalsRowShown="0" headerRowBorderDxfId="287" tableBorderDxfId="286">
  <autoFilter ref="A9:W79" xr:uid="{A33ACDB9-E643-494E-AD6B-7D900C6D4F94}"/>
  <tableColumns count="23">
    <tableColumn id="22" xr3:uid="{66F9A252-8CEF-409F-B054-85D60A25BC5F}" name="Semana do mês" dataDxfId="167"/>
    <tableColumn id="1" xr3:uid="{AC81D0AB-6C15-476E-8279-A81FCD31A655}" name="Data Monitoria" dataDxfId="166"/>
    <tableColumn id="2" xr3:uid="{B07AB63E-F254-4A6A-B405-0215E5567ACF}" name="Insumos para Teste" dataDxfId="165"/>
    <tableColumn id="3" xr3:uid="{427EA8A0-A30F-4ABE-95CC-3F6B33A66094}" name="Identificação do programa" dataDxfId="164"/>
    <tableColumn id="4" xr3:uid="{2BE7C3A0-9F39-40B5-B560-D351FA34B9A3}" name="Produtos" dataDxfId="163"/>
    <tableColumn id="5" xr3:uid="{A6631044-F44B-42B1-A406-0BE43789BE16}" name="Industria" dataDxfId="162"/>
    <tableColumn id="6" xr3:uid="{A5EF0481-8D52-4C19-838A-3E942A7DEBC8}" name="EAN" dataDxfId="161"/>
    <tableColumn id="7" xr3:uid="{1807B734-E014-4865-85DB-964FDB668664}" name="Tipo de Campanha" dataDxfId="160"/>
    <tableColumn id="9" xr3:uid="{56AB3BB7-44B7-43D7-A22F-19A49CA57F7B}" name="Preço Site" dataDxfId="159"/>
    <tableColumn id="10" xr3:uid="{068F5942-F004-4B8E-93AF-138E3964C2BB}" name="Preço do programa" dataDxfId="158"/>
    <tableColumn id="11" xr3:uid="{50840BE1-92CC-4B4A-9E62-D1B59A833038}" name="Tipo Paciente" dataDxfId="157"/>
    <tableColumn id="12" xr3:uid="{DF36B5E7-7CB7-4BF6-B153-9E2D7CD165BF}" name="LGPD" dataDxfId="156"/>
    <tableColumn id="13" xr3:uid="{6F91753A-98B1-42E6-B34A-793CC209BDAB}" name="Adesão" dataDxfId="155"/>
    <tableColumn id="23" xr3:uid="{7377161F-ED95-4FC9-B5E2-5FB3CF51A9FD}" name="Teste segiu sem erro?" dataDxfId="154"/>
    <tableColumn id="14" xr3:uid="{1F1C8C04-9B91-4C42-AAE7-3FA0E36AC8A8}" name="Problemas Identificados" dataDxfId="153"/>
    <tableColumn id="15" xr3:uid="{0D17E826-73BF-4557-BE0A-4AEA2EA05B32}" name="Responsável pela correção" dataDxfId="152"/>
    <tableColumn id="16" xr3:uid="{12D3CA2C-A5FF-4124-8CD9-39D32F1280F3}" name="Nº chamado" dataDxfId="151"/>
    <tableColumn id="17" xr3:uid="{CBD1E537-320D-4A14-9F9E-0FA63AEC175D}" name="Ações Tomadas" dataDxfId="150"/>
    <tableColumn id="20" xr3:uid="{61A68D92-F882-4B4D-98E9-B3DEF442DDED}" name="Abertura de chamado" dataDxfId="149"/>
    <tableColumn id="8" xr3:uid="{8724B796-B7E0-4C3F-90D7-97D137B91CCD}" name="Prazo de correção" dataDxfId="148"/>
    <tableColumn id="18" xr3:uid="{8675B38F-9BFD-423A-B75D-E52D2C693BD9}" name="Deadline" dataDxfId="147"/>
    <tableColumn id="19" xr3:uid="{2C658397-3C83-4A0E-B77E-CA4F76D14A79}" name="Chamado encerrado?" dataDxfId="146"/>
    <tableColumn id="21" xr3:uid="{02565551-D4B3-4B80-BB5B-78DF51B14E03}" name="Rede" dataDxfId="285"/>
  </tableColumns>
  <tableStyleInfo name="TableStyleLight4" showFirstColumn="0" showLastColumn="0" showRowStripes="1" showColumnStripes="0"/>
  <extLst>
    <ext xmlns:x14="http://schemas.microsoft.com/office/spreadsheetml/2009/9/main" uri="{504A1905-F514-4f6f-8877-14C23A59335A}">
      <x14:table altText="Sim"/>
    </ext>
  </extLst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2970580-BFB8-4B63-A111-AD10DA005576}" name="DROGAO" displayName="DROGAO" ref="A9:W79" totalsRowShown="0" headerRowBorderDxfId="284" tableBorderDxfId="283">
  <autoFilter ref="A9:W79" xr:uid="{AA9BF963-646D-433D-8BDA-40734E3CF433}"/>
  <tableColumns count="23">
    <tableColumn id="22" xr3:uid="{6D551665-00EE-46F0-A400-9F28583F9CEE}" name="Semana do mês" dataDxfId="145"/>
    <tableColumn id="1" xr3:uid="{075A99C3-FDCF-4C32-A5E0-9F145069EE7A}" name="Data Monitoria" dataDxfId="144"/>
    <tableColumn id="2" xr3:uid="{FA0D1EFD-8A4A-4C4A-9B6B-9FBF53B46E4C}" name="Insumos para Teste" dataDxfId="143"/>
    <tableColumn id="3" xr3:uid="{7ADBF342-04DB-45B1-9E97-5B9871EA7F1F}" name="Identificação do programa" dataDxfId="142"/>
    <tableColumn id="4" xr3:uid="{3B7F96D2-005C-40C1-8773-4FDD47AA1C1B}" name="Produtos" dataDxfId="141"/>
    <tableColumn id="5" xr3:uid="{38A647D9-3B62-4857-AD74-F2D4C619A771}" name="Industria" dataDxfId="140"/>
    <tableColumn id="6" xr3:uid="{4CF48731-1705-414A-BC8A-B509486ABCC9}" name="EAN" dataDxfId="139"/>
    <tableColumn id="7" xr3:uid="{A6313F15-DB71-41A0-AFC8-05D504DE73EF}" name="Tipo de Campanha" dataDxfId="138"/>
    <tableColumn id="9" xr3:uid="{69F710A0-FCE9-4939-8402-78EC43F105AE}" name="Preço Site" dataDxfId="137"/>
    <tableColumn id="10" xr3:uid="{4E2794CA-92BE-4901-9C26-1386471FF1D4}" name="Preço do programa" dataDxfId="136"/>
    <tableColumn id="11" xr3:uid="{60B9E043-E8BF-49CC-8E80-E4051F1FFFA2}" name="Tipo Paciente" dataDxfId="135"/>
    <tableColumn id="12" xr3:uid="{B0F5DF23-CC69-4C71-B460-CAB3321DE65A}" name="LGPD" dataDxfId="134"/>
    <tableColumn id="13" xr3:uid="{E9CE96A0-2236-4499-8AF5-65BD0BEAC5F6}" name="Adesão" dataDxfId="133"/>
    <tableColumn id="23" xr3:uid="{D755549F-8E30-47F9-BAB4-28D3CBA9F107}" name="Teste segiu sem erro?" dataDxfId="132"/>
    <tableColumn id="14" xr3:uid="{84D11934-7815-4192-89EF-3E761A77F9BA}" name="Problemas Identificados" dataDxfId="131"/>
    <tableColumn id="15" xr3:uid="{661C917F-F898-47AB-AA71-A39C9DDB843E}" name="Responsável pela correção" dataDxfId="130"/>
    <tableColumn id="16" xr3:uid="{108F6C3C-8FE0-4622-9419-D87D08184357}" name="Nº chamado" dataDxfId="129"/>
    <tableColumn id="17" xr3:uid="{0FDA9D34-D265-4184-859E-E53CAC144459}" name="Ações Tomadas" dataDxfId="128"/>
    <tableColumn id="20" xr3:uid="{BFB39006-6EE0-4547-AD4B-211258939CE0}" name="Abertura de chamado" dataDxfId="127"/>
    <tableColumn id="8" xr3:uid="{E0C7095B-FDF9-4BDE-8101-A8F11239FD90}" name="Prazo de correção" dataDxfId="126"/>
    <tableColumn id="18" xr3:uid="{B1184FFF-20AD-4824-984C-006C7F38FAE1}" name="Deadline" dataDxfId="125"/>
    <tableColumn id="19" xr3:uid="{1D7E2176-BA5B-4E1F-897B-F5544E42DFB1}" name="Chamado encerrado?" dataDxfId="124"/>
    <tableColumn id="21" xr3:uid="{0FC538F7-EEA5-4E41-94C2-4B7CAA887678}" name="Rede" dataDxfId="282"/>
  </tableColumns>
  <tableStyleInfo name="TableStyleLight4" showFirstColumn="0" showLastColumn="0" showRowStripes="1" showColumnStripes="0"/>
  <extLst>
    <ext xmlns:x14="http://schemas.microsoft.com/office/spreadsheetml/2009/9/main" uri="{504A1905-F514-4f6f-8877-14C23A59335A}">
      <x14:table altText="Sim"/>
    </ext>
  </extLst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1AAF558-0098-43EF-838F-436EB0123575}" name="VENANCIO" displayName="VENANCIO" ref="A9:W79" totalsRowShown="0" headerRowBorderDxfId="281" tableBorderDxfId="280">
  <autoFilter ref="A9:W79" xr:uid="{9D2E8A91-3541-44B8-807F-E4F41B5E33EF}"/>
  <tableColumns count="23">
    <tableColumn id="22" xr3:uid="{33BE0A43-04CF-4143-95D2-7C0283FB61AA}" name="Semana do mês" dataDxfId="123"/>
    <tableColumn id="1" xr3:uid="{0FD00330-B30D-431B-B6D7-EDA31C4180FC}" name="Data Monitoria" dataDxfId="122"/>
    <tableColumn id="2" xr3:uid="{405D26EF-3C1D-4A40-A691-84A22B5A7C08}" name="Insumos para Teste" dataDxfId="121"/>
    <tableColumn id="3" xr3:uid="{132698BE-4805-4483-BB87-8B05281824B8}" name="Identificação do programa" dataDxfId="120"/>
    <tableColumn id="4" xr3:uid="{13BD986D-A8F4-491B-8186-846074C2ABBA}" name="Produtos" dataDxfId="119"/>
    <tableColumn id="5" xr3:uid="{441CCD8D-1049-4789-AFDF-CFC4D43F80B8}" name="Industria" dataDxfId="118"/>
    <tableColumn id="6" xr3:uid="{64383DEE-7917-409C-BA0E-F753D33CDE0D}" name="EAN" dataDxfId="117"/>
    <tableColumn id="7" xr3:uid="{260F81FC-9034-4A4D-9035-0BBA64DD67A6}" name="Tipo de Campanha" dataDxfId="116"/>
    <tableColumn id="9" xr3:uid="{D1D02D11-5701-473F-B7F6-E5EC3854844A}" name="Preço Site" dataDxfId="115"/>
    <tableColumn id="10" xr3:uid="{63BA63F5-E209-4F35-9244-2007473CAE34}" name="Preço do programa" dataDxfId="114"/>
    <tableColumn id="11" xr3:uid="{903BC5A5-B42C-4C89-9418-B27B46A010FE}" name="Tipo Paciente" dataDxfId="113"/>
    <tableColumn id="12" xr3:uid="{A024DC76-C153-4951-A556-CDF078BA700C}" name="LGPD" dataDxfId="112"/>
    <tableColumn id="13" xr3:uid="{444928C0-872E-48D0-8C7A-A9C09DFB2F28}" name="Adesão" dataDxfId="111"/>
    <tableColumn id="23" xr3:uid="{CBEBE5F9-1408-4258-AB31-A4763C5F7F27}" name="Teste segiu sem erro?" dataDxfId="110"/>
    <tableColumn id="14" xr3:uid="{96BADC68-1094-446B-B291-303FEA750044}" name="Problemas Identificados" dataDxfId="109"/>
    <tableColumn id="15" xr3:uid="{BBF216D5-780C-45FB-BEDD-61831F56ECE7}" name="Responsável pela correção" dataDxfId="108"/>
    <tableColumn id="16" xr3:uid="{B3020DE2-8BBF-4C30-800D-3235972100F7}" name="Nº chamado" dataDxfId="107"/>
    <tableColumn id="17" xr3:uid="{6C045F1A-5A6B-44FB-9E2C-0B8C75C7702C}" name="Ações Tomadas" dataDxfId="106"/>
    <tableColumn id="20" xr3:uid="{22EF4D13-7390-4FA6-9850-640F6384F1F8}" name="Abertura de chamado" dataDxfId="105"/>
    <tableColumn id="8" xr3:uid="{5A715A8E-3F08-4353-AB8B-AD3E7B7DB949}" name="Prazo de correção" dataDxfId="104"/>
    <tableColumn id="18" xr3:uid="{CC9DD5C5-A769-4C6B-A103-ED579268EFD1}" name="Deadline" dataDxfId="103"/>
    <tableColumn id="19" xr3:uid="{0D16D44D-A17E-44E2-8DE8-F9F3F3F3DEB6}" name="Chamado encerrado?" dataDxfId="102"/>
    <tableColumn id="21" xr3:uid="{E4F046DA-98B7-42C8-8091-B6190898A616}" name="Rede" dataDxfId="279"/>
  </tableColumns>
  <tableStyleInfo name="TableStyleLight1" showFirstColumn="0" showLastColumn="0" showRowStripes="1" showColumnStripes="0"/>
  <extLst>
    <ext xmlns:x14="http://schemas.microsoft.com/office/spreadsheetml/2009/9/main" uri="{504A1905-F514-4f6f-8877-14C23A59335A}">
      <x14:table altText="Sim"/>
    </ext>
  </extLst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8216F-87F3-4206-B949-04A7E4DDC9FF}">
  <sheetPr codeName="Planilha19"/>
  <dimension ref="A1:V962"/>
  <sheetViews>
    <sheetView workbookViewId="0">
      <selection activeCell="E428" sqref="E428"/>
    </sheetView>
  </sheetViews>
  <sheetFormatPr defaultRowHeight="14.4" x14ac:dyDescent="0.3"/>
  <cols>
    <col min="1" max="1" width="12.109375" bestFit="1" customWidth="1"/>
    <col min="2" max="2" width="16.6640625" bestFit="1" customWidth="1"/>
    <col min="3" max="3" width="16" style="17" bestFit="1" customWidth="1"/>
    <col min="4" max="4" width="21.88671875" style="3" bestFit="1" customWidth="1"/>
    <col min="5" max="5" width="25.77734375" bestFit="1" customWidth="1"/>
    <col min="6" max="6" width="35.109375" bestFit="1" customWidth="1"/>
    <col min="7" max="7" width="6.77734375" style="18" bestFit="1" customWidth="1"/>
    <col min="8" max="8" width="19.109375" bestFit="1" customWidth="1"/>
    <col min="9" max="9" width="12.88671875" style="112" bestFit="1" customWidth="1"/>
    <col min="10" max="10" width="20.88671875" style="112" bestFit="1" customWidth="1"/>
    <col min="11" max="11" width="14.5546875" bestFit="1" customWidth="1"/>
    <col min="12" max="12" width="7.6640625" bestFit="1" customWidth="1"/>
    <col min="13" max="13" width="9.44140625" bestFit="1" customWidth="1"/>
    <col min="14" max="14" width="21.33203125" bestFit="1" customWidth="1"/>
    <col min="15" max="15" width="23.77734375" bestFit="1" customWidth="1"/>
    <col min="16" max="16" width="25.77734375" bestFit="1" customWidth="1"/>
    <col min="17" max="17" width="13.77734375" bestFit="1" customWidth="1"/>
    <col min="18" max="18" width="16.44140625" bestFit="1" customWidth="1"/>
    <col min="19" max="19" width="21.77734375" style="17" bestFit="1" customWidth="1"/>
    <col min="20" max="20" width="18.33203125" style="17" bestFit="1" customWidth="1"/>
    <col min="21" max="21" width="10.5546875" style="18" bestFit="1" customWidth="1"/>
    <col min="22" max="22" width="21.44140625" bestFit="1" customWidth="1"/>
    <col min="23" max="23" width="14.33203125" bestFit="1" customWidth="1"/>
  </cols>
  <sheetData>
    <row r="1" spans="1:22" x14ac:dyDescent="0.3">
      <c r="A1" t="s">
        <v>0</v>
      </c>
      <c r="B1" t="s">
        <v>1</v>
      </c>
      <c r="C1" s="17" t="s">
        <v>2</v>
      </c>
      <c r="D1" s="3" t="s">
        <v>3</v>
      </c>
      <c r="E1" t="s">
        <v>4</v>
      </c>
      <c r="F1" t="s">
        <v>5</v>
      </c>
      <c r="G1" s="18" t="s">
        <v>6</v>
      </c>
      <c r="H1" t="s">
        <v>7</v>
      </c>
      <c r="I1" s="112" t="s">
        <v>8</v>
      </c>
      <c r="J1" s="112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17" t="s">
        <v>18</v>
      </c>
      <c r="T1" s="17" t="s">
        <v>19</v>
      </c>
      <c r="U1" s="18" t="s">
        <v>20</v>
      </c>
      <c r="V1" t="s">
        <v>21</v>
      </c>
    </row>
    <row r="2" spans="1:22" hidden="1" x14ac:dyDescent="0.3">
      <c r="A2" t="s">
        <v>22</v>
      </c>
    </row>
    <row r="3" spans="1:22" hidden="1" x14ac:dyDescent="0.3">
      <c r="A3" t="s">
        <v>22</v>
      </c>
    </row>
    <row r="4" spans="1:22" hidden="1" x14ac:dyDescent="0.3">
      <c r="A4" t="s">
        <v>22</v>
      </c>
    </row>
    <row r="5" spans="1:22" hidden="1" x14ac:dyDescent="0.3">
      <c r="A5" t="s">
        <v>22</v>
      </c>
    </row>
    <row r="6" spans="1:22" hidden="1" x14ac:dyDescent="0.3">
      <c r="A6" t="s">
        <v>22</v>
      </c>
    </row>
    <row r="7" spans="1:22" hidden="1" x14ac:dyDescent="0.3">
      <c r="A7" t="s">
        <v>22</v>
      </c>
    </row>
    <row r="8" spans="1:22" hidden="1" x14ac:dyDescent="0.3">
      <c r="A8" t="s">
        <v>22</v>
      </c>
    </row>
    <row r="9" spans="1:22" hidden="1" x14ac:dyDescent="0.3">
      <c r="A9" t="s">
        <v>22</v>
      </c>
    </row>
    <row r="10" spans="1:22" hidden="1" x14ac:dyDescent="0.3">
      <c r="A10" t="s">
        <v>22</v>
      </c>
    </row>
    <row r="11" spans="1:22" hidden="1" x14ac:dyDescent="0.3">
      <c r="A11" t="s">
        <v>22</v>
      </c>
    </row>
    <row r="12" spans="1:22" hidden="1" x14ac:dyDescent="0.3">
      <c r="A12" t="s">
        <v>22</v>
      </c>
    </row>
    <row r="13" spans="1:22" hidden="1" x14ac:dyDescent="0.3">
      <c r="A13" t="s">
        <v>22</v>
      </c>
    </row>
    <row r="14" spans="1:22" hidden="1" x14ac:dyDescent="0.3">
      <c r="A14" t="s">
        <v>22</v>
      </c>
    </row>
    <row r="15" spans="1:22" hidden="1" x14ac:dyDescent="0.3">
      <c r="A15" t="s">
        <v>22</v>
      </c>
    </row>
    <row r="16" spans="1:22" hidden="1" x14ac:dyDescent="0.3">
      <c r="A16" t="s">
        <v>22</v>
      </c>
    </row>
    <row r="17" spans="1:4" hidden="1" x14ac:dyDescent="0.3">
      <c r="A17" t="s">
        <v>22</v>
      </c>
    </row>
    <row r="18" spans="1:4" hidden="1" x14ac:dyDescent="0.3">
      <c r="A18" t="s">
        <v>22</v>
      </c>
    </row>
    <row r="19" spans="1:4" hidden="1" x14ac:dyDescent="0.3">
      <c r="A19" t="s">
        <v>22</v>
      </c>
    </row>
    <row r="20" spans="1:4" hidden="1" x14ac:dyDescent="0.3">
      <c r="A20" t="s">
        <v>22</v>
      </c>
    </row>
    <row r="21" spans="1:4" hidden="1" x14ac:dyDescent="0.3">
      <c r="A21" t="s">
        <v>22</v>
      </c>
    </row>
    <row r="22" spans="1:4" hidden="1" x14ac:dyDescent="0.3">
      <c r="A22" t="s">
        <v>22</v>
      </c>
      <c r="D22"/>
    </row>
    <row r="23" spans="1:4" hidden="1" x14ac:dyDescent="0.3">
      <c r="A23" t="s">
        <v>22</v>
      </c>
      <c r="D23"/>
    </row>
    <row r="24" spans="1:4" hidden="1" x14ac:dyDescent="0.3">
      <c r="A24" t="s">
        <v>22</v>
      </c>
      <c r="D24"/>
    </row>
    <row r="25" spans="1:4" hidden="1" x14ac:dyDescent="0.3">
      <c r="A25" t="s">
        <v>22</v>
      </c>
      <c r="D25"/>
    </row>
    <row r="26" spans="1:4" hidden="1" x14ac:dyDescent="0.3">
      <c r="A26" t="s">
        <v>22</v>
      </c>
      <c r="D26"/>
    </row>
    <row r="27" spans="1:4" hidden="1" x14ac:dyDescent="0.3">
      <c r="A27" t="s">
        <v>22</v>
      </c>
      <c r="D27"/>
    </row>
    <row r="28" spans="1:4" hidden="1" x14ac:dyDescent="0.3">
      <c r="A28" t="s">
        <v>22</v>
      </c>
      <c r="D28"/>
    </row>
    <row r="29" spans="1:4" hidden="1" x14ac:dyDescent="0.3">
      <c r="A29" t="s">
        <v>22</v>
      </c>
      <c r="D29"/>
    </row>
    <row r="30" spans="1:4" hidden="1" x14ac:dyDescent="0.3">
      <c r="A30" t="s">
        <v>22</v>
      </c>
      <c r="D30"/>
    </row>
    <row r="31" spans="1:4" hidden="1" x14ac:dyDescent="0.3">
      <c r="A31" t="s">
        <v>22</v>
      </c>
      <c r="D31"/>
    </row>
    <row r="32" spans="1:4" hidden="1" x14ac:dyDescent="0.3">
      <c r="A32" t="s">
        <v>22</v>
      </c>
      <c r="D32"/>
    </row>
    <row r="33" spans="1:21" hidden="1" x14ac:dyDescent="0.3">
      <c r="A33" t="s">
        <v>22</v>
      </c>
      <c r="D33"/>
    </row>
    <row r="34" spans="1:21" hidden="1" x14ac:dyDescent="0.3">
      <c r="A34" t="s">
        <v>22</v>
      </c>
      <c r="D34"/>
    </row>
    <row r="35" spans="1:21" hidden="1" x14ac:dyDescent="0.3">
      <c r="A35" t="s">
        <v>22</v>
      </c>
      <c r="B35" t="s">
        <v>26</v>
      </c>
      <c r="D35"/>
      <c r="G35" s="18" t="s">
        <v>26</v>
      </c>
      <c r="U35" s="18" t="s">
        <v>26</v>
      </c>
    </row>
    <row r="36" spans="1:21" hidden="1" x14ac:dyDescent="0.3">
      <c r="A36" t="s">
        <v>22</v>
      </c>
      <c r="B36" t="s">
        <v>26</v>
      </c>
      <c r="D36"/>
      <c r="G36" s="18" t="s">
        <v>26</v>
      </c>
      <c r="U36" s="18" t="s">
        <v>26</v>
      </c>
    </row>
    <row r="37" spans="1:21" hidden="1" x14ac:dyDescent="0.3">
      <c r="A37" t="s">
        <v>22</v>
      </c>
      <c r="B37" t="s">
        <v>26</v>
      </c>
      <c r="D37"/>
      <c r="G37" s="18" t="s">
        <v>26</v>
      </c>
      <c r="U37" s="18" t="s">
        <v>26</v>
      </c>
    </row>
    <row r="38" spans="1:21" hidden="1" x14ac:dyDescent="0.3">
      <c r="A38" t="s">
        <v>22</v>
      </c>
      <c r="B38" t="s">
        <v>26</v>
      </c>
      <c r="D38"/>
      <c r="G38" s="18" t="s">
        <v>26</v>
      </c>
      <c r="U38" s="18" t="s">
        <v>26</v>
      </c>
    </row>
    <row r="39" spans="1:21" hidden="1" x14ac:dyDescent="0.3">
      <c r="A39" t="s">
        <v>22</v>
      </c>
      <c r="B39" t="s">
        <v>26</v>
      </c>
      <c r="D39"/>
      <c r="G39" s="18" t="s">
        <v>26</v>
      </c>
      <c r="U39" s="18" t="s">
        <v>26</v>
      </c>
    </row>
    <row r="40" spans="1:21" hidden="1" x14ac:dyDescent="0.3">
      <c r="A40" t="s">
        <v>22</v>
      </c>
      <c r="B40" t="s">
        <v>26</v>
      </c>
      <c r="D40"/>
      <c r="G40" s="18" t="s">
        <v>26</v>
      </c>
      <c r="U40" s="18" t="s">
        <v>26</v>
      </c>
    </row>
    <row r="41" spans="1:21" hidden="1" x14ac:dyDescent="0.3">
      <c r="A41" t="s">
        <v>22</v>
      </c>
      <c r="B41" t="s">
        <v>26</v>
      </c>
      <c r="D41"/>
      <c r="G41" s="18" t="s">
        <v>26</v>
      </c>
      <c r="U41" s="18" t="s">
        <v>26</v>
      </c>
    </row>
    <row r="42" spans="1:21" hidden="1" x14ac:dyDescent="0.3">
      <c r="A42" t="s">
        <v>22</v>
      </c>
      <c r="B42" t="s">
        <v>26</v>
      </c>
      <c r="D42"/>
      <c r="G42" s="18" t="s">
        <v>26</v>
      </c>
      <c r="U42" s="18" t="s">
        <v>26</v>
      </c>
    </row>
    <row r="43" spans="1:21" hidden="1" x14ac:dyDescent="0.3">
      <c r="A43" t="s">
        <v>22</v>
      </c>
      <c r="B43" t="s">
        <v>26</v>
      </c>
      <c r="D43"/>
      <c r="G43" s="18" t="s">
        <v>26</v>
      </c>
      <c r="U43" s="18" t="s">
        <v>26</v>
      </c>
    </row>
    <row r="44" spans="1:21" hidden="1" x14ac:dyDescent="0.3">
      <c r="A44" t="s">
        <v>22</v>
      </c>
      <c r="B44" t="s">
        <v>26</v>
      </c>
      <c r="D44"/>
      <c r="G44" s="18" t="s">
        <v>26</v>
      </c>
      <c r="U44" s="18" t="s">
        <v>26</v>
      </c>
    </row>
    <row r="45" spans="1:21" hidden="1" x14ac:dyDescent="0.3">
      <c r="A45" t="s">
        <v>22</v>
      </c>
      <c r="B45" t="s">
        <v>26</v>
      </c>
      <c r="D45"/>
      <c r="G45" s="18" t="s">
        <v>26</v>
      </c>
      <c r="U45" s="18" t="s">
        <v>26</v>
      </c>
    </row>
    <row r="46" spans="1:21" hidden="1" x14ac:dyDescent="0.3">
      <c r="A46" t="s">
        <v>22</v>
      </c>
      <c r="B46" t="s">
        <v>26</v>
      </c>
      <c r="D46"/>
      <c r="G46" s="18" t="s">
        <v>26</v>
      </c>
      <c r="U46" s="18" t="s">
        <v>26</v>
      </c>
    </row>
    <row r="47" spans="1:21" hidden="1" x14ac:dyDescent="0.3">
      <c r="A47" t="s">
        <v>22</v>
      </c>
      <c r="B47" t="s">
        <v>26</v>
      </c>
      <c r="D47"/>
      <c r="G47" s="18" t="s">
        <v>26</v>
      </c>
      <c r="U47" s="18" t="s">
        <v>26</v>
      </c>
    </row>
    <row r="48" spans="1:21" hidden="1" x14ac:dyDescent="0.3">
      <c r="A48" t="s">
        <v>22</v>
      </c>
      <c r="B48" t="s">
        <v>26</v>
      </c>
      <c r="D48"/>
      <c r="G48" s="18" t="s">
        <v>26</v>
      </c>
      <c r="U48" s="18" t="s">
        <v>26</v>
      </c>
    </row>
    <row r="49" spans="1:21" hidden="1" x14ac:dyDescent="0.3">
      <c r="A49" t="s">
        <v>22</v>
      </c>
      <c r="B49" t="s">
        <v>26</v>
      </c>
      <c r="D49"/>
      <c r="G49" s="18" t="s">
        <v>26</v>
      </c>
      <c r="U49" s="18" t="s">
        <v>26</v>
      </c>
    </row>
    <row r="50" spans="1:21" hidden="1" x14ac:dyDescent="0.3">
      <c r="A50" t="s">
        <v>22</v>
      </c>
      <c r="B50" t="s">
        <v>26</v>
      </c>
      <c r="D50"/>
      <c r="G50" s="18" t="s">
        <v>26</v>
      </c>
      <c r="U50" s="18" t="s">
        <v>26</v>
      </c>
    </row>
    <row r="51" spans="1:21" hidden="1" x14ac:dyDescent="0.3">
      <c r="A51" t="s">
        <v>22</v>
      </c>
      <c r="B51" t="s">
        <v>26</v>
      </c>
      <c r="D51"/>
      <c r="G51" s="18" t="s">
        <v>26</v>
      </c>
      <c r="U51" s="18" t="s">
        <v>26</v>
      </c>
    </row>
    <row r="52" spans="1:21" hidden="1" x14ac:dyDescent="0.3">
      <c r="A52" t="s">
        <v>22</v>
      </c>
      <c r="B52" t="s">
        <v>26</v>
      </c>
      <c r="D52"/>
      <c r="G52" s="18" t="s">
        <v>26</v>
      </c>
      <c r="U52" s="18" t="s">
        <v>26</v>
      </c>
    </row>
    <row r="53" spans="1:21" hidden="1" x14ac:dyDescent="0.3">
      <c r="A53" t="s">
        <v>22</v>
      </c>
      <c r="B53" t="s">
        <v>26</v>
      </c>
      <c r="D53"/>
      <c r="G53" s="18" t="s">
        <v>26</v>
      </c>
      <c r="U53" s="18" t="s">
        <v>26</v>
      </c>
    </row>
    <row r="54" spans="1:21" hidden="1" x14ac:dyDescent="0.3">
      <c r="A54" t="s">
        <v>22</v>
      </c>
      <c r="B54" t="s">
        <v>26</v>
      </c>
      <c r="D54"/>
      <c r="G54" s="18" t="s">
        <v>26</v>
      </c>
      <c r="U54" s="18" t="s">
        <v>26</v>
      </c>
    </row>
    <row r="55" spans="1:21" hidden="1" x14ac:dyDescent="0.3">
      <c r="A55" t="s">
        <v>22</v>
      </c>
      <c r="B55" t="s">
        <v>26</v>
      </c>
      <c r="D55"/>
      <c r="G55" s="18" t="s">
        <v>26</v>
      </c>
      <c r="U55" s="18" t="s">
        <v>26</v>
      </c>
    </row>
    <row r="56" spans="1:21" hidden="1" x14ac:dyDescent="0.3">
      <c r="A56" t="s">
        <v>22</v>
      </c>
      <c r="B56" t="s">
        <v>26</v>
      </c>
      <c r="D56"/>
      <c r="G56" s="18" t="s">
        <v>26</v>
      </c>
      <c r="U56" s="18" t="s">
        <v>26</v>
      </c>
    </row>
    <row r="57" spans="1:21" hidden="1" x14ac:dyDescent="0.3">
      <c r="A57" t="s">
        <v>22</v>
      </c>
      <c r="B57" t="s">
        <v>26</v>
      </c>
      <c r="D57"/>
      <c r="G57" s="18" t="s">
        <v>26</v>
      </c>
      <c r="U57" s="18" t="s">
        <v>26</v>
      </c>
    </row>
    <row r="58" spans="1:21" hidden="1" x14ac:dyDescent="0.3">
      <c r="A58" t="s">
        <v>22</v>
      </c>
      <c r="B58" t="s">
        <v>26</v>
      </c>
      <c r="D58"/>
      <c r="G58" s="18" t="s">
        <v>26</v>
      </c>
      <c r="U58" s="18" t="s">
        <v>26</v>
      </c>
    </row>
    <row r="59" spans="1:21" hidden="1" x14ac:dyDescent="0.3">
      <c r="A59" t="s">
        <v>22</v>
      </c>
      <c r="B59" t="s">
        <v>26</v>
      </c>
      <c r="D59"/>
      <c r="G59" s="18" t="s">
        <v>26</v>
      </c>
      <c r="U59" s="18" t="s">
        <v>26</v>
      </c>
    </row>
    <row r="60" spans="1:21" hidden="1" x14ac:dyDescent="0.3">
      <c r="A60" t="s">
        <v>22</v>
      </c>
      <c r="B60" t="s">
        <v>26</v>
      </c>
      <c r="D60"/>
      <c r="G60" s="18" t="s">
        <v>26</v>
      </c>
      <c r="U60" s="18" t="s">
        <v>26</v>
      </c>
    </row>
    <row r="61" spans="1:21" hidden="1" x14ac:dyDescent="0.3">
      <c r="A61" t="s">
        <v>22</v>
      </c>
      <c r="B61" t="s">
        <v>26</v>
      </c>
      <c r="D61"/>
      <c r="G61" s="18" t="s">
        <v>26</v>
      </c>
      <c r="U61" s="18" t="s">
        <v>26</v>
      </c>
    </row>
    <row r="62" spans="1:21" hidden="1" x14ac:dyDescent="0.3">
      <c r="A62" t="s">
        <v>22</v>
      </c>
      <c r="B62" t="s">
        <v>26</v>
      </c>
      <c r="D62"/>
      <c r="G62" s="18" t="s">
        <v>26</v>
      </c>
      <c r="U62" s="18" t="s">
        <v>26</v>
      </c>
    </row>
    <row r="63" spans="1:21" hidden="1" x14ac:dyDescent="0.3">
      <c r="A63" t="s">
        <v>22</v>
      </c>
      <c r="B63" t="s">
        <v>26</v>
      </c>
      <c r="D63"/>
      <c r="G63" s="18" t="s">
        <v>26</v>
      </c>
      <c r="U63" s="18" t="s">
        <v>26</v>
      </c>
    </row>
    <row r="64" spans="1:21" hidden="1" x14ac:dyDescent="0.3">
      <c r="A64" t="s">
        <v>22</v>
      </c>
      <c r="B64" t="s">
        <v>26</v>
      </c>
      <c r="D64"/>
      <c r="G64" s="18" t="s">
        <v>26</v>
      </c>
      <c r="U64" s="18" t="s">
        <v>26</v>
      </c>
    </row>
    <row r="65" spans="1:21" hidden="1" x14ac:dyDescent="0.3">
      <c r="A65" t="s">
        <v>22</v>
      </c>
      <c r="B65" t="s">
        <v>26</v>
      </c>
      <c r="G65" s="18" t="s">
        <v>26</v>
      </c>
      <c r="U65" s="18" t="s">
        <v>26</v>
      </c>
    </row>
    <row r="66" spans="1:21" hidden="1" x14ac:dyDescent="0.3">
      <c r="A66" t="s">
        <v>35</v>
      </c>
    </row>
    <row r="67" spans="1:21" hidden="1" x14ac:dyDescent="0.3">
      <c r="A67" t="s">
        <v>35</v>
      </c>
    </row>
    <row r="68" spans="1:21" hidden="1" x14ac:dyDescent="0.3">
      <c r="A68" t="s">
        <v>35</v>
      </c>
    </row>
    <row r="69" spans="1:21" hidden="1" x14ac:dyDescent="0.3">
      <c r="A69" t="s">
        <v>35</v>
      </c>
    </row>
    <row r="70" spans="1:21" hidden="1" x14ac:dyDescent="0.3">
      <c r="A70" t="s">
        <v>35</v>
      </c>
    </row>
    <row r="71" spans="1:21" hidden="1" x14ac:dyDescent="0.3">
      <c r="A71" t="s">
        <v>35</v>
      </c>
    </row>
    <row r="72" spans="1:21" hidden="1" x14ac:dyDescent="0.3">
      <c r="A72" t="s">
        <v>35</v>
      </c>
    </row>
    <row r="73" spans="1:21" hidden="1" x14ac:dyDescent="0.3">
      <c r="A73" t="s">
        <v>35</v>
      </c>
    </row>
    <row r="74" spans="1:21" hidden="1" x14ac:dyDescent="0.3">
      <c r="A74" t="s">
        <v>35</v>
      </c>
    </row>
    <row r="75" spans="1:21" hidden="1" x14ac:dyDescent="0.3">
      <c r="A75" t="s">
        <v>35</v>
      </c>
    </row>
    <row r="76" spans="1:21" hidden="1" x14ac:dyDescent="0.3">
      <c r="A76" t="s">
        <v>35</v>
      </c>
    </row>
    <row r="77" spans="1:21" hidden="1" x14ac:dyDescent="0.3">
      <c r="A77" t="s">
        <v>35</v>
      </c>
    </row>
    <row r="78" spans="1:21" hidden="1" x14ac:dyDescent="0.3">
      <c r="A78" t="s">
        <v>35</v>
      </c>
    </row>
    <row r="79" spans="1:21" hidden="1" x14ac:dyDescent="0.3">
      <c r="A79" t="s">
        <v>35</v>
      </c>
    </row>
    <row r="80" spans="1:21" hidden="1" x14ac:dyDescent="0.3">
      <c r="A80" t="s">
        <v>35</v>
      </c>
    </row>
    <row r="81" spans="1:4" hidden="1" x14ac:dyDescent="0.3">
      <c r="A81" t="s">
        <v>35</v>
      </c>
    </row>
    <row r="82" spans="1:4" hidden="1" x14ac:dyDescent="0.3"/>
    <row r="83" spans="1:4" hidden="1" x14ac:dyDescent="0.3">
      <c r="A83" t="s">
        <v>35</v>
      </c>
    </row>
    <row r="84" spans="1:4" hidden="1" x14ac:dyDescent="0.3">
      <c r="A84" t="s">
        <v>35</v>
      </c>
    </row>
    <row r="85" spans="1:4" hidden="1" x14ac:dyDescent="0.3">
      <c r="A85" t="s">
        <v>35</v>
      </c>
      <c r="D85"/>
    </row>
    <row r="86" spans="1:4" hidden="1" x14ac:dyDescent="0.3">
      <c r="A86" t="s">
        <v>35</v>
      </c>
      <c r="D86"/>
    </row>
    <row r="87" spans="1:4" hidden="1" x14ac:dyDescent="0.3">
      <c r="A87" t="s">
        <v>35</v>
      </c>
      <c r="D87"/>
    </row>
    <row r="88" spans="1:4" hidden="1" x14ac:dyDescent="0.3">
      <c r="A88" t="s">
        <v>35</v>
      </c>
      <c r="D88"/>
    </row>
    <row r="89" spans="1:4" hidden="1" x14ac:dyDescent="0.3">
      <c r="A89" t="s">
        <v>35</v>
      </c>
      <c r="D89"/>
    </row>
    <row r="90" spans="1:4" hidden="1" x14ac:dyDescent="0.3">
      <c r="A90" t="s">
        <v>35</v>
      </c>
      <c r="D90"/>
    </row>
    <row r="91" spans="1:4" hidden="1" x14ac:dyDescent="0.3">
      <c r="A91" t="s">
        <v>35</v>
      </c>
      <c r="D91"/>
    </row>
    <row r="92" spans="1:4" hidden="1" x14ac:dyDescent="0.3">
      <c r="A92" t="s">
        <v>35</v>
      </c>
      <c r="D92"/>
    </row>
    <row r="93" spans="1:4" hidden="1" x14ac:dyDescent="0.3">
      <c r="A93" t="s">
        <v>35</v>
      </c>
      <c r="D93"/>
    </row>
    <row r="94" spans="1:4" hidden="1" x14ac:dyDescent="0.3">
      <c r="A94" t="s">
        <v>35</v>
      </c>
      <c r="D94"/>
    </row>
    <row r="95" spans="1:4" hidden="1" x14ac:dyDescent="0.3">
      <c r="A95" t="s">
        <v>35</v>
      </c>
      <c r="D95"/>
    </row>
    <row r="96" spans="1:4" hidden="1" x14ac:dyDescent="0.3">
      <c r="A96" t="s">
        <v>35</v>
      </c>
      <c r="D96"/>
    </row>
    <row r="97" spans="1:21" hidden="1" x14ac:dyDescent="0.3">
      <c r="A97" t="s">
        <v>35</v>
      </c>
      <c r="D97"/>
    </row>
    <row r="98" spans="1:21" hidden="1" x14ac:dyDescent="0.3">
      <c r="A98" t="s">
        <v>35</v>
      </c>
      <c r="D98"/>
    </row>
    <row r="99" spans="1:21" hidden="1" x14ac:dyDescent="0.3">
      <c r="A99" t="s">
        <v>35</v>
      </c>
      <c r="B99" t="s">
        <v>26</v>
      </c>
      <c r="D99"/>
      <c r="G99" s="18" t="s">
        <v>26</v>
      </c>
      <c r="U99" s="18" t="s">
        <v>26</v>
      </c>
    </row>
    <row r="100" spans="1:21" hidden="1" x14ac:dyDescent="0.3">
      <c r="A100" t="s">
        <v>35</v>
      </c>
      <c r="B100" t="s">
        <v>26</v>
      </c>
      <c r="D100"/>
      <c r="G100" s="18" t="s">
        <v>26</v>
      </c>
      <c r="U100" s="18" t="s">
        <v>26</v>
      </c>
    </row>
    <row r="101" spans="1:21" hidden="1" x14ac:dyDescent="0.3">
      <c r="A101" t="s">
        <v>35</v>
      </c>
      <c r="B101" t="s">
        <v>26</v>
      </c>
      <c r="D101"/>
      <c r="G101" s="18" t="s">
        <v>26</v>
      </c>
      <c r="U101" s="18" t="s">
        <v>26</v>
      </c>
    </row>
    <row r="102" spans="1:21" hidden="1" x14ac:dyDescent="0.3">
      <c r="A102" t="s">
        <v>35</v>
      </c>
      <c r="B102" t="s">
        <v>26</v>
      </c>
      <c r="D102"/>
      <c r="G102" s="18" t="s">
        <v>26</v>
      </c>
      <c r="U102" s="18" t="s">
        <v>26</v>
      </c>
    </row>
    <row r="103" spans="1:21" hidden="1" x14ac:dyDescent="0.3">
      <c r="A103" t="s">
        <v>35</v>
      </c>
      <c r="B103" t="s">
        <v>26</v>
      </c>
      <c r="D103"/>
      <c r="G103" s="18" t="s">
        <v>26</v>
      </c>
      <c r="U103" s="18" t="s">
        <v>26</v>
      </c>
    </row>
    <row r="104" spans="1:21" hidden="1" x14ac:dyDescent="0.3">
      <c r="A104" t="s">
        <v>35</v>
      </c>
      <c r="B104" t="s">
        <v>26</v>
      </c>
      <c r="D104"/>
      <c r="G104" s="18" t="s">
        <v>26</v>
      </c>
      <c r="U104" s="18" t="s">
        <v>26</v>
      </c>
    </row>
    <row r="105" spans="1:21" hidden="1" x14ac:dyDescent="0.3">
      <c r="A105" t="s">
        <v>35</v>
      </c>
      <c r="B105" t="s">
        <v>26</v>
      </c>
      <c r="D105"/>
      <c r="G105" s="18" t="s">
        <v>26</v>
      </c>
      <c r="U105" s="18" t="s">
        <v>26</v>
      </c>
    </row>
    <row r="106" spans="1:21" hidden="1" x14ac:dyDescent="0.3">
      <c r="A106" t="s">
        <v>35</v>
      </c>
      <c r="B106" t="s">
        <v>26</v>
      </c>
      <c r="D106"/>
      <c r="G106" s="18" t="s">
        <v>26</v>
      </c>
      <c r="U106" s="18" t="s">
        <v>26</v>
      </c>
    </row>
    <row r="107" spans="1:21" hidden="1" x14ac:dyDescent="0.3">
      <c r="A107" t="s">
        <v>35</v>
      </c>
      <c r="B107" t="s">
        <v>26</v>
      </c>
      <c r="D107"/>
      <c r="G107" s="18" t="s">
        <v>26</v>
      </c>
      <c r="U107" s="18" t="s">
        <v>26</v>
      </c>
    </row>
    <row r="108" spans="1:21" hidden="1" x14ac:dyDescent="0.3">
      <c r="A108" t="s">
        <v>35</v>
      </c>
      <c r="B108" t="s">
        <v>26</v>
      </c>
      <c r="D108"/>
      <c r="G108" s="18" t="s">
        <v>26</v>
      </c>
      <c r="U108" s="18" t="s">
        <v>26</v>
      </c>
    </row>
    <row r="109" spans="1:21" hidden="1" x14ac:dyDescent="0.3">
      <c r="A109" t="s">
        <v>35</v>
      </c>
      <c r="B109" t="s">
        <v>26</v>
      </c>
      <c r="D109"/>
      <c r="G109" s="18" t="s">
        <v>26</v>
      </c>
      <c r="U109" s="18" t="s">
        <v>26</v>
      </c>
    </row>
    <row r="110" spans="1:21" hidden="1" x14ac:dyDescent="0.3">
      <c r="A110" t="s">
        <v>35</v>
      </c>
      <c r="B110" t="s">
        <v>26</v>
      </c>
      <c r="D110"/>
      <c r="G110" s="18" t="s">
        <v>26</v>
      </c>
      <c r="U110" s="18" t="s">
        <v>26</v>
      </c>
    </row>
    <row r="111" spans="1:21" hidden="1" x14ac:dyDescent="0.3">
      <c r="A111" t="s">
        <v>35</v>
      </c>
      <c r="B111" t="s">
        <v>26</v>
      </c>
      <c r="D111"/>
      <c r="G111" s="18" t="s">
        <v>26</v>
      </c>
      <c r="U111" s="18" t="s">
        <v>26</v>
      </c>
    </row>
    <row r="112" spans="1:21" hidden="1" x14ac:dyDescent="0.3">
      <c r="A112" t="s">
        <v>35</v>
      </c>
      <c r="B112" t="s">
        <v>26</v>
      </c>
      <c r="D112"/>
      <c r="G112" s="18" t="s">
        <v>26</v>
      </c>
      <c r="U112" s="18" t="s">
        <v>26</v>
      </c>
    </row>
    <row r="113" spans="1:21" hidden="1" x14ac:dyDescent="0.3">
      <c r="A113" t="s">
        <v>35</v>
      </c>
      <c r="B113" t="s">
        <v>26</v>
      </c>
      <c r="D113"/>
      <c r="G113" s="18" t="s">
        <v>26</v>
      </c>
      <c r="U113" s="18" t="s">
        <v>26</v>
      </c>
    </row>
    <row r="114" spans="1:21" hidden="1" x14ac:dyDescent="0.3">
      <c r="A114" t="s">
        <v>35</v>
      </c>
      <c r="B114" t="s">
        <v>26</v>
      </c>
      <c r="D114"/>
      <c r="G114" s="18" t="s">
        <v>26</v>
      </c>
      <c r="U114" s="18" t="s">
        <v>26</v>
      </c>
    </row>
    <row r="115" spans="1:21" hidden="1" x14ac:dyDescent="0.3">
      <c r="A115" t="s">
        <v>35</v>
      </c>
      <c r="B115" t="s">
        <v>26</v>
      </c>
      <c r="D115"/>
      <c r="G115" s="18" t="s">
        <v>26</v>
      </c>
      <c r="U115" s="18" t="s">
        <v>26</v>
      </c>
    </row>
    <row r="116" spans="1:21" hidden="1" x14ac:dyDescent="0.3">
      <c r="A116" t="s">
        <v>35</v>
      </c>
      <c r="B116" t="s">
        <v>26</v>
      </c>
      <c r="D116"/>
      <c r="G116" s="18" t="s">
        <v>26</v>
      </c>
      <c r="U116" s="18" t="s">
        <v>26</v>
      </c>
    </row>
    <row r="117" spans="1:21" hidden="1" x14ac:dyDescent="0.3">
      <c r="A117" t="s">
        <v>35</v>
      </c>
      <c r="B117" t="s">
        <v>26</v>
      </c>
      <c r="D117"/>
      <c r="G117" s="18" t="s">
        <v>26</v>
      </c>
      <c r="U117" s="18" t="s">
        <v>26</v>
      </c>
    </row>
    <row r="118" spans="1:21" hidden="1" x14ac:dyDescent="0.3">
      <c r="A118" t="s">
        <v>35</v>
      </c>
      <c r="B118" t="s">
        <v>26</v>
      </c>
      <c r="D118"/>
      <c r="G118" s="18" t="s">
        <v>26</v>
      </c>
      <c r="U118" s="18" t="s">
        <v>26</v>
      </c>
    </row>
    <row r="119" spans="1:21" hidden="1" x14ac:dyDescent="0.3">
      <c r="A119" t="s">
        <v>35</v>
      </c>
      <c r="B119" t="s">
        <v>26</v>
      </c>
      <c r="D119"/>
      <c r="G119" s="18" t="s">
        <v>26</v>
      </c>
      <c r="U119" s="18" t="s">
        <v>26</v>
      </c>
    </row>
    <row r="120" spans="1:21" hidden="1" x14ac:dyDescent="0.3">
      <c r="A120" t="s">
        <v>35</v>
      </c>
      <c r="B120" t="s">
        <v>26</v>
      </c>
      <c r="D120"/>
      <c r="G120" s="18" t="s">
        <v>26</v>
      </c>
      <c r="U120" s="18" t="s">
        <v>26</v>
      </c>
    </row>
    <row r="121" spans="1:21" hidden="1" x14ac:dyDescent="0.3">
      <c r="A121" t="s">
        <v>35</v>
      </c>
      <c r="B121" t="s">
        <v>26</v>
      </c>
      <c r="D121"/>
      <c r="G121" s="18" t="s">
        <v>26</v>
      </c>
      <c r="U121" s="18" t="s">
        <v>26</v>
      </c>
    </row>
    <row r="122" spans="1:21" hidden="1" x14ac:dyDescent="0.3">
      <c r="A122" t="s">
        <v>35</v>
      </c>
      <c r="B122" t="s">
        <v>26</v>
      </c>
      <c r="D122"/>
      <c r="G122" s="18" t="s">
        <v>26</v>
      </c>
      <c r="U122" s="18" t="s">
        <v>26</v>
      </c>
    </row>
    <row r="123" spans="1:21" hidden="1" x14ac:dyDescent="0.3">
      <c r="A123" t="s">
        <v>35</v>
      </c>
      <c r="B123" t="s">
        <v>26</v>
      </c>
      <c r="D123"/>
      <c r="G123" s="18" t="s">
        <v>26</v>
      </c>
      <c r="U123" s="18" t="s">
        <v>26</v>
      </c>
    </row>
    <row r="124" spans="1:21" hidden="1" x14ac:dyDescent="0.3">
      <c r="A124" t="s">
        <v>35</v>
      </c>
      <c r="B124" t="s">
        <v>26</v>
      </c>
      <c r="D124"/>
      <c r="G124" s="18" t="s">
        <v>26</v>
      </c>
      <c r="U124" s="18" t="s">
        <v>26</v>
      </c>
    </row>
    <row r="125" spans="1:21" hidden="1" x14ac:dyDescent="0.3">
      <c r="A125" t="s">
        <v>35</v>
      </c>
      <c r="B125" t="s">
        <v>26</v>
      </c>
      <c r="D125"/>
      <c r="G125" s="18" t="s">
        <v>26</v>
      </c>
      <c r="U125" s="18" t="s">
        <v>26</v>
      </c>
    </row>
    <row r="126" spans="1:21" hidden="1" x14ac:dyDescent="0.3">
      <c r="A126" t="s">
        <v>35</v>
      </c>
      <c r="B126" t="s">
        <v>26</v>
      </c>
      <c r="D126"/>
      <c r="G126" s="18" t="s">
        <v>26</v>
      </c>
      <c r="U126" s="18" t="s">
        <v>26</v>
      </c>
    </row>
    <row r="127" spans="1:21" hidden="1" x14ac:dyDescent="0.3">
      <c r="A127" t="s">
        <v>35</v>
      </c>
      <c r="B127" t="s">
        <v>26</v>
      </c>
      <c r="D127"/>
      <c r="G127" s="18" t="s">
        <v>26</v>
      </c>
      <c r="U127" s="18" t="s">
        <v>26</v>
      </c>
    </row>
    <row r="128" spans="1:21" hidden="1" x14ac:dyDescent="0.3">
      <c r="A128" t="s">
        <v>35</v>
      </c>
      <c r="B128" t="s">
        <v>26</v>
      </c>
      <c r="D128"/>
      <c r="G128" s="18" t="s">
        <v>26</v>
      </c>
      <c r="U128" s="18" t="s">
        <v>26</v>
      </c>
    </row>
    <row r="129" spans="1:21" hidden="1" x14ac:dyDescent="0.3">
      <c r="A129" t="s">
        <v>35</v>
      </c>
      <c r="B129" t="s">
        <v>26</v>
      </c>
      <c r="D129"/>
      <c r="G129" s="18" t="s">
        <v>26</v>
      </c>
      <c r="U129" s="18" t="s">
        <v>26</v>
      </c>
    </row>
    <row r="130" spans="1:21" hidden="1" x14ac:dyDescent="0.3">
      <c r="A130" t="s">
        <v>35</v>
      </c>
      <c r="B130" t="s">
        <v>26</v>
      </c>
      <c r="D130"/>
      <c r="G130" s="18" t="s">
        <v>26</v>
      </c>
      <c r="U130" s="18" t="s">
        <v>26</v>
      </c>
    </row>
    <row r="131" spans="1:21" hidden="1" x14ac:dyDescent="0.3">
      <c r="B131" t="s">
        <v>26</v>
      </c>
      <c r="D131"/>
      <c r="U131" s="18" t="s">
        <v>26</v>
      </c>
    </row>
    <row r="132" spans="1:21" hidden="1" x14ac:dyDescent="0.3">
      <c r="B132" t="s">
        <v>26</v>
      </c>
      <c r="D132"/>
      <c r="U132" s="18" t="s">
        <v>26</v>
      </c>
    </row>
    <row r="133" spans="1:21" hidden="1" x14ac:dyDescent="0.3">
      <c r="B133" t="s">
        <v>26</v>
      </c>
      <c r="D133"/>
      <c r="U133" s="18" t="s">
        <v>26</v>
      </c>
    </row>
    <row r="134" spans="1:21" hidden="1" x14ac:dyDescent="0.3">
      <c r="B134" t="s">
        <v>26</v>
      </c>
      <c r="U134" s="18" t="s">
        <v>26</v>
      </c>
    </row>
    <row r="135" spans="1:21" hidden="1" x14ac:dyDescent="0.3">
      <c r="B135" t="s">
        <v>26</v>
      </c>
      <c r="U135" s="18" t="s">
        <v>26</v>
      </c>
    </row>
    <row r="136" spans="1:21" hidden="1" x14ac:dyDescent="0.3">
      <c r="A136" t="s">
        <v>43</v>
      </c>
    </row>
    <row r="137" spans="1:21" hidden="1" x14ac:dyDescent="0.3">
      <c r="A137" t="s">
        <v>43</v>
      </c>
    </row>
    <row r="138" spans="1:21" hidden="1" x14ac:dyDescent="0.3">
      <c r="A138" t="s">
        <v>43</v>
      </c>
    </row>
    <row r="139" spans="1:21" hidden="1" x14ac:dyDescent="0.3">
      <c r="A139" t="s">
        <v>43</v>
      </c>
    </row>
    <row r="140" spans="1:21" hidden="1" x14ac:dyDescent="0.3">
      <c r="A140" t="s">
        <v>43</v>
      </c>
    </row>
    <row r="141" spans="1:21" hidden="1" x14ac:dyDescent="0.3">
      <c r="A141" t="s">
        <v>43</v>
      </c>
    </row>
    <row r="142" spans="1:21" hidden="1" x14ac:dyDescent="0.3">
      <c r="A142" t="s">
        <v>43</v>
      </c>
    </row>
    <row r="143" spans="1:21" hidden="1" x14ac:dyDescent="0.3">
      <c r="A143" t="s">
        <v>43</v>
      </c>
    </row>
    <row r="144" spans="1:21" hidden="1" x14ac:dyDescent="0.3">
      <c r="A144" t="s">
        <v>43</v>
      </c>
    </row>
    <row r="145" spans="1:4" hidden="1" x14ac:dyDescent="0.3">
      <c r="A145" t="s">
        <v>43</v>
      </c>
    </row>
    <row r="146" spans="1:4" hidden="1" x14ac:dyDescent="0.3">
      <c r="A146" t="s">
        <v>43</v>
      </c>
    </row>
    <row r="147" spans="1:4" hidden="1" x14ac:dyDescent="0.3">
      <c r="A147" t="s">
        <v>43</v>
      </c>
    </row>
    <row r="148" spans="1:4" hidden="1" x14ac:dyDescent="0.3">
      <c r="A148" t="s">
        <v>43</v>
      </c>
    </row>
    <row r="149" spans="1:4" hidden="1" x14ac:dyDescent="0.3">
      <c r="A149" t="s">
        <v>43</v>
      </c>
    </row>
    <row r="150" spans="1:4" hidden="1" x14ac:dyDescent="0.3">
      <c r="A150" t="s">
        <v>43</v>
      </c>
    </row>
    <row r="151" spans="1:4" hidden="1" x14ac:dyDescent="0.3">
      <c r="A151" t="s">
        <v>43</v>
      </c>
    </row>
    <row r="152" spans="1:4" hidden="1" x14ac:dyDescent="0.3"/>
    <row r="153" spans="1:4" hidden="1" x14ac:dyDescent="0.3">
      <c r="A153" t="s">
        <v>43</v>
      </c>
    </row>
    <row r="154" spans="1:4" hidden="1" x14ac:dyDescent="0.3">
      <c r="A154" t="s">
        <v>43</v>
      </c>
      <c r="D154"/>
    </row>
    <row r="155" spans="1:4" hidden="1" x14ac:dyDescent="0.3">
      <c r="A155" t="s">
        <v>43</v>
      </c>
      <c r="D155"/>
    </row>
    <row r="156" spans="1:4" hidden="1" x14ac:dyDescent="0.3">
      <c r="A156" t="s">
        <v>43</v>
      </c>
      <c r="D156"/>
    </row>
    <row r="157" spans="1:4" hidden="1" x14ac:dyDescent="0.3">
      <c r="A157" t="s">
        <v>43</v>
      </c>
      <c r="D157"/>
    </row>
    <row r="158" spans="1:4" hidden="1" x14ac:dyDescent="0.3">
      <c r="A158" t="s">
        <v>43</v>
      </c>
      <c r="D158"/>
    </row>
    <row r="159" spans="1:4" hidden="1" x14ac:dyDescent="0.3">
      <c r="A159" t="s">
        <v>43</v>
      </c>
      <c r="D159"/>
    </row>
    <row r="160" spans="1:4" hidden="1" x14ac:dyDescent="0.3">
      <c r="A160" t="s">
        <v>43</v>
      </c>
      <c r="D160"/>
    </row>
    <row r="161" spans="1:21" hidden="1" x14ac:dyDescent="0.3">
      <c r="A161" t="s">
        <v>43</v>
      </c>
      <c r="D161"/>
    </row>
    <row r="162" spans="1:21" hidden="1" x14ac:dyDescent="0.3">
      <c r="A162" t="s">
        <v>43</v>
      </c>
      <c r="D162"/>
    </row>
    <row r="163" spans="1:21" hidden="1" x14ac:dyDescent="0.3">
      <c r="A163" t="s">
        <v>43</v>
      </c>
      <c r="D163"/>
    </row>
    <row r="164" spans="1:21" hidden="1" x14ac:dyDescent="0.3">
      <c r="A164" t="s">
        <v>43</v>
      </c>
      <c r="D164"/>
    </row>
    <row r="165" spans="1:21" hidden="1" x14ac:dyDescent="0.3">
      <c r="A165" t="s">
        <v>43</v>
      </c>
      <c r="D165"/>
    </row>
    <row r="166" spans="1:21" hidden="1" x14ac:dyDescent="0.3">
      <c r="A166" t="s">
        <v>43</v>
      </c>
      <c r="D166"/>
    </row>
    <row r="167" spans="1:21" hidden="1" x14ac:dyDescent="0.3">
      <c r="A167" t="s">
        <v>43</v>
      </c>
      <c r="D167"/>
    </row>
    <row r="168" spans="1:21" hidden="1" x14ac:dyDescent="0.3">
      <c r="A168" t="s">
        <v>43</v>
      </c>
      <c r="D168"/>
    </row>
    <row r="169" spans="1:21" hidden="1" x14ac:dyDescent="0.3">
      <c r="A169" t="s">
        <v>43</v>
      </c>
      <c r="D169"/>
    </row>
    <row r="170" spans="1:21" hidden="1" x14ac:dyDescent="0.3">
      <c r="A170" t="s">
        <v>43</v>
      </c>
      <c r="D170"/>
    </row>
    <row r="171" spans="1:21" hidden="1" x14ac:dyDescent="0.3">
      <c r="A171" t="s">
        <v>43</v>
      </c>
      <c r="B171" t="s">
        <v>26</v>
      </c>
      <c r="D171"/>
      <c r="G171" s="18" t="s">
        <v>26</v>
      </c>
      <c r="U171" s="18" t="s">
        <v>26</v>
      </c>
    </row>
    <row r="172" spans="1:21" hidden="1" x14ac:dyDescent="0.3">
      <c r="A172" t="s">
        <v>43</v>
      </c>
      <c r="B172" t="s">
        <v>26</v>
      </c>
      <c r="D172"/>
      <c r="G172" s="18" t="s">
        <v>26</v>
      </c>
      <c r="U172" s="18" t="s">
        <v>26</v>
      </c>
    </row>
    <row r="173" spans="1:21" hidden="1" x14ac:dyDescent="0.3">
      <c r="A173" t="s">
        <v>43</v>
      </c>
      <c r="B173" t="s">
        <v>26</v>
      </c>
      <c r="D173"/>
      <c r="G173" s="18" t="s">
        <v>26</v>
      </c>
      <c r="U173" s="18" t="s">
        <v>26</v>
      </c>
    </row>
    <row r="174" spans="1:21" hidden="1" x14ac:dyDescent="0.3">
      <c r="A174" t="s">
        <v>43</v>
      </c>
      <c r="B174" t="s">
        <v>26</v>
      </c>
      <c r="D174"/>
      <c r="G174" s="18" t="s">
        <v>26</v>
      </c>
      <c r="U174" s="18" t="s">
        <v>26</v>
      </c>
    </row>
    <row r="175" spans="1:21" hidden="1" x14ac:dyDescent="0.3">
      <c r="A175" t="s">
        <v>43</v>
      </c>
      <c r="B175" t="s">
        <v>26</v>
      </c>
      <c r="D175"/>
      <c r="G175" s="18" t="s">
        <v>26</v>
      </c>
      <c r="U175" s="18" t="s">
        <v>26</v>
      </c>
    </row>
    <row r="176" spans="1:21" hidden="1" x14ac:dyDescent="0.3">
      <c r="A176" t="s">
        <v>43</v>
      </c>
      <c r="B176" t="s">
        <v>26</v>
      </c>
      <c r="D176"/>
      <c r="G176" s="18" t="s">
        <v>26</v>
      </c>
      <c r="U176" s="18" t="s">
        <v>26</v>
      </c>
    </row>
    <row r="177" spans="1:21" hidden="1" x14ac:dyDescent="0.3">
      <c r="A177" t="s">
        <v>43</v>
      </c>
      <c r="B177" t="s">
        <v>26</v>
      </c>
      <c r="D177"/>
      <c r="G177" s="18" t="s">
        <v>26</v>
      </c>
      <c r="U177" s="18" t="s">
        <v>26</v>
      </c>
    </row>
    <row r="178" spans="1:21" hidden="1" x14ac:dyDescent="0.3">
      <c r="A178" t="s">
        <v>43</v>
      </c>
      <c r="B178" t="s">
        <v>26</v>
      </c>
      <c r="D178"/>
      <c r="G178" s="18" t="s">
        <v>26</v>
      </c>
      <c r="U178" s="18" t="s">
        <v>26</v>
      </c>
    </row>
    <row r="179" spans="1:21" hidden="1" x14ac:dyDescent="0.3">
      <c r="A179" t="s">
        <v>43</v>
      </c>
      <c r="B179" t="s">
        <v>26</v>
      </c>
      <c r="D179"/>
      <c r="G179" s="18" t="s">
        <v>26</v>
      </c>
      <c r="U179" s="18" t="s">
        <v>26</v>
      </c>
    </row>
    <row r="180" spans="1:21" hidden="1" x14ac:dyDescent="0.3">
      <c r="A180" t="s">
        <v>43</v>
      </c>
      <c r="B180" t="s">
        <v>26</v>
      </c>
      <c r="D180"/>
      <c r="G180" s="18" t="s">
        <v>26</v>
      </c>
      <c r="U180" s="18" t="s">
        <v>26</v>
      </c>
    </row>
    <row r="181" spans="1:21" hidden="1" x14ac:dyDescent="0.3">
      <c r="A181" t="s">
        <v>43</v>
      </c>
      <c r="B181" t="s">
        <v>26</v>
      </c>
      <c r="D181"/>
      <c r="G181" s="18" t="s">
        <v>26</v>
      </c>
      <c r="U181" s="18" t="s">
        <v>26</v>
      </c>
    </row>
    <row r="182" spans="1:21" hidden="1" x14ac:dyDescent="0.3">
      <c r="A182" t="s">
        <v>43</v>
      </c>
      <c r="B182" t="s">
        <v>26</v>
      </c>
      <c r="D182"/>
      <c r="G182" s="18" t="s">
        <v>26</v>
      </c>
      <c r="U182" s="18" t="s">
        <v>26</v>
      </c>
    </row>
    <row r="183" spans="1:21" hidden="1" x14ac:dyDescent="0.3">
      <c r="A183" t="s">
        <v>43</v>
      </c>
      <c r="B183" t="s">
        <v>26</v>
      </c>
      <c r="D183"/>
      <c r="G183" s="18" t="s">
        <v>26</v>
      </c>
      <c r="U183" s="18" t="s">
        <v>26</v>
      </c>
    </row>
    <row r="184" spans="1:21" hidden="1" x14ac:dyDescent="0.3">
      <c r="A184" t="s">
        <v>43</v>
      </c>
      <c r="B184" t="s">
        <v>26</v>
      </c>
      <c r="D184"/>
      <c r="G184" s="18" t="s">
        <v>26</v>
      </c>
      <c r="U184" s="18" t="s">
        <v>26</v>
      </c>
    </row>
    <row r="185" spans="1:21" hidden="1" x14ac:dyDescent="0.3">
      <c r="A185" t="s">
        <v>43</v>
      </c>
      <c r="B185" t="s">
        <v>26</v>
      </c>
      <c r="D185"/>
      <c r="G185" s="18" t="s">
        <v>26</v>
      </c>
      <c r="U185" s="18" t="s">
        <v>26</v>
      </c>
    </row>
    <row r="186" spans="1:21" hidden="1" x14ac:dyDescent="0.3">
      <c r="A186" t="s">
        <v>43</v>
      </c>
      <c r="B186" t="s">
        <v>26</v>
      </c>
      <c r="D186"/>
      <c r="G186" s="18" t="s">
        <v>26</v>
      </c>
      <c r="U186" s="18" t="s">
        <v>26</v>
      </c>
    </row>
    <row r="187" spans="1:21" hidden="1" x14ac:dyDescent="0.3">
      <c r="A187" t="s">
        <v>43</v>
      </c>
      <c r="B187" t="s">
        <v>26</v>
      </c>
      <c r="D187"/>
      <c r="G187" s="18" t="s">
        <v>26</v>
      </c>
      <c r="U187" s="18" t="s">
        <v>26</v>
      </c>
    </row>
    <row r="188" spans="1:21" hidden="1" x14ac:dyDescent="0.3">
      <c r="A188" t="s">
        <v>43</v>
      </c>
      <c r="B188" t="s">
        <v>26</v>
      </c>
      <c r="D188"/>
      <c r="G188" s="18" t="s">
        <v>26</v>
      </c>
      <c r="U188" s="18" t="s">
        <v>26</v>
      </c>
    </row>
    <row r="189" spans="1:21" hidden="1" x14ac:dyDescent="0.3">
      <c r="A189" t="s">
        <v>43</v>
      </c>
      <c r="B189" t="s">
        <v>26</v>
      </c>
      <c r="D189"/>
      <c r="G189" s="18" t="s">
        <v>26</v>
      </c>
      <c r="U189" s="18" t="s">
        <v>26</v>
      </c>
    </row>
    <row r="190" spans="1:21" hidden="1" x14ac:dyDescent="0.3">
      <c r="A190" t="s">
        <v>43</v>
      </c>
      <c r="B190" t="s">
        <v>26</v>
      </c>
      <c r="D190"/>
      <c r="G190" s="18" t="s">
        <v>26</v>
      </c>
      <c r="U190" s="18" t="s">
        <v>26</v>
      </c>
    </row>
    <row r="191" spans="1:21" hidden="1" x14ac:dyDescent="0.3">
      <c r="A191" t="s">
        <v>43</v>
      </c>
      <c r="B191" t="s">
        <v>26</v>
      </c>
      <c r="D191"/>
      <c r="G191" s="18" t="s">
        <v>26</v>
      </c>
      <c r="U191" s="18" t="s">
        <v>26</v>
      </c>
    </row>
    <row r="192" spans="1:21" hidden="1" x14ac:dyDescent="0.3">
      <c r="A192" t="s">
        <v>43</v>
      </c>
      <c r="B192" t="s">
        <v>26</v>
      </c>
      <c r="D192"/>
      <c r="G192" s="18" t="s">
        <v>26</v>
      </c>
      <c r="U192" s="18" t="s">
        <v>26</v>
      </c>
    </row>
    <row r="193" spans="1:21" hidden="1" x14ac:dyDescent="0.3">
      <c r="A193" t="s">
        <v>43</v>
      </c>
      <c r="B193" t="s">
        <v>26</v>
      </c>
      <c r="D193"/>
      <c r="G193" s="18" t="s">
        <v>26</v>
      </c>
      <c r="U193" s="18" t="s">
        <v>26</v>
      </c>
    </row>
    <row r="194" spans="1:21" hidden="1" x14ac:dyDescent="0.3">
      <c r="A194" t="s">
        <v>43</v>
      </c>
      <c r="B194" t="s">
        <v>26</v>
      </c>
      <c r="D194"/>
      <c r="G194" s="18" t="s">
        <v>26</v>
      </c>
      <c r="U194" s="18" t="s">
        <v>26</v>
      </c>
    </row>
    <row r="195" spans="1:21" hidden="1" x14ac:dyDescent="0.3">
      <c r="A195" t="s">
        <v>43</v>
      </c>
      <c r="B195" t="s">
        <v>26</v>
      </c>
      <c r="D195"/>
      <c r="G195" s="18" t="s">
        <v>26</v>
      </c>
      <c r="U195" s="18" t="s">
        <v>26</v>
      </c>
    </row>
    <row r="196" spans="1:21" hidden="1" x14ac:dyDescent="0.3">
      <c r="A196" t="s">
        <v>43</v>
      </c>
      <c r="B196" t="s">
        <v>26</v>
      </c>
      <c r="D196"/>
      <c r="G196" s="18" t="s">
        <v>26</v>
      </c>
      <c r="U196" s="18" t="s">
        <v>26</v>
      </c>
    </row>
    <row r="197" spans="1:21" hidden="1" x14ac:dyDescent="0.3">
      <c r="A197" t="s">
        <v>43</v>
      </c>
      <c r="B197" t="s">
        <v>26</v>
      </c>
      <c r="D197"/>
      <c r="G197" s="18" t="s">
        <v>26</v>
      </c>
      <c r="U197" s="18" t="s">
        <v>26</v>
      </c>
    </row>
    <row r="198" spans="1:21" hidden="1" x14ac:dyDescent="0.3">
      <c r="A198" t="s">
        <v>43</v>
      </c>
      <c r="B198" t="s">
        <v>26</v>
      </c>
      <c r="D198"/>
      <c r="G198" s="18" t="s">
        <v>26</v>
      </c>
      <c r="U198" s="18" t="s">
        <v>26</v>
      </c>
    </row>
    <row r="199" spans="1:21" hidden="1" x14ac:dyDescent="0.3">
      <c r="A199" t="s">
        <v>43</v>
      </c>
      <c r="B199" t="s">
        <v>26</v>
      </c>
      <c r="D199"/>
      <c r="G199" s="18" t="s">
        <v>26</v>
      </c>
      <c r="U199" s="18" t="s">
        <v>26</v>
      </c>
    </row>
    <row r="200" spans="1:21" hidden="1" x14ac:dyDescent="0.3">
      <c r="A200" t="s">
        <v>43</v>
      </c>
      <c r="B200" t="s">
        <v>26</v>
      </c>
      <c r="D200"/>
      <c r="G200" s="18" t="s">
        <v>26</v>
      </c>
      <c r="U200" s="18" t="s">
        <v>26</v>
      </c>
    </row>
    <row r="201" spans="1:21" hidden="1" x14ac:dyDescent="0.3">
      <c r="A201" t="s">
        <v>43</v>
      </c>
      <c r="B201" t="s">
        <v>26</v>
      </c>
      <c r="D201"/>
      <c r="G201" s="18" t="s">
        <v>26</v>
      </c>
      <c r="U201" s="18" t="s">
        <v>26</v>
      </c>
    </row>
    <row r="202" spans="1:21" hidden="1" x14ac:dyDescent="0.3">
      <c r="B202" t="s">
        <v>26</v>
      </c>
      <c r="D202"/>
      <c r="G202" s="18" t="s">
        <v>26</v>
      </c>
      <c r="U202" s="18" t="s">
        <v>26</v>
      </c>
    </row>
    <row r="203" spans="1:21" hidden="1" x14ac:dyDescent="0.3">
      <c r="B203" t="s">
        <v>26</v>
      </c>
      <c r="G203" s="18" t="s">
        <v>26</v>
      </c>
      <c r="U203" s="18" t="s">
        <v>26</v>
      </c>
    </row>
    <row r="204" spans="1:21" hidden="1" x14ac:dyDescent="0.3">
      <c r="A204" t="s">
        <v>45</v>
      </c>
    </row>
    <row r="205" spans="1:21" hidden="1" x14ac:dyDescent="0.3">
      <c r="A205" t="s">
        <v>45</v>
      </c>
    </row>
    <row r="206" spans="1:21" hidden="1" x14ac:dyDescent="0.3">
      <c r="A206" t="s">
        <v>45</v>
      </c>
    </row>
    <row r="207" spans="1:21" hidden="1" x14ac:dyDescent="0.3">
      <c r="A207" t="s">
        <v>45</v>
      </c>
    </row>
    <row r="208" spans="1:21" hidden="1" x14ac:dyDescent="0.3">
      <c r="A208" t="s">
        <v>45</v>
      </c>
    </row>
    <row r="209" spans="1:1" hidden="1" x14ac:dyDescent="0.3">
      <c r="A209" t="s">
        <v>45</v>
      </c>
    </row>
    <row r="210" spans="1:1" hidden="1" x14ac:dyDescent="0.3">
      <c r="A210" t="s">
        <v>45</v>
      </c>
    </row>
    <row r="211" spans="1:1" hidden="1" x14ac:dyDescent="0.3">
      <c r="A211" t="s">
        <v>45</v>
      </c>
    </row>
    <row r="212" spans="1:1" hidden="1" x14ac:dyDescent="0.3">
      <c r="A212" t="s">
        <v>45</v>
      </c>
    </row>
    <row r="213" spans="1:1" hidden="1" x14ac:dyDescent="0.3">
      <c r="A213" t="s">
        <v>45</v>
      </c>
    </row>
    <row r="214" spans="1:1" hidden="1" x14ac:dyDescent="0.3">
      <c r="A214" t="s">
        <v>45</v>
      </c>
    </row>
    <row r="215" spans="1:1" hidden="1" x14ac:dyDescent="0.3">
      <c r="A215" t="s">
        <v>45</v>
      </c>
    </row>
    <row r="216" spans="1:1" hidden="1" x14ac:dyDescent="0.3">
      <c r="A216" t="s">
        <v>45</v>
      </c>
    </row>
    <row r="217" spans="1:1" hidden="1" x14ac:dyDescent="0.3">
      <c r="A217" t="s">
        <v>45</v>
      </c>
    </row>
    <row r="218" spans="1:1" hidden="1" x14ac:dyDescent="0.3">
      <c r="A218" t="s">
        <v>45</v>
      </c>
    </row>
    <row r="219" spans="1:1" hidden="1" x14ac:dyDescent="0.3">
      <c r="A219" t="s">
        <v>45</v>
      </c>
    </row>
    <row r="220" spans="1:1" hidden="1" x14ac:dyDescent="0.3"/>
    <row r="221" spans="1:1" hidden="1" x14ac:dyDescent="0.3">
      <c r="A221" t="s">
        <v>45</v>
      </c>
    </row>
    <row r="222" spans="1:1" hidden="1" x14ac:dyDescent="0.3">
      <c r="A222" t="s">
        <v>45</v>
      </c>
    </row>
    <row r="223" spans="1:1" hidden="1" x14ac:dyDescent="0.3">
      <c r="A223" t="s">
        <v>45</v>
      </c>
    </row>
    <row r="224" spans="1:1" hidden="1" x14ac:dyDescent="0.3">
      <c r="A224" t="s">
        <v>45</v>
      </c>
    </row>
    <row r="225" spans="1:4" hidden="1" x14ac:dyDescent="0.3">
      <c r="A225" t="s">
        <v>45</v>
      </c>
      <c r="D225"/>
    </row>
    <row r="226" spans="1:4" hidden="1" x14ac:dyDescent="0.3">
      <c r="A226" t="s">
        <v>45</v>
      </c>
      <c r="D226"/>
    </row>
    <row r="227" spans="1:4" hidden="1" x14ac:dyDescent="0.3">
      <c r="A227" t="s">
        <v>45</v>
      </c>
      <c r="D227"/>
    </row>
    <row r="228" spans="1:4" hidden="1" x14ac:dyDescent="0.3">
      <c r="A228" t="s">
        <v>45</v>
      </c>
      <c r="D228"/>
    </row>
    <row r="229" spans="1:4" hidden="1" x14ac:dyDescent="0.3">
      <c r="A229" t="s">
        <v>45</v>
      </c>
      <c r="D229"/>
    </row>
    <row r="230" spans="1:4" hidden="1" x14ac:dyDescent="0.3">
      <c r="A230" t="s">
        <v>45</v>
      </c>
      <c r="D230"/>
    </row>
    <row r="231" spans="1:4" hidden="1" x14ac:dyDescent="0.3">
      <c r="A231" t="s">
        <v>45</v>
      </c>
      <c r="D231"/>
    </row>
    <row r="232" spans="1:4" hidden="1" x14ac:dyDescent="0.3">
      <c r="A232" t="s">
        <v>45</v>
      </c>
      <c r="D232"/>
    </row>
    <row r="233" spans="1:4" hidden="1" x14ac:dyDescent="0.3">
      <c r="A233" t="s">
        <v>45</v>
      </c>
      <c r="D233"/>
    </row>
    <row r="234" spans="1:4" hidden="1" x14ac:dyDescent="0.3">
      <c r="A234" t="s">
        <v>45</v>
      </c>
      <c r="D234"/>
    </row>
    <row r="235" spans="1:4" hidden="1" x14ac:dyDescent="0.3">
      <c r="A235" t="s">
        <v>45</v>
      </c>
      <c r="D235"/>
    </row>
    <row r="236" spans="1:4" hidden="1" x14ac:dyDescent="0.3">
      <c r="A236" t="s">
        <v>45</v>
      </c>
      <c r="D236"/>
    </row>
    <row r="237" spans="1:4" hidden="1" x14ac:dyDescent="0.3">
      <c r="A237" t="s">
        <v>45</v>
      </c>
      <c r="D237"/>
    </row>
    <row r="238" spans="1:4" hidden="1" x14ac:dyDescent="0.3">
      <c r="A238" t="s">
        <v>45</v>
      </c>
      <c r="D238"/>
    </row>
    <row r="239" spans="1:4" hidden="1" x14ac:dyDescent="0.3">
      <c r="A239" t="s">
        <v>45</v>
      </c>
      <c r="D239"/>
    </row>
    <row r="240" spans="1:4" hidden="1" x14ac:dyDescent="0.3">
      <c r="A240" t="s">
        <v>45</v>
      </c>
      <c r="D240"/>
    </row>
    <row r="241" spans="1:4" hidden="1" x14ac:dyDescent="0.3">
      <c r="A241" t="s">
        <v>45</v>
      </c>
      <c r="D241"/>
    </row>
    <row r="242" spans="1:4" hidden="1" x14ac:dyDescent="0.3">
      <c r="A242" t="s">
        <v>45</v>
      </c>
      <c r="D242"/>
    </row>
    <row r="243" spans="1:4" hidden="1" x14ac:dyDescent="0.3">
      <c r="A243" t="s">
        <v>45</v>
      </c>
      <c r="D243"/>
    </row>
    <row r="244" spans="1:4" hidden="1" x14ac:dyDescent="0.3">
      <c r="A244" t="s">
        <v>45</v>
      </c>
      <c r="D244"/>
    </row>
    <row r="245" spans="1:4" hidden="1" x14ac:dyDescent="0.3">
      <c r="A245" t="s">
        <v>45</v>
      </c>
      <c r="D245"/>
    </row>
    <row r="246" spans="1:4" hidden="1" x14ac:dyDescent="0.3">
      <c r="A246" t="s">
        <v>45</v>
      </c>
      <c r="D246"/>
    </row>
    <row r="247" spans="1:4" hidden="1" x14ac:dyDescent="0.3">
      <c r="A247" t="s">
        <v>45</v>
      </c>
      <c r="D247"/>
    </row>
    <row r="248" spans="1:4" hidden="1" x14ac:dyDescent="0.3">
      <c r="A248" t="s">
        <v>45</v>
      </c>
      <c r="D248"/>
    </row>
    <row r="249" spans="1:4" hidden="1" x14ac:dyDescent="0.3">
      <c r="A249" t="s">
        <v>45</v>
      </c>
      <c r="D249"/>
    </row>
    <row r="250" spans="1:4" hidden="1" x14ac:dyDescent="0.3">
      <c r="A250" t="s">
        <v>45</v>
      </c>
      <c r="D250"/>
    </row>
    <row r="251" spans="1:4" hidden="1" x14ac:dyDescent="0.3">
      <c r="A251" t="s">
        <v>45</v>
      </c>
      <c r="D251"/>
    </row>
    <row r="252" spans="1:4" hidden="1" x14ac:dyDescent="0.3">
      <c r="A252" t="s">
        <v>45</v>
      </c>
      <c r="D252"/>
    </row>
    <row r="253" spans="1:4" hidden="1" x14ac:dyDescent="0.3">
      <c r="A253" t="s">
        <v>45</v>
      </c>
      <c r="D253"/>
    </row>
    <row r="254" spans="1:4" hidden="1" x14ac:dyDescent="0.3">
      <c r="A254" t="s">
        <v>45</v>
      </c>
      <c r="D254"/>
    </row>
    <row r="255" spans="1:4" hidden="1" x14ac:dyDescent="0.3">
      <c r="A255" t="s">
        <v>45</v>
      </c>
      <c r="D255"/>
    </row>
    <row r="256" spans="1:4" hidden="1" x14ac:dyDescent="0.3">
      <c r="A256" t="s">
        <v>45</v>
      </c>
      <c r="D256"/>
    </row>
    <row r="257" spans="1:4" hidden="1" x14ac:dyDescent="0.3">
      <c r="A257" t="s">
        <v>45</v>
      </c>
      <c r="D257"/>
    </row>
    <row r="258" spans="1:4" hidden="1" x14ac:dyDescent="0.3">
      <c r="A258" t="s">
        <v>45</v>
      </c>
      <c r="D258"/>
    </row>
    <row r="259" spans="1:4" hidden="1" x14ac:dyDescent="0.3">
      <c r="A259" t="s">
        <v>45</v>
      </c>
      <c r="D259"/>
    </row>
    <row r="260" spans="1:4" hidden="1" x14ac:dyDescent="0.3">
      <c r="A260" t="s">
        <v>45</v>
      </c>
      <c r="D260"/>
    </row>
    <row r="261" spans="1:4" hidden="1" x14ac:dyDescent="0.3">
      <c r="A261" t="s">
        <v>45</v>
      </c>
      <c r="D261"/>
    </row>
    <row r="262" spans="1:4" hidden="1" x14ac:dyDescent="0.3">
      <c r="A262" t="s">
        <v>45</v>
      </c>
      <c r="D262"/>
    </row>
    <row r="263" spans="1:4" hidden="1" x14ac:dyDescent="0.3">
      <c r="A263" t="s">
        <v>45</v>
      </c>
      <c r="D263"/>
    </row>
    <row r="264" spans="1:4" hidden="1" x14ac:dyDescent="0.3">
      <c r="A264" t="s">
        <v>45</v>
      </c>
      <c r="D264"/>
    </row>
    <row r="265" spans="1:4" hidden="1" x14ac:dyDescent="0.3">
      <c r="A265" t="s">
        <v>45</v>
      </c>
      <c r="D265"/>
    </row>
    <row r="266" spans="1:4" hidden="1" x14ac:dyDescent="0.3">
      <c r="A266" t="s">
        <v>45</v>
      </c>
      <c r="D266"/>
    </row>
    <row r="267" spans="1:4" hidden="1" x14ac:dyDescent="0.3">
      <c r="A267" t="s">
        <v>45</v>
      </c>
      <c r="D267"/>
    </row>
    <row r="268" spans="1:4" hidden="1" x14ac:dyDescent="0.3">
      <c r="A268" t="s">
        <v>45</v>
      </c>
      <c r="D268"/>
    </row>
    <row r="269" spans="1:4" hidden="1" x14ac:dyDescent="0.3">
      <c r="A269" t="s">
        <v>45</v>
      </c>
      <c r="D269"/>
    </row>
    <row r="270" spans="1:4" hidden="1" x14ac:dyDescent="0.3"/>
    <row r="271" spans="1:4" hidden="1" x14ac:dyDescent="0.3"/>
    <row r="272" spans="1:4" hidden="1" x14ac:dyDescent="0.3">
      <c r="A272" t="s">
        <v>46</v>
      </c>
    </row>
    <row r="273" spans="1:1" hidden="1" x14ac:dyDescent="0.3">
      <c r="A273" t="s">
        <v>46</v>
      </c>
    </row>
    <row r="274" spans="1:1" hidden="1" x14ac:dyDescent="0.3">
      <c r="A274" t="s">
        <v>46</v>
      </c>
    </row>
    <row r="275" spans="1:1" hidden="1" x14ac:dyDescent="0.3">
      <c r="A275" t="s">
        <v>46</v>
      </c>
    </row>
    <row r="276" spans="1:1" hidden="1" x14ac:dyDescent="0.3">
      <c r="A276" t="s">
        <v>46</v>
      </c>
    </row>
    <row r="277" spans="1:1" hidden="1" x14ac:dyDescent="0.3">
      <c r="A277" t="s">
        <v>46</v>
      </c>
    </row>
    <row r="278" spans="1:1" hidden="1" x14ac:dyDescent="0.3">
      <c r="A278" t="s">
        <v>46</v>
      </c>
    </row>
    <row r="279" spans="1:1" hidden="1" x14ac:dyDescent="0.3">
      <c r="A279" t="s">
        <v>46</v>
      </c>
    </row>
    <row r="280" spans="1:1" hidden="1" x14ac:dyDescent="0.3">
      <c r="A280" t="s">
        <v>46</v>
      </c>
    </row>
    <row r="281" spans="1:1" hidden="1" x14ac:dyDescent="0.3">
      <c r="A281" t="s">
        <v>46</v>
      </c>
    </row>
    <row r="282" spans="1:1" hidden="1" x14ac:dyDescent="0.3">
      <c r="A282" t="s">
        <v>46</v>
      </c>
    </row>
    <row r="283" spans="1:1" hidden="1" x14ac:dyDescent="0.3">
      <c r="A283" t="s">
        <v>46</v>
      </c>
    </row>
    <row r="284" spans="1:1" hidden="1" x14ac:dyDescent="0.3">
      <c r="A284" t="s">
        <v>46</v>
      </c>
    </row>
    <row r="285" spans="1:1" hidden="1" x14ac:dyDescent="0.3">
      <c r="A285" t="s">
        <v>46</v>
      </c>
    </row>
    <row r="286" spans="1:1" hidden="1" x14ac:dyDescent="0.3">
      <c r="A286" t="s">
        <v>46</v>
      </c>
    </row>
    <row r="287" spans="1:1" hidden="1" x14ac:dyDescent="0.3">
      <c r="A287" t="s">
        <v>46</v>
      </c>
    </row>
    <row r="288" spans="1:1" hidden="1" x14ac:dyDescent="0.3"/>
    <row r="289" spans="1:4" hidden="1" x14ac:dyDescent="0.3">
      <c r="A289" t="s">
        <v>46</v>
      </c>
    </row>
    <row r="290" spans="1:4" hidden="1" x14ac:dyDescent="0.3">
      <c r="A290" t="s">
        <v>46</v>
      </c>
      <c r="D290"/>
    </row>
    <row r="291" spans="1:4" hidden="1" x14ac:dyDescent="0.3">
      <c r="A291" t="s">
        <v>46</v>
      </c>
      <c r="D291"/>
    </row>
    <row r="292" spans="1:4" hidden="1" x14ac:dyDescent="0.3">
      <c r="A292" t="s">
        <v>46</v>
      </c>
      <c r="D292"/>
    </row>
    <row r="293" spans="1:4" hidden="1" x14ac:dyDescent="0.3">
      <c r="A293" t="s">
        <v>46</v>
      </c>
      <c r="D293"/>
    </row>
    <row r="294" spans="1:4" hidden="1" x14ac:dyDescent="0.3">
      <c r="A294" t="s">
        <v>46</v>
      </c>
      <c r="D294"/>
    </row>
    <row r="295" spans="1:4" hidden="1" x14ac:dyDescent="0.3">
      <c r="A295" t="s">
        <v>46</v>
      </c>
      <c r="D295"/>
    </row>
    <row r="296" spans="1:4" hidden="1" x14ac:dyDescent="0.3">
      <c r="A296" t="s">
        <v>46</v>
      </c>
      <c r="D296"/>
    </row>
    <row r="297" spans="1:4" hidden="1" x14ac:dyDescent="0.3">
      <c r="A297" t="s">
        <v>46</v>
      </c>
      <c r="D297"/>
    </row>
    <row r="298" spans="1:4" hidden="1" x14ac:dyDescent="0.3">
      <c r="A298" t="s">
        <v>46</v>
      </c>
      <c r="D298"/>
    </row>
    <row r="299" spans="1:4" hidden="1" x14ac:dyDescent="0.3">
      <c r="A299" t="s">
        <v>46</v>
      </c>
      <c r="D299"/>
    </row>
    <row r="300" spans="1:4" hidden="1" x14ac:dyDescent="0.3">
      <c r="A300" t="s">
        <v>46</v>
      </c>
      <c r="D300"/>
    </row>
    <row r="301" spans="1:4" hidden="1" x14ac:dyDescent="0.3">
      <c r="A301" t="s">
        <v>46</v>
      </c>
      <c r="D301"/>
    </row>
    <row r="302" spans="1:4" hidden="1" x14ac:dyDescent="0.3">
      <c r="A302" t="s">
        <v>46</v>
      </c>
      <c r="D302"/>
    </row>
    <row r="303" spans="1:4" hidden="1" x14ac:dyDescent="0.3">
      <c r="A303" t="s">
        <v>46</v>
      </c>
      <c r="D303"/>
    </row>
    <row r="304" spans="1:4" hidden="1" x14ac:dyDescent="0.3">
      <c r="A304" t="s">
        <v>46</v>
      </c>
      <c r="D304"/>
    </row>
    <row r="305" spans="1:21" hidden="1" x14ac:dyDescent="0.3">
      <c r="A305" t="s">
        <v>46</v>
      </c>
      <c r="D305"/>
    </row>
    <row r="306" spans="1:21" hidden="1" x14ac:dyDescent="0.3">
      <c r="A306" t="s">
        <v>46</v>
      </c>
      <c r="B306" t="s">
        <v>26</v>
      </c>
      <c r="D306"/>
      <c r="G306" s="18" t="s">
        <v>26</v>
      </c>
      <c r="U306" s="18" t="s">
        <v>26</v>
      </c>
    </row>
    <row r="307" spans="1:21" hidden="1" x14ac:dyDescent="0.3">
      <c r="A307" t="s">
        <v>46</v>
      </c>
      <c r="B307" t="s">
        <v>26</v>
      </c>
      <c r="D307"/>
      <c r="G307" s="18" t="s">
        <v>26</v>
      </c>
      <c r="U307" s="18" t="s">
        <v>26</v>
      </c>
    </row>
    <row r="308" spans="1:21" hidden="1" x14ac:dyDescent="0.3">
      <c r="A308" t="s">
        <v>46</v>
      </c>
      <c r="B308" t="s">
        <v>26</v>
      </c>
      <c r="D308"/>
      <c r="G308" s="18" t="s">
        <v>26</v>
      </c>
      <c r="U308" s="18" t="s">
        <v>26</v>
      </c>
    </row>
    <row r="309" spans="1:21" hidden="1" x14ac:dyDescent="0.3">
      <c r="A309" t="s">
        <v>46</v>
      </c>
      <c r="B309" t="s">
        <v>26</v>
      </c>
      <c r="D309"/>
      <c r="G309" s="18" t="s">
        <v>26</v>
      </c>
      <c r="U309" s="18" t="s">
        <v>26</v>
      </c>
    </row>
    <row r="310" spans="1:21" hidden="1" x14ac:dyDescent="0.3">
      <c r="A310" t="s">
        <v>46</v>
      </c>
      <c r="B310" t="s">
        <v>26</v>
      </c>
      <c r="D310"/>
      <c r="G310" s="18" t="s">
        <v>26</v>
      </c>
      <c r="U310" s="18" t="s">
        <v>26</v>
      </c>
    </row>
    <row r="311" spans="1:21" hidden="1" x14ac:dyDescent="0.3">
      <c r="A311" t="s">
        <v>46</v>
      </c>
      <c r="B311" t="s">
        <v>26</v>
      </c>
      <c r="D311"/>
      <c r="G311" s="18" t="s">
        <v>26</v>
      </c>
      <c r="U311" s="18" t="s">
        <v>26</v>
      </c>
    </row>
    <row r="312" spans="1:21" hidden="1" x14ac:dyDescent="0.3">
      <c r="A312" t="s">
        <v>46</v>
      </c>
      <c r="B312" t="s">
        <v>26</v>
      </c>
      <c r="D312"/>
      <c r="G312" s="18" t="s">
        <v>26</v>
      </c>
      <c r="U312" s="18" t="s">
        <v>26</v>
      </c>
    </row>
    <row r="313" spans="1:21" hidden="1" x14ac:dyDescent="0.3">
      <c r="A313" t="s">
        <v>46</v>
      </c>
      <c r="B313" t="s">
        <v>26</v>
      </c>
      <c r="D313"/>
      <c r="G313" s="18" t="s">
        <v>26</v>
      </c>
      <c r="U313" s="18" t="s">
        <v>26</v>
      </c>
    </row>
    <row r="314" spans="1:21" hidden="1" x14ac:dyDescent="0.3">
      <c r="A314" t="s">
        <v>46</v>
      </c>
      <c r="B314" t="s">
        <v>26</v>
      </c>
      <c r="D314"/>
      <c r="G314" s="18" t="s">
        <v>26</v>
      </c>
      <c r="U314" s="18" t="s">
        <v>26</v>
      </c>
    </row>
    <row r="315" spans="1:21" hidden="1" x14ac:dyDescent="0.3">
      <c r="A315" t="s">
        <v>46</v>
      </c>
      <c r="B315" t="s">
        <v>26</v>
      </c>
      <c r="D315"/>
      <c r="G315" s="18" t="s">
        <v>26</v>
      </c>
      <c r="U315" s="18" t="s">
        <v>26</v>
      </c>
    </row>
    <row r="316" spans="1:21" hidden="1" x14ac:dyDescent="0.3">
      <c r="A316" t="s">
        <v>46</v>
      </c>
      <c r="B316" t="s">
        <v>26</v>
      </c>
      <c r="D316"/>
      <c r="G316" s="18" t="s">
        <v>26</v>
      </c>
      <c r="U316" s="18" t="s">
        <v>26</v>
      </c>
    </row>
    <row r="317" spans="1:21" hidden="1" x14ac:dyDescent="0.3">
      <c r="A317" t="s">
        <v>46</v>
      </c>
      <c r="B317" t="s">
        <v>26</v>
      </c>
      <c r="D317"/>
      <c r="G317" s="18" t="s">
        <v>26</v>
      </c>
      <c r="U317" s="18" t="s">
        <v>26</v>
      </c>
    </row>
    <row r="318" spans="1:21" hidden="1" x14ac:dyDescent="0.3">
      <c r="A318" t="s">
        <v>46</v>
      </c>
      <c r="B318" t="s">
        <v>26</v>
      </c>
      <c r="D318"/>
      <c r="G318" s="18" t="s">
        <v>26</v>
      </c>
      <c r="U318" s="18" t="s">
        <v>26</v>
      </c>
    </row>
    <row r="319" spans="1:21" hidden="1" x14ac:dyDescent="0.3">
      <c r="A319" t="s">
        <v>46</v>
      </c>
      <c r="B319" t="s">
        <v>26</v>
      </c>
      <c r="D319"/>
      <c r="G319" s="18" t="s">
        <v>26</v>
      </c>
      <c r="U319" s="18" t="s">
        <v>26</v>
      </c>
    </row>
    <row r="320" spans="1:21" hidden="1" x14ac:dyDescent="0.3">
      <c r="A320" t="s">
        <v>46</v>
      </c>
      <c r="B320" t="s">
        <v>26</v>
      </c>
      <c r="D320"/>
      <c r="G320" s="18" t="s">
        <v>26</v>
      </c>
      <c r="U320" s="18" t="s">
        <v>26</v>
      </c>
    </row>
    <row r="321" spans="1:21" hidden="1" x14ac:dyDescent="0.3">
      <c r="A321" t="s">
        <v>46</v>
      </c>
      <c r="B321" t="s">
        <v>26</v>
      </c>
      <c r="D321"/>
      <c r="G321" s="18" t="s">
        <v>26</v>
      </c>
      <c r="U321" s="18" t="s">
        <v>26</v>
      </c>
    </row>
    <row r="322" spans="1:21" hidden="1" x14ac:dyDescent="0.3">
      <c r="A322" t="s">
        <v>46</v>
      </c>
      <c r="B322" t="s">
        <v>26</v>
      </c>
      <c r="D322"/>
      <c r="G322" s="18" t="s">
        <v>26</v>
      </c>
      <c r="U322" s="18" t="s">
        <v>26</v>
      </c>
    </row>
    <row r="323" spans="1:21" hidden="1" x14ac:dyDescent="0.3">
      <c r="A323" t="s">
        <v>46</v>
      </c>
      <c r="B323" t="s">
        <v>26</v>
      </c>
      <c r="D323"/>
      <c r="G323" s="18" t="s">
        <v>26</v>
      </c>
      <c r="U323" s="18" t="s">
        <v>26</v>
      </c>
    </row>
    <row r="324" spans="1:21" hidden="1" x14ac:dyDescent="0.3">
      <c r="A324" t="s">
        <v>46</v>
      </c>
      <c r="B324" t="s">
        <v>26</v>
      </c>
      <c r="D324"/>
      <c r="G324" s="18" t="s">
        <v>26</v>
      </c>
      <c r="U324" s="18" t="s">
        <v>26</v>
      </c>
    </row>
    <row r="325" spans="1:21" hidden="1" x14ac:dyDescent="0.3">
      <c r="A325" t="s">
        <v>46</v>
      </c>
      <c r="B325" t="s">
        <v>26</v>
      </c>
      <c r="D325"/>
      <c r="G325" s="18" t="s">
        <v>26</v>
      </c>
      <c r="U325" s="18" t="s">
        <v>26</v>
      </c>
    </row>
    <row r="326" spans="1:21" hidden="1" x14ac:dyDescent="0.3">
      <c r="A326" t="s">
        <v>46</v>
      </c>
      <c r="B326" t="s">
        <v>26</v>
      </c>
      <c r="D326"/>
      <c r="G326" s="18" t="s">
        <v>26</v>
      </c>
      <c r="U326" s="18" t="s">
        <v>26</v>
      </c>
    </row>
    <row r="327" spans="1:21" hidden="1" x14ac:dyDescent="0.3">
      <c r="A327" t="s">
        <v>46</v>
      </c>
      <c r="B327" t="s">
        <v>26</v>
      </c>
      <c r="D327"/>
      <c r="G327" s="18" t="s">
        <v>26</v>
      </c>
      <c r="U327" s="18" t="s">
        <v>26</v>
      </c>
    </row>
    <row r="328" spans="1:21" hidden="1" x14ac:dyDescent="0.3">
      <c r="A328" t="s">
        <v>46</v>
      </c>
      <c r="B328" t="s">
        <v>26</v>
      </c>
      <c r="D328"/>
      <c r="G328" s="18" t="s">
        <v>26</v>
      </c>
      <c r="U328" s="18" t="s">
        <v>26</v>
      </c>
    </row>
    <row r="329" spans="1:21" hidden="1" x14ac:dyDescent="0.3">
      <c r="A329" t="s">
        <v>46</v>
      </c>
      <c r="B329" t="s">
        <v>26</v>
      </c>
      <c r="D329"/>
      <c r="G329" s="18" t="s">
        <v>26</v>
      </c>
      <c r="U329" s="18" t="s">
        <v>26</v>
      </c>
    </row>
    <row r="330" spans="1:21" hidden="1" x14ac:dyDescent="0.3">
      <c r="A330" t="s">
        <v>46</v>
      </c>
      <c r="B330" t="s">
        <v>26</v>
      </c>
      <c r="D330"/>
      <c r="G330" s="18" t="s">
        <v>26</v>
      </c>
      <c r="U330" s="18" t="s">
        <v>26</v>
      </c>
    </row>
    <row r="331" spans="1:21" hidden="1" x14ac:dyDescent="0.3">
      <c r="A331" t="s">
        <v>46</v>
      </c>
      <c r="B331" t="s">
        <v>26</v>
      </c>
      <c r="D331"/>
      <c r="G331" s="18" t="s">
        <v>26</v>
      </c>
      <c r="U331" s="18" t="s">
        <v>26</v>
      </c>
    </row>
    <row r="332" spans="1:21" hidden="1" x14ac:dyDescent="0.3">
      <c r="A332" t="s">
        <v>46</v>
      </c>
      <c r="B332" t="s">
        <v>26</v>
      </c>
      <c r="D332"/>
      <c r="G332" s="18" t="s">
        <v>26</v>
      </c>
      <c r="U332" s="18" t="s">
        <v>26</v>
      </c>
    </row>
    <row r="333" spans="1:21" hidden="1" x14ac:dyDescent="0.3">
      <c r="A333" t="s">
        <v>46</v>
      </c>
      <c r="B333" t="s">
        <v>26</v>
      </c>
      <c r="D333"/>
      <c r="G333" s="18" t="s">
        <v>26</v>
      </c>
      <c r="U333" s="18" t="s">
        <v>26</v>
      </c>
    </row>
    <row r="334" spans="1:21" hidden="1" x14ac:dyDescent="0.3">
      <c r="A334" t="s">
        <v>46</v>
      </c>
      <c r="B334" t="s">
        <v>26</v>
      </c>
      <c r="D334"/>
      <c r="G334" s="18" t="s">
        <v>26</v>
      </c>
      <c r="U334" s="18" t="s">
        <v>26</v>
      </c>
    </row>
    <row r="335" spans="1:21" hidden="1" x14ac:dyDescent="0.3">
      <c r="A335" t="s">
        <v>46</v>
      </c>
      <c r="B335" t="s">
        <v>26</v>
      </c>
      <c r="D335"/>
      <c r="G335" s="18" t="s">
        <v>26</v>
      </c>
      <c r="U335" s="18" t="s">
        <v>26</v>
      </c>
    </row>
    <row r="336" spans="1:21" hidden="1" x14ac:dyDescent="0.3">
      <c r="A336" t="s">
        <v>46</v>
      </c>
      <c r="B336" t="s">
        <v>26</v>
      </c>
      <c r="D336"/>
      <c r="G336" s="18" t="s">
        <v>26</v>
      </c>
      <c r="U336" s="18" t="s">
        <v>26</v>
      </c>
    </row>
    <row r="337" spans="1:1" hidden="1" x14ac:dyDescent="0.3">
      <c r="A337" t="s">
        <v>47</v>
      </c>
    </row>
    <row r="338" spans="1:1" hidden="1" x14ac:dyDescent="0.3">
      <c r="A338" t="s">
        <v>47</v>
      </c>
    </row>
    <row r="339" spans="1:1" hidden="1" x14ac:dyDescent="0.3">
      <c r="A339" t="s">
        <v>47</v>
      </c>
    </row>
    <row r="340" spans="1:1" hidden="1" x14ac:dyDescent="0.3">
      <c r="A340" t="s">
        <v>47</v>
      </c>
    </row>
    <row r="341" spans="1:1" hidden="1" x14ac:dyDescent="0.3">
      <c r="A341" t="s">
        <v>47</v>
      </c>
    </row>
    <row r="342" spans="1:1" hidden="1" x14ac:dyDescent="0.3">
      <c r="A342" t="s">
        <v>47</v>
      </c>
    </row>
    <row r="343" spans="1:1" hidden="1" x14ac:dyDescent="0.3">
      <c r="A343" t="s">
        <v>47</v>
      </c>
    </row>
    <row r="344" spans="1:1" hidden="1" x14ac:dyDescent="0.3">
      <c r="A344" t="s">
        <v>47</v>
      </c>
    </row>
    <row r="345" spans="1:1" hidden="1" x14ac:dyDescent="0.3">
      <c r="A345" t="s">
        <v>47</v>
      </c>
    </row>
    <row r="346" spans="1:1" hidden="1" x14ac:dyDescent="0.3">
      <c r="A346" t="s">
        <v>47</v>
      </c>
    </row>
    <row r="347" spans="1:1" hidden="1" x14ac:dyDescent="0.3">
      <c r="A347" t="s">
        <v>47</v>
      </c>
    </row>
    <row r="348" spans="1:1" hidden="1" x14ac:dyDescent="0.3">
      <c r="A348" t="s">
        <v>47</v>
      </c>
    </row>
    <row r="349" spans="1:1" hidden="1" x14ac:dyDescent="0.3">
      <c r="A349" t="s">
        <v>47</v>
      </c>
    </row>
    <row r="350" spans="1:1" hidden="1" x14ac:dyDescent="0.3">
      <c r="A350" t="s">
        <v>47</v>
      </c>
    </row>
    <row r="351" spans="1:1" hidden="1" x14ac:dyDescent="0.3">
      <c r="A351" t="s">
        <v>47</v>
      </c>
    </row>
    <row r="352" spans="1:1" hidden="1" x14ac:dyDescent="0.3">
      <c r="A352" t="s">
        <v>47</v>
      </c>
    </row>
    <row r="353" spans="1:4" hidden="1" x14ac:dyDescent="0.3"/>
    <row r="354" spans="1:4" hidden="1" x14ac:dyDescent="0.3">
      <c r="A354" t="s">
        <v>47</v>
      </c>
    </row>
    <row r="355" spans="1:4" hidden="1" x14ac:dyDescent="0.3">
      <c r="A355" t="s">
        <v>47</v>
      </c>
    </row>
    <row r="356" spans="1:4" hidden="1" x14ac:dyDescent="0.3">
      <c r="A356" t="s">
        <v>47</v>
      </c>
    </row>
    <row r="357" spans="1:4" hidden="1" x14ac:dyDescent="0.3">
      <c r="A357" t="s">
        <v>47</v>
      </c>
      <c r="D357"/>
    </row>
    <row r="358" spans="1:4" hidden="1" x14ac:dyDescent="0.3">
      <c r="A358" t="s">
        <v>47</v>
      </c>
      <c r="D358"/>
    </row>
    <row r="359" spans="1:4" hidden="1" x14ac:dyDescent="0.3">
      <c r="A359" t="s">
        <v>47</v>
      </c>
      <c r="D359"/>
    </row>
    <row r="360" spans="1:4" hidden="1" x14ac:dyDescent="0.3">
      <c r="A360" t="s">
        <v>47</v>
      </c>
      <c r="D360"/>
    </row>
    <row r="361" spans="1:4" hidden="1" x14ac:dyDescent="0.3">
      <c r="A361" t="s">
        <v>47</v>
      </c>
      <c r="D361"/>
    </row>
    <row r="362" spans="1:4" hidden="1" x14ac:dyDescent="0.3">
      <c r="A362" t="s">
        <v>47</v>
      </c>
      <c r="D362"/>
    </row>
    <row r="363" spans="1:4" hidden="1" x14ac:dyDescent="0.3">
      <c r="A363" t="s">
        <v>47</v>
      </c>
      <c r="D363"/>
    </row>
    <row r="364" spans="1:4" hidden="1" x14ac:dyDescent="0.3">
      <c r="A364" t="s">
        <v>47</v>
      </c>
      <c r="D364"/>
    </row>
    <row r="365" spans="1:4" hidden="1" x14ac:dyDescent="0.3">
      <c r="A365" t="s">
        <v>47</v>
      </c>
      <c r="D365"/>
    </row>
    <row r="366" spans="1:4" hidden="1" x14ac:dyDescent="0.3">
      <c r="A366" t="s">
        <v>47</v>
      </c>
      <c r="D366"/>
    </row>
    <row r="367" spans="1:4" hidden="1" x14ac:dyDescent="0.3">
      <c r="A367" t="s">
        <v>47</v>
      </c>
      <c r="D367"/>
    </row>
    <row r="368" spans="1:4" hidden="1" x14ac:dyDescent="0.3">
      <c r="A368" t="s">
        <v>47</v>
      </c>
      <c r="D368"/>
    </row>
    <row r="369" spans="1:4" hidden="1" x14ac:dyDescent="0.3">
      <c r="A369" t="s">
        <v>47</v>
      </c>
      <c r="D369"/>
    </row>
    <row r="370" spans="1:4" hidden="1" x14ac:dyDescent="0.3">
      <c r="A370" t="s">
        <v>47</v>
      </c>
      <c r="D370"/>
    </row>
    <row r="371" spans="1:4" hidden="1" x14ac:dyDescent="0.3">
      <c r="A371" t="s">
        <v>47</v>
      </c>
      <c r="D371"/>
    </row>
    <row r="372" spans="1:4" hidden="1" x14ac:dyDescent="0.3">
      <c r="A372" t="s">
        <v>47</v>
      </c>
      <c r="D372"/>
    </row>
    <row r="373" spans="1:4" hidden="1" x14ac:dyDescent="0.3">
      <c r="A373" t="s">
        <v>47</v>
      </c>
      <c r="D373"/>
    </row>
    <row r="374" spans="1:4" hidden="1" x14ac:dyDescent="0.3">
      <c r="A374" t="s">
        <v>47</v>
      </c>
      <c r="D374"/>
    </row>
    <row r="375" spans="1:4" hidden="1" x14ac:dyDescent="0.3">
      <c r="A375" t="s">
        <v>47</v>
      </c>
      <c r="D375"/>
    </row>
    <row r="376" spans="1:4" hidden="1" x14ac:dyDescent="0.3">
      <c r="A376" t="s">
        <v>47</v>
      </c>
      <c r="D376"/>
    </row>
    <row r="377" spans="1:4" hidden="1" x14ac:dyDescent="0.3">
      <c r="A377" t="s">
        <v>47</v>
      </c>
      <c r="D377"/>
    </row>
    <row r="378" spans="1:4" hidden="1" x14ac:dyDescent="0.3">
      <c r="A378" t="s">
        <v>47</v>
      </c>
      <c r="D378"/>
    </row>
    <row r="379" spans="1:4" hidden="1" x14ac:dyDescent="0.3">
      <c r="A379" t="s">
        <v>47</v>
      </c>
      <c r="D379"/>
    </row>
    <row r="380" spans="1:4" hidden="1" x14ac:dyDescent="0.3">
      <c r="A380" t="s">
        <v>47</v>
      </c>
      <c r="D380"/>
    </row>
    <row r="381" spans="1:4" hidden="1" x14ac:dyDescent="0.3">
      <c r="A381" t="s">
        <v>47</v>
      </c>
      <c r="D381"/>
    </row>
    <row r="382" spans="1:4" hidden="1" x14ac:dyDescent="0.3">
      <c r="A382" t="s">
        <v>47</v>
      </c>
      <c r="D382"/>
    </row>
    <row r="383" spans="1:4" hidden="1" x14ac:dyDescent="0.3">
      <c r="A383" t="s">
        <v>47</v>
      </c>
      <c r="D383"/>
    </row>
    <row r="384" spans="1:4" hidden="1" x14ac:dyDescent="0.3">
      <c r="A384" t="s">
        <v>47</v>
      </c>
      <c r="D384"/>
    </row>
    <row r="385" spans="1:4" hidden="1" x14ac:dyDescent="0.3">
      <c r="A385" t="s">
        <v>47</v>
      </c>
      <c r="D385"/>
    </row>
    <row r="386" spans="1:4" hidden="1" x14ac:dyDescent="0.3">
      <c r="A386" t="s">
        <v>47</v>
      </c>
      <c r="D386"/>
    </row>
    <row r="387" spans="1:4" hidden="1" x14ac:dyDescent="0.3">
      <c r="A387" t="s">
        <v>47</v>
      </c>
      <c r="D387"/>
    </row>
    <row r="388" spans="1:4" hidden="1" x14ac:dyDescent="0.3">
      <c r="A388" t="s">
        <v>47</v>
      </c>
      <c r="D388"/>
    </row>
    <row r="389" spans="1:4" hidden="1" x14ac:dyDescent="0.3">
      <c r="A389" t="s">
        <v>47</v>
      </c>
      <c r="D389"/>
    </row>
    <row r="390" spans="1:4" hidden="1" x14ac:dyDescent="0.3">
      <c r="A390" t="s">
        <v>47</v>
      </c>
      <c r="D390"/>
    </row>
    <row r="391" spans="1:4" hidden="1" x14ac:dyDescent="0.3">
      <c r="A391" t="s">
        <v>47</v>
      </c>
      <c r="D391"/>
    </row>
    <row r="392" spans="1:4" hidden="1" x14ac:dyDescent="0.3">
      <c r="A392" t="s">
        <v>47</v>
      </c>
      <c r="D392"/>
    </row>
    <row r="393" spans="1:4" hidden="1" x14ac:dyDescent="0.3">
      <c r="A393" t="s">
        <v>47</v>
      </c>
      <c r="D393"/>
    </row>
    <row r="394" spans="1:4" hidden="1" x14ac:dyDescent="0.3">
      <c r="A394" t="s">
        <v>47</v>
      </c>
      <c r="D394"/>
    </row>
    <row r="395" spans="1:4" hidden="1" x14ac:dyDescent="0.3">
      <c r="A395" t="s">
        <v>47</v>
      </c>
      <c r="D395"/>
    </row>
    <row r="396" spans="1:4" hidden="1" x14ac:dyDescent="0.3">
      <c r="A396" t="s">
        <v>47</v>
      </c>
      <c r="D396"/>
    </row>
    <row r="397" spans="1:4" hidden="1" x14ac:dyDescent="0.3">
      <c r="A397" t="s">
        <v>47</v>
      </c>
      <c r="D397"/>
    </row>
    <row r="398" spans="1:4" hidden="1" x14ac:dyDescent="0.3">
      <c r="A398" t="s">
        <v>47</v>
      </c>
      <c r="D398"/>
    </row>
    <row r="399" spans="1:4" hidden="1" x14ac:dyDescent="0.3">
      <c r="A399" t="s">
        <v>47</v>
      </c>
      <c r="D399"/>
    </row>
    <row r="400" spans="1:4" hidden="1" x14ac:dyDescent="0.3">
      <c r="A400" t="s">
        <v>47</v>
      </c>
      <c r="D400"/>
    </row>
    <row r="401" spans="1:6" hidden="1" x14ac:dyDescent="0.3">
      <c r="A401" t="s">
        <v>47</v>
      </c>
      <c r="D401"/>
    </row>
    <row r="402" spans="1:6" hidden="1" x14ac:dyDescent="0.3">
      <c r="D402"/>
    </row>
    <row r="403" spans="1:6" hidden="1" x14ac:dyDescent="0.3">
      <c r="D403"/>
    </row>
    <row r="404" spans="1:6" hidden="1" x14ac:dyDescent="0.3"/>
    <row r="405" spans="1:6" hidden="1" x14ac:dyDescent="0.3"/>
    <row r="406" spans="1:6" hidden="1" x14ac:dyDescent="0.3"/>
    <row r="407" spans="1:6" x14ac:dyDescent="0.3">
      <c r="B407">
        <v>1</v>
      </c>
      <c r="C407" s="17">
        <v>44411</v>
      </c>
      <c r="D407" s="3">
        <v>21229147004</v>
      </c>
      <c r="E407" t="s">
        <v>25</v>
      </c>
      <c r="F407" t="s">
        <v>24</v>
      </c>
    </row>
    <row r="408" spans="1:6" x14ac:dyDescent="0.3">
      <c r="B408">
        <v>1</v>
      </c>
      <c r="C408" s="17">
        <v>44411</v>
      </c>
      <c r="D408" s="3">
        <v>97884624214</v>
      </c>
      <c r="E408" t="s">
        <v>25</v>
      </c>
      <c r="F408" t="s">
        <v>24</v>
      </c>
    </row>
    <row r="409" spans="1:6" x14ac:dyDescent="0.3">
      <c r="B409">
        <v>1</v>
      </c>
      <c r="C409" s="17">
        <v>44412</v>
      </c>
      <c r="D409" s="3">
        <v>21229147004</v>
      </c>
      <c r="E409" t="s">
        <v>23</v>
      </c>
      <c r="F409" t="s">
        <v>38</v>
      </c>
    </row>
    <row r="410" spans="1:6" x14ac:dyDescent="0.3">
      <c r="B410">
        <v>1</v>
      </c>
      <c r="C410" s="17">
        <v>44412</v>
      </c>
      <c r="D410" s="3">
        <v>97884608286</v>
      </c>
      <c r="E410" t="s">
        <v>23</v>
      </c>
      <c r="F410" t="s">
        <v>38</v>
      </c>
    </row>
    <row r="411" spans="1:6" x14ac:dyDescent="0.3">
      <c r="B411">
        <v>1</v>
      </c>
      <c r="C411" s="17">
        <v>44413</v>
      </c>
      <c r="D411" s="3">
        <v>21229147004</v>
      </c>
      <c r="E411" t="s">
        <v>25</v>
      </c>
      <c r="F411" t="s">
        <v>28</v>
      </c>
    </row>
    <row r="412" spans="1:6" x14ac:dyDescent="0.3">
      <c r="B412">
        <v>1</v>
      </c>
      <c r="C412" s="17">
        <v>44413</v>
      </c>
      <c r="D412" s="3">
        <v>97884628201</v>
      </c>
      <c r="E412" t="s">
        <v>25</v>
      </c>
      <c r="F412" t="s">
        <v>28</v>
      </c>
    </row>
    <row r="413" spans="1:6" x14ac:dyDescent="0.3">
      <c r="B413">
        <v>2</v>
      </c>
      <c r="C413" s="17">
        <v>44417</v>
      </c>
      <c r="D413" s="3">
        <v>21229147004</v>
      </c>
      <c r="E413" t="s">
        <v>25</v>
      </c>
      <c r="F413" t="s">
        <v>29</v>
      </c>
    </row>
    <row r="414" spans="1:6" x14ac:dyDescent="0.3">
      <c r="B414">
        <v>2</v>
      </c>
      <c r="C414" s="17">
        <v>44417</v>
      </c>
      <c r="D414" s="3">
        <v>97884624214</v>
      </c>
      <c r="E414" t="s">
        <v>25</v>
      </c>
      <c r="F414" t="s">
        <v>29</v>
      </c>
    </row>
    <row r="415" spans="1:6" x14ac:dyDescent="0.3">
      <c r="B415">
        <v>2</v>
      </c>
      <c r="C415" s="17">
        <v>44419</v>
      </c>
      <c r="D415" s="3">
        <v>21229147004</v>
      </c>
      <c r="E415" t="s">
        <v>25</v>
      </c>
      <c r="F415" t="s">
        <v>30</v>
      </c>
    </row>
    <row r="416" spans="1:6" x14ac:dyDescent="0.3">
      <c r="B416">
        <v>2</v>
      </c>
      <c r="C416" s="17">
        <v>44419</v>
      </c>
      <c r="D416" s="3">
        <v>97884608286</v>
      </c>
      <c r="E416" t="s">
        <v>25</v>
      </c>
      <c r="F416" t="s">
        <v>30</v>
      </c>
    </row>
    <row r="417" spans="2:6" x14ac:dyDescent="0.3">
      <c r="B417">
        <v>2</v>
      </c>
      <c r="C417" s="17">
        <v>44419</v>
      </c>
      <c r="D417" s="3">
        <v>21229147004</v>
      </c>
      <c r="E417" t="s">
        <v>23</v>
      </c>
      <c r="F417" t="s">
        <v>39</v>
      </c>
    </row>
    <row r="418" spans="2:6" x14ac:dyDescent="0.3">
      <c r="B418">
        <v>2</v>
      </c>
      <c r="C418" s="17">
        <v>44419</v>
      </c>
      <c r="D418" s="3">
        <v>97884628201</v>
      </c>
      <c r="E418" t="s">
        <v>23</v>
      </c>
      <c r="F418" t="s">
        <v>39</v>
      </c>
    </row>
    <row r="419" spans="2:6" x14ac:dyDescent="0.3">
      <c r="B419">
        <v>2</v>
      </c>
      <c r="C419" s="17">
        <v>44419</v>
      </c>
      <c r="D419" s="3">
        <v>21229147004</v>
      </c>
      <c r="E419" t="s">
        <v>23</v>
      </c>
      <c r="F419" t="s">
        <v>33</v>
      </c>
    </row>
    <row r="420" spans="2:6" x14ac:dyDescent="0.3">
      <c r="B420">
        <v>2</v>
      </c>
      <c r="C420" s="17">
        <v>44419</v>
      </c>
      <c r="D420" s="3">
        <v>97884624214</v>
      </c>
      <c r="E420" t="s">
        <v>23</v>
      </c>
      <c r="F420" t="s">
        <v>33</v>
      </c>
    </row>
    <row r="421" spans="2:6" x14ac:dyDescent="0.3">
      <c r="B421">
        <v>2</v>
      </c>
      <c r="C421" s="17">
        <v>44420</v>
      </c>
      <c r="D421" s="3">
        <v>21229147004</v>
      </c>
      <c r="E421" t="s">
        <v>25</v>
      </c>
      <c r="F421" t="s">
        <v>34</v>
      </c>
    </row>
    <row r="422" spans="2:6" x14ac:dyDescent="0.3">
      <c r="B422">
        <v>2</v>
      </c>
      <c r="C422" s="17">
        <v>44420</v>
      </c>
      <c r="D422" s="3">
        <v>97884608286</v>
      </c>
      <c r="E422" t="s">
        <v>25</v>
      </c>
      <c r="F422" t="s">
        <v>34</v>
      </c>
    </row>
    <row r="423" spans="2:6" x14ac:dyDescent="0.3">
      <c r="B423">
        <v>3</v>
      </c>
      <c r="C423" s="17">
        <v>44424</v>
      </c>
      <c r="D423" s="3">
        <v>21229147004</v>
      </c>
      <c r="E423" t="s">
        <v>23</v>
      </c>
      <c r="F423" t="s">
        <v>1326</v>
      </c>
    </row>
    <row r="424" spans="2:6" x14ac:dyDescent="0.3">
      <c r="B424">
        <v>3</v>
      </c>
      <c r="C424" s="17">
        <v>44424</v>
      </c>
      <c r="D424">
        <v>97884608286</v>
      </c>
      <c r="E424" t="s">
        <v>23</v>
      </c>
      <c r="F424" t="s">
        <v>1326</v>
      </c>
    </row>
    <row r="425" spans="2:6" hidden="1" x14ac:dyDescent="0.3">
      <c r="B425" t="s">
        <v>26</v>
      </c>
      <c r="D425"/>
    </row>
    <row r="426" spans="2:6" x14ac:dyDescent="0.3">
      <c r="B426">
        <v>4</v>
      </c>
      <c r="C426" s="17">
        <v>44432</v>
      </c>
      <c r="D426">
        <v>21229147004</v>
      </c>
      <c r="E426" t="s">
        <v>23</v>
      </c>
      <c r="F426" t="s">
        <v>211</v>
      </c>
    </row>
    <row r="427" spans="2:6" x14ac:dyDescent="0.3">
      <c r="B427">
        <v>4</v>
      </c>
      <c r="C427" s="17">
        <v>44432</v>
      </c>
      <c r="D427">
        <v>97884634287</v>
      </c>
      <c r="E427" t="s">
        <v>23</v>
      </c>
      <c r="F427" t="s">
        <v>211</v>
      </c>
    </row>
    <row r="428" spans="2:6" x14ac:dyDescent="0.3">
      <c r="B428">
        <v>4</v>
      </c>
      <c r="C428" s="17">
        <v>44435</v>
      </c>
      <c r="D428">
        <v>21229147004</v>
      </c>
      <c r="E428" t="s">
        <v>23</v>
      </c>
      <c r="F428" t="s">
        <v>587</v>
      </c>
    </row>
    <row r="429" spans="2:6" x14ac:dyDescent="0.3">
      <c r="B429">
        <v>4</v>
      </c>
      <c r="C429" s="17">
        <v>44435</v>
      </c>
      <c r="D429">
        <v>97884605260</v>
      </c>
      <c r="E429" t="s">
        <v>23</v>
      </c>
      <c r="F429" t="s">
        <v>587</v>
      </c>
    </row>
    <row r="430" spans="2:6" x14ac:dyDescent="0.3">
      <c r="B430">
        <v>4</v>
      </c>
      <c r="C430" s="17">
        <v>44435</v>
      </c>
      <c r="D430">
        <v>21229147004</v>
      </c>
      <c r="E430" t="s">
        <v>23</v>
      </c>
      <c r="F430" t="s">
        <v>839</v>
      </c>
    </row>
    <row r="431" spans="2:6" x14ac:dyDescent="0.3">
      <c r="B431">
        <v>4</v>
      </c>
      <c r="C431" s="17">
        <v>44435</v>
      </c>
      <c r="D431">
        <v>97884608286</v>
      </c>
      <c r="E431" t="s">
        <v>23</v>
      </c>
      <c r="F431" t="s">
        <v>839</v>
      </c>
    </row>
    <row r="432" spans="2:6" x14ac:dyDescent="0.3">
      <c r="B432">
        <v>4</v>
      </c>
      <c r="C432" s="17">
        <v>44435</v>
      </c>
      <c r="D432">
        <v>21229147004</v>
      </c>
      <c r="E432" t="s">
        <v>23</v>
      </c>
      <c r="F432" t="s">
        <v>830</v>
      </c>
    </row>
    <row r="433" spans="2:6" x14ac:dyDescent="0.3">
      <c r="B433">
        <v>4</v>
      </c>
      <c r="C433" s="17">
        <v>44435</v>
      </c>
      <c r="D433">
        <v>97884611236</v>
      </c>
      <c r="E433" t="s">
        <v>23</v>
      </c>
      <c r="F433" t="s">
        <v>830</v>
      </c>
    </row>
    <row r="434" spans="2:6" x14ac:dyDescent="0.3">
      <c r="B434">
        <v>4</v>
      </c>
      <c r="C434" s="17">
        <v>44435</v>
      </c>
      <c r="D434">
        <v>21229147004</v>
      </c>
      <c r="E434" t="s">
        <v>23</v>
      </c>
      <c r="F434" t="s">
        <v>475</v>
      </c>
    </row>
    <row r="435" spans="2:6" x14ac:dyDescent="0.3">
      <c r="B435">
        <v>4</v>
      </c>
      <c r="C435" s="17">
        <v>44435</v>
      </c>
      <c r="D435">
        <v>97884603217</v>
      </c>
      <c r="E435" t="s">
        <v>23</v>
      </c>
      <c r="F435" t="s">
        <v>475</v>
      </c>
    </row>
    <row r="436" spans="2:6" x14ac:dyDescent="0.3">
      <c r="B436">
        <v>4</v>
      </c>
      <c r="C436" s="17">
        <v>44435</v>
      </c>
      <c r="D436">
        <v>21229147004</v>
      </c>
      <c r="E436" t="s">
        <v>23</v>
      </c>
      <c r="F436" t="s">
        <v>34</v>
      </c>
    </row>
    <row r="437" spans="2:6" x14ac:dyDescent="0.3">
      <c r="B437">
        <v>4</v>
      </c>
      <c r="C437" s="17">
        <v>44435</v>
      </c>
      <c r="D437">
        <v>97884612208</v>
      </c>
      <c r="E437" t="s">
        <v>23</v>
      </c>
      <c r="F437" t="s">
        <v>34</v>
      </c>
    </row>
    <row r="438" spans="2:6" hidden="1" x14ac:dyDescent="0.3">
      <c r="B438" t="s">
        <v>26</v>
      </c>
      <c r="D438"/>
    </row>
    <row r="439" spans="2:6" hidden="1" x14ac:dyDescent="0.3">
      <c r="B439" t="s">
        <v>26</v>
      </c>
      <c r="D439"/>
    </row>
    <row r="440" spans="2:6" hidden="1" x14ac:dyDescent="0.3">
      <c r="B440" t="s">
        <v>26</v>
      </c>
      <c r="D440"/>
    </row>
    <row r="441" spans="2:6" hidden="1" x14ac:dyDescent="0.3">
      <c r="B441" t="s">
        <v>26</v>
      </c>
      <c r="D441"/>
    </row>
    <row r="442" spans="2:6" hidden="1" x14ac:dyDescent="0.3">
      <c r="B442" t="s">
        <v>26</v>
      </c>
      <c r="D442"/>
    </row>
    <row r="443" spans="2:6" hidden="1" x14ac:dyDescent="0.3">
      <c r="B443" t="s">
        <v>26</v>
      </c>
      <c r="D443"/>
    </row>
    <row r="444" spans="2:6" hidden="1" x14ac:dyDescent="0.3">
      <c r="B444" t="s">
        <v>26</v>
      </c>
      <c r="D444"/>
    </row>
    <row r="445" spans="2:6" hidden="1" x14ac:dyDescent="0.3">
      <c r="B445" t="s">
        <v>26</v>
      </c>
      <c r="D445"/>
    </row>
    <row r="446" spans="2:6" hidden="1" x14ac:dyDescent="0.3">
      <c r="B446" t="s">
        <v>26</v>
      </c>
      <c r="D446"/>
    </row>
    <row r="447" spans="2:6" hidden="1" x14ac:dyDescent="0.3">
      <c r="B447" t="s">
        <v>26</v>
      </c>
      <c r="D447"/>
    </row>
    <row r="448" spans="2:6" hidden="1" x14ac:dyDescent="0.3">
      <c r="B448" t="s">
        <v>26</v>
      </c>
      <c r="D448"/>
    </row>
    <row r="449" spans="2:4" hidden="1" x14ac:dyDescent="0.3">
      <c r="B449" t="s">
        <v>26</v>
      </c>
      <c r="D449"/>
    </row>
    <row r="450" spans="2:4" hidden="1" x14ac:dyDescent="0.3">
      <c r="B450" t="s">
        <v>26</v>
      </c>
      <c r="D450"/>
    </row>
    <row r="451" spans="2:4" hidden="1" x14ac:dyDescent="0.3">
      <c r="B451" t="s">
        <v>26</v>
      </c>
      <c r="D451"/>
    </row>
    <row r="452" spans="2:4" hidden="1" x14ac:dyDescent="0.3">
      <c r="B452" t="s">
        <v>26</v>
      </c>
      <c r="D452"/>
    </row>
    <row r="453" spans="2:4" hidden="1" x14ac:dyDescent="0.3">
      <c r="B453" t="s">
        <v>26</v>
      </c>
      <c r="D453"/>
    </row>
    <row r="454" spans="2:4" hidden="1" x14ac:dyDescent="0.3">
      <c r="B454" t="s">
        <v>26</v>
      </c>
      <c r="D454"/>
    </row>
    <row r="455" spans="2:4" hidden="1" x14ac:dyDescent="0.3">
      <c r="B455" t="s">
        <v>26</v>
      </c>
      <c r="D455"/>
    </row>
    <row r="456" spans="2:4" hidden="1" x14ac:dyDescent="0.3">
      <c r="B456" t="s">
        <v>26</v>
      </c>
      <c r="D456"/>
    </row>
    <row r="457" spans="2:4" hidden="1" x14ac:dyDescent="0.3">
      <c r="B457" t="s">
        <v>26</v>
      </c>
      <c r="D457"/>
    </row>
    <row r="458" spans="2:4" hidden="1" x14ac:dyDescent="0.3">
      <c r="B458" t="s">
        <v>26</v>
      </c>
      <c r="D458"/>
    </row>
    <row r="459" spans="2:4" hidden="1" x14ac:dyDescent="0.3">
      <c r="B459" t="s">
        <v>26</v>
      </c>
      <c r="D459"/>
    </row>
    <row r="460" spans="2:4" hidden="1" x14ac:dyDescent="0.3">
      <c r="B460" t="s">
        <v>26</v>
      </c>
      <c r="D460"/>
    </row>
    <row r="461" spans="2:4" hidden="1" x14ac:dyDescent="0.3">
      <c r="B461" t="s">
        <v>26</v>
      </c>
      <c r="D461"/>
    </row>
    <row r="462" spans="2:4" hidden="1" x14ac:dyDescent="0.3">
      <c r="B462" t="s">
        <v>26</v>
      </c>
      <c r="D462"/>
    </row>
    <row r="463" spans="2:4" hidden="1" x14ac:dyDescent="0.3">
      <c r="B463" t="s">
        <v>26</v>
      </c>
      <c r="D463"/>
    </row>
    <row r="464" spans="2:4" hidden="1" x14ac:dyDescent="0.3">
      <c r="B464" t="s">
        <v>26</v>
      </c>
      <c r="D464"/>
    </row>
    <row r="465" spans="1:21" hidden="1" x14ac:dyDescent="0.3">
      <c r="B465" t="s">
        <v>26</v>
      </c>
      <c r="D465"/>
    </row>
    <row r="466" spans="1:21" hidden="1" x14ac:dyDescent="0.3">
      <c r="B466" t="s">
        <v>26</v>
      </c>
      <c r="D466"/>
    </row>
    <row r="467" spans="1:21" hidden="1" x14ac:dyDescent="0.3">
      <c r="B467" t="s">
        <v>26</v>
      </c>
      <c r="D467"/>
    </row>
    <row r="468" spans="1:21" hidden="1" x14ac:dyDescent="0.3">
      <c r="B468" t="s">
        <v>26</v>
      </c>
    </row>
    <row r="469" spans="1:21" hidden="1" x14ac:dyDescent="0.3">
      <c r="B469" t="s">
        <v>26</v>
      </c>
    </row>
    <row r="470" spans="1:21" hidden="1" x14ac:dyDescent="0.3">
      <c r="B470" t="s">
        <v>26</v>
      </c>
    </row>
    <row r="471" spans="1:21" hidden="1" x14ac:dyDescent="0.3">
      <c r="B471" t="s">
        <v>26</v>
      </c>
    </row>
    <row r="472" spans="1:21" hidden="1" x14ac:dyDescent="0.3">
      <c r="B472" t="s">
        <v>26</v>
      </c>
    </row>
    <row r="473" spans="1:21" hidden="1" x14ac:dyDescent="0.3">
      <c r="B473" t="s">
        <v>26</v>
      </c>
      <c r="G473" s="18" t="s">
        <v>26</v>
      </c>
      <c r="U473" s="18" t="s">
        <v>26</v>
      </c>
    </row>
    <row r="474" spans="1:21" hidden="1" x14ac:dyDescent="0.3">
      <c r="A474" t="s">
        <v>40</v>
      </c>
    </row>
    <row r="475" spans="1:21" hidden="1" x14ac:dyDescent="0.3">
      <c r="A475" t="s">
        <v>40</v>
      </c>
    </row>
    <row r="476" spans="1:21" hidden="1" x14ac:dyDescent="0.3">
      <c r="A476" t="s">
        <v>40</v>
      </c>
    </row>
    <row r="477" spans="1:21" hidden="1" x14ac:dyDescent="0.3">
      <c r="A477" t="s">
        <v>40</v>
      </c>
    </row>
    <row r="478" spans="1:21" hidden="1" x14ac:dyDescent="0.3">
      <c r="A478" t="s">
        <v>40</v>
      </c>
    </row>
    <row r="479" spans="1:21" hidden="1" x14ac:dyDescent="0.3">
      <c r="A479" t="s">
        <v>40</v>
      </c>
    </row>
    <row r="480" spans="1:21" hidden="1" x14ac:dyDescent="0.3">
      <c r="A480" t="s">
        <v>40</v>
      </c>
    </row>
    <row r="481" spans="1:4" hidden="1" x14ac:dyDescent="0.3">
      <c r="A481" t="s">
        <v>40</v>
      </c>
    </row>
    <row r="482" spans="1:4" hidden="1" x14ac:dyDescent="0.3">
      <c r="A482" t="s">
        <v>40</v>
      </c>
    </row>
    <row r="483" spans="1:4" hidden="1" x14ac:dyDescent="0.3">
      <c r="A483" t="s">
        <v>40</v>
      </c>
    </row>
    <row r="484" spans="1:4" hidden="1" x14ac:dyDescent="0.3">
      <c r="A484" t="s">
        <v>40</v>
      </c>
    </row>
    <row r="485" spans="1:4" hidden="1" x14ac:dyDescent="0.3">
      <c r="A485" t="s">
        <v>40</v>
      </c>
    </row>
    <row r="486" spans="1:4" hidden="1" x14ac:dyDescent="0.3">
      <c r="A486" t="s">
        <v>40</v>
      </c>
    </row>
    <row r="487" spans="1:4" hidden="1" x14ac:dyDescent="0.3">
      <c r="A487" t="s">
        <v>40</v>
      </c>
    </row>
    <row r="488" spans="1:4" hidden="1" x14ac:dyDescent="0.3">
      <c r="A488" t="s">
        <v>40</v>
      </c>
      <c r="D488"/>
    </row>
    <row r="489" spans="1:4" hidden="1" x14ac:dyDescent="0.3">
      <c r="A489" t="s">
        <v>40</v>
      </c>
      <c r="D489"/>
    </row>
    <row r="490" spans="1:4" hidden="1" x14ac:dyDescent="0.3">
      <c r="A490" t="s">
        <v>40</v>
      </c>
      <c r="D490"/>
    </row>
    <row r="491" spans="1:4" hidden="1" x14ac:dyDescent="0.3">
      <c r="A491" t="s">
        <v>40</v>
      </c>
      <c r="D491"/>
    </row>
    <row r="492" spans="1:4" hidden="1" x14ac:dyDescent="0.3">
      <c r="A492" t="s">
        <v>40</v>
      </c>
      <c r="D492"/>
    </row>
    <row r="493" spans="1:4" hidden="1" x14ac:dyDescent="0.3">
      <c r="A493" t="s">
        <v>40</v>
      </c>
      <c r="D493"/>
    </row>
    <row r="494" spans="1:4" hidden="1" x14ac:dyDescent="0.3">
      <c r="A494" t="s">
        <v>40</v>
      </c>
      <c r="D494"/>
    </row>
    <row r="495" spans="1:4" hidden="1" x14ac:dyDescent="0.3">
      <c r="A495" t="s">
        <v>40</v>
      </c>
      <c r="D495"/>
    </row>
    <row r="496" spans="1:4" hidden="1" x14ac:dyDescent="0.3">
      <c r="A496" t="s">
        <v>40</v>
      </c>
      <c r="D496"/>
    </row>
    <row r="497" spans="1:4" hidden="1" x14ac:dyDescent="0.3">
      <c r="A497" t="s">
        <v>40</v>
      </c>
      <c r="D497"/>
    </row>
    <row r="498" spans="1:4" hidden="1" x14ac:dyDescent="0.3">
      <c r="A498" t="s">
        <v>40</v>
      </c>
      <c r="D498"/>
    </row>
    <row r="499" spans="1:4" hidden="1" x14ac:dyDescent="0.3">
      <c r="A499" t="s">
        <v>40</v>
      </c>
      <c r="D499"/>
    </row>
    <row r="500" spans="1:4" hidden="1" x14ac:dyDescent="0.3">
      <c r="A500" t="s">
        <v>40</v>
      </c>
      <c r="D500"/>
    </row>
    <row r="501" spans="1:4" hidden="1" x14ac:dyDescent="0.3">
      <c r="A501" t="s">
        <v>40</v>
      </c>
      <c r="D501"/>
    </row>
    <row r="502" spans="1:4" hidden="1" x14ac:dyDescent="0.3">
      <c r="A502" t="s">
        <v>40</v>
      </c>
      <c r="D502"/>
    </row>
    <row r="503" spans="1:4" hidden="1" x14ac:dyDescent="0.3">
      <c r="A503" t="s">
        <v>40</v>
      </c>
      <c r="D503"/>
    </row>
    <row r="504" spans="1:4" hidden="1" x14ac:dyDescent="0.3">
      <c r="A504" t="s">
        <v>40</v>
      </c>
      <c r="D504"/>
    </row>
    <row r="505" spans="1:4" hidden="1" x14ac:dyDescent="0.3">
      <c r="A505" t="s">
        <v>40</v>
      </c>
      <c r="D505"/>
    </row>
    <row r="506" spans="1:4" hidden="1" x14ac:dyDescent="0.3">
      <c r="A506" t="s">
        <v>40</v>
      </c>
      <c r="D506"/>
    </row>
    <row r="507" spans="1:4" hidden="1" x14ac:dyDescent="0.3">
      <c r="A507" t="s">
        <v>40</v>
      </c>
      <c r="D507"/>
    </row>
    <row r="508" spans="1:4" hidden="1" x14ac:dyDescent="0.3">
      <c r="A508" t="s">
        <v>40</v>
      </c>
      <c r="D508"/>
    </row>
    <row r="509" spans="1:4" hidden="1" x14ac:dyDescent="0.3">
      <c r="A509" t="s">
        <v>40</v>
      </c>
      <c r="D509"/>
    </row>
    <row r="510" spans="1:4" hidden="1" x14ac:dyDescent="0.3">
      <c r="A510" t="s">
        <v>40</v>
      </c>
      <c r="D510"/>
    </row>
    <row r="511" spans="1:4" hidden="1" x14ac:dyDescent="0.3">
      <c r="A511" t="s">
        <v>40</v>
      </c>
      <c r="D511"/>
    </row>
    <row r="512" spans="1:4" hidden="1" x14ac:dyDescent="0.3">
      <c r="A512" t="s">
        <v>40</v>
      </c>
      <c r="D512"/>
    </row>
    <row r="513" spans="1:4" hidden="1" x14ac:dyDescent="0.3">
      <c r="A513" t="s">
        <v>40</v>
      </c>
      <c r="D513"/>
    </row>
    <row r="514" spans="1:4" hidden="1" x14ac:dyDescent="0.3">
      <c r="A514" t="s">
        <v>40</v>
      </c>
      <c r="D514"/>
    </row>
    <row r="515" spans="1:4" hidden="1" x14ac:dyDescent="0.3">
      <c r="A515" t="s">
        <v>40</v>
      </c>
      <c r="D515"/>
    </row>
    <row r="516" spans="1:4" hidden="1" x14ac:dyDescent="0.3">
      <c r="A516" t="s">
        <v>40</v>
      </c>
      <c r="D516"/>
    </row>
    <row r="517" spans="1:4" hidden="1" x14ac:dyDescent="0.3">
      <c r="A517" t="s">
        <v>40</v>
      </c>
      <c r="D517"/>
    </row>
    <row r="518" spans="1:4" hidden="1" x14ac:dyDescent="0.3">
      <c r="A518" t="s">
        <v>40</v>
      </c>
      <c r="D518"/>
    </row>
    <row r="519" spans="1:4" hidden="1" x14ac:dyDescent="0.3">
      <c r="A519" t="s">
        <v>40</v>
      </c>
      <c r="D519"/>
    </row>
    <row r="520" spans="1:4" hidden="1" x14ac:dyDescent="0.3">
      <c r="A520" t="s">
        <v>40</v>
      </c>
      <c r="D520"/>
    </row>
    <row r="521" spans="1:4" hidden="1" x14ac:dyDescent="0.3">
      <c r="A521" t="s">
        <v>40</v>
      </c>
      <c r="D521"/>
    </row>
    <row r="522" spans="1:4" hidden="1" x14ac:dyDescent="0.3">
      <c r="A522" t="s">
        <v>40</v>
      </c>
      <c r="D522"/>
    </row>
    <row r="523" spans="1:4" hidden="1" x14ac:dyDescent="0.3">
      <c r="A523" t="s">
        <v>40</v>
      </c>
      <c r="D523"/>
    </row>
    <row r="524" spans="1:4" hidden="1" x14ac:dyDescent="0.3">
      <c r="A524" t="s">
        <v>40</v>
      </c>
      <c r="D524"/>
    </row>
    <row r="525" spans="1:4" hidden="1" x14ac:dyDescent="0.3">
      <c r="A525" t="s">
        <v>40</v>
      </c>
      <c r="D525"/>
    </row>
    <row r="526" spans="1:4" hidden="1" x14ac:dyDescent="0.3">
      <c r="A526" t="s">
        <v>40</v>
      </c>
      <c r="D526"/>
    </row>
    <row r="527" spans="1:4" hidden="1" x14ac:dyDescent="0.3">
      <c r="A527" t="s">
        <v>40</v>
      </c>
      <c r="D527"/>
    </row>
    <row r="528" spans="1:4" hidden="1" x14ac:dyDescent="0.3">
      <c r="A528" t="s">
        <v>40</v>
      </c>
      <c r="D528"/>
    </row>
    <row r="529" spans="1:4" hidden="1" x14ac:dyDescent="0.3">
      <c r="A529" t="s">
        <v>40</v>
      </c>
      <c r="D529"/>
    </row>
    <row r="530" spans="1:4" hidden="1" x14ac:dyDescent="0.3">
      <c r="A530" t="s">
        <v>40</v>
      </c>
      <c r="D530"/>
    </row>
    <row r="531" spans="1:4" hidden="1" x14ac:dyDescent="0.3">
      <c r="A531" t="s">
        <v>40</v>
      </c>
      <c r="D531"/>
    </row>
    <row r="532" spans="1:4" hidden="1" x14ac:dyDescent="0.3">
      <c r="A532" t="s">
        <v>40</v>
      </c>
      <c r="D532"/>
    </row>
    <row r="533" spans="1:4" hidden="1" x14ac:dyDescent="0.3">
      <c r="A533" t="s">
        <v>40</v>
      </c>
      <c r="D533"/>
    </row>
    <row r="534" spans="1:4" hidden="1" x14ac:dyDescent="0.3">
      <c r="A534" t="s">
        <v>40</v>
      </c>
      <c r="D534"/>
    </row>
    <row r="535" spans="1:4" hidden="1" x14ac:dyDescent="0.3">
      <c r="A535" t="s">
        <v>40</v>
      </c>
      <c r="D535"/>
    </row>
    <row r="536" spans="1:4" hidden="1" x14ac:dyDescent="0.3">
      <c r="A536" t="s">
        <v>40</v>
      </c>
      <c r="D536"/>
    </row>
    <row r="537" spans="1:4" hidden="1" x14ac:dyDescent="0.3">
      <c r="A537" t="s">
        <v>40</v>
      </c>
      <c r="D537"/>
    </row>
    <row r="538" spans="1:4" hidden="1" x14ac:dyDescent="0.3">
      <c r="A538" t="s">
        <v>40</v>
      </c>
      <c r="D538"/>
    </row>
    <row r="539" spans="1:4" hidden="1" x14ac:dyDescent="0.3">
      <c r="A539" t="s">
        <v>40</v>
      </c>
      <c r="D539"/>
    </row>
    <row r="540" spans="1:4" hidden="1" x14ac:dyDescent="0.3">
      <c r="A540" t="s">
        <v>40</v>
      </c>
      <c r="D540"/>
    </row>
    <row r="541" spans="1:4" hidden="1" x14ac:dyDescent="0.3">
      <c r="A541" t="s">
        <v>40</v>
      </c>
      <c r="D541"/>
    </row>
    <row r="542" spans="1:4" hidden="1" x14ac:dyDescent="0.3">
      <c r="A542" t="s">
        <v>40</v>
      </c>
      <c r="D542"/>
    </row>
    <row r="543" spans="1:4" hidden="1" x14ac:dyDescent="0.3">
      <c r="A543" t="s">
        <v>49</v>
      </c>
      <c r="D543"/>
    </row>
    <row r="544" spans="1:4" hidden="1" x14ac:dyDescent="0.3">
      <c r="A544" t="s">
        <v>49</v>
      </c>
      <c r="D544"/>
    </row>
    <row r="545" spans="1:4" hidden="1" x14ac:dyDescent="0.3">
      <c r="A545" t="s">
        <v>49</v>
      </c>
      <c r="D545"/>
    </row>
    <row r="546" spans="1:4" hidden="1" x14ac:dyDescent="0.3">
      <c r="A546" t="s">
        <v>49</v>
      </c>
      <c r="D546"/>
    </row>
    <row r="547" spans="1:4" hidden="1" x14ac:dyDescent="0.3">
      <c r="A547" t="s">
        <v>49</v>
      </c>
      <c r="D547"/>
    </row>
    <row r="548" spans="1:4" hidden="1" x14ac:dyDescent="0.3">
      <c r="A548" t="s">
        <v>49</v>
      </c>
      <c r="D548"/>
    </row>
    <row r="549" spans="1:4" hidden="1" x14ac:dyDescent="0.3">
      <c r="A549" t="s">
        <v>49</v>
      </c>
      <c r="D549"/>
    </row>
    <row r="550" spans="1:4" hidden="1" x14ac:dyDescent="0.3">
      <c r="A550" t="s">
        <v>49</v>
      </c>
      <c r="D550"/>
    </row>
    <row r="551" spans="1:4" hidden="1" x14ac:dyDescent="0.3">
      <c r="A551" t="s">
        <v>49</v>
      </c>
      <c r="D551"/>
    </row>
    <row r="552" spans="1:4" hidden="1" x14ac:dyDescent="0.3">
      <c r="A552" t="s">
        <v>49</v>
      </c>
      <c r="D552"/>
    </row>
    <row r="553" spans="1:4" hidden="1" x14ac:dyDescent="0.3">
      <c r="A553" t="s">
        <v>49</v>
      </c>
      <c r="D553"/>
    </row>
    <row r="554" spans="1:4" hidden="1" x14ac:dyDescent="0.3">
      <c r="A554" t="s">
        <v>49</v>
      </c>
      <c r="D554"/>
    </row>
    <row r="555" spans="1:4" hidden="1" x14ac:dyDescent="0.3">
      <c r="A555" t="s">
        <v>49</v>
      </c>
      <c r="D555"/>
    </row>
    <row r="556" spans="1:4" hidden="1" x14ac:dyDescent="0.3">
      <c r="A556" t="s">
        <v>49</v>
      </c>
      <c r="D556"/>
    </row>
    <row r="557" spans="1:4" hidden="1" x14ac:dyDescent="0.3">
      <c r="A557" t="s">
        <v>49</v>
      </c>
      <c r="D557"/>
    </row>
    <row r="558" spans="1:4" hidden="1" x14ac:dyDescent="0.3">
      <c r="A558" t="s">
        <v>49</v>
      </c>
      <c r="D558"/>
    </row>
    <row r="559" spans="1:4" hidden="1" x14ac:dyDescent="0.3">
      <c r="A559" t="s">
        <v>49</v>
      </c>
      <c r="D559"/>
    </row>
    <row r="560" spans="1:4" hidden="1" x14ac:dyDescent="0.3">
      <c r="A560" t="s">
        <v>49</v>
      </c>
      <c r="D560"/>
    </row>
    <row r="561" spans="1:4" hidden="1" x14ac:dyDescent="0.3">
      <c r="A561" t="s">
        <v>49</v>
      </c>
      <c r="D561"/>
    </row>
    <row r="562" spans="1:4" hidden="1" x14ac:dyDescent="0.3">
      <c r="A562" t="s">
        <v>49</v>
      </c>
      <c r="D562"/>
    </row>
    <row r="563" spans="1:4" hidden="1" x14ac:dyDescent="0.3">
      <c r="A563" t="s">
        <v>49</v>
      </c>
      <c r="D563"/>
    </row>
    <row r="564" spans="1:4" hidden="1" x14ac:dyDescent="0.3">
      <c r="A564" t="s">
        <v>49</v>
      </c>
      <c r="D564"/>
    </row>
    <row r="565" spans="1:4" hidden="1" x14ac:dyDescent="0.3">
      <c r="A565" t="s">
        <v>49</v>
      </c>
      <c r="D565"/>
    </row>
    <row r="566" spans="1:4" hidden="1" x14ac:dyDescent="0.3">
      <c r="A566" t="s">
        <v>49</v>
      </c>
      <c r="D566"/>
    </row>
    <row r="567" spans="1:4" hidden="1" x14ac:dyDescent="0.3">
      <c r="A567" t="s">
        <v>49</v>
      </c>
      <c r="D567"/>
    </row>
    <row r="568" spans="1:4" hidden="1" x14ac:dyDescent="0.3">
      <c r="A568" t="s">
        <v>49</v>
      </c>
      <c r="D568"/>
    </row>
    <row r="569" spans="1:4" hidden="1" x14ac:dyDescent="0.3">
      <c r="A569" t="s">
        <v>49</v>
      </c>
      <c r="D569"/>
    </row>
    <row r="570" spans="1:4" hidden="1" x14ac:dyDescent="0.3">
      <c r="A570" t="s">
        <v>49</v>
      </c>
      <c r="D570"/>
    </row>
    <row r="571" spans="1:4" hidden="1" x14ac:dyDescent="0.3">
      <c r="A571" t="s">
        <v>49</v>
      </c>
      <c r="D571"/>
    </row>
    <row r="572" spans="1:4" hidden="1" x14ac:dyDescent="0.3">
      <c r="A572" t="s">
        <v>49</v>
      </c>
      <c r="D572"/>
    </row>
    <row r="573" spans="1:4" hidden="1" x14ac:dyDescent="0.3">
      <c r="A573" t="s">
        <v>49</v>
      </c>
      <c r="D573"/>
    </row>
    <row r="574" spans="1:4" hidden="1" x14ac:dyDescent="0.3">
      <c r="A574" t="s">
        <v>49</v>
      </c>
      <c r="D574"/>
    </row>
    <row r="575" spans="1:4" hidden="1" x14ac:dyDescent="0.3">
      <c r="A575" t="s">
        <v>49</v>
      </c>
      <c r="D575"/>
    </row>
    <row r="576" spans="1:4" hidden="1" x14ac:dyDescent="0.3">
      <c r="A576" t="s">
        <v>49</v>
      </c>
      <c r="D576"/>
    </row>
    <row r="577" spans="1:4" hidden="1" x14ac:dyDescent="0.3">
      <c r="A577" t="s">
        <v>49</v>
      </c>
      <c r="D577"/>
    </row>
    <row r="578" spans="1:4" hidden="1" x14ac:dyDescent="0.3">
      <c r="A578" t="s">
        <v>49</v>
      </c>
      <c r="D578"/>
    </row>
    <row r="579" spans="1:4" hidden="1" x14ac:dyDescent="0.3">
      <c r="A579" t="s">
        <v>49</v>
      </c>
      <c r="D579"/>
    </row>
    <row r="580" spans="1:4" hidden="1" x14ac:dyDescent="0.3">
      <c r="A580" t="s">
        <v>49</v>
      </c>
      <c r="D580"/>
    </row>
    <row r="581" spans="1:4" hidden="1" x14ac:dyDescent="0.3">
      <c r="A581" t="s">
        <v>49</v>
      </c>
      <c r="D581"/>
    </row>
    <row r="582" spans="1:4" hidden="1" x14ac:dyDescent="0.3">
      <c r="A582" t="s">
        <v>49</v>
      </c>
      <c r="D582"/>
    </row>
    <row r="583" spans="1:4" hidden="1" x14ac:dyDescent="0.3">
      <c r="A583" t="s">
        <v>49</v>
      </c>
      <c r="D583"/>
    </row>
    <row r="584" spans="1:4" hidden="1" x14ac:dyDescent="0.3">
      <c r="A584" t="s">
        <v>49</v>
      </c>
      <c r="D584"/>
    </row>
    <row r="585" spans="1:4" hidden="1" x14ac:dyDescent="0.3">
      <c r="A585" t="s">
        <v>49</v>
      </c>
      <c r="D585"/>
    </row>
    <row r="586" spans="1:4" hidden="1" x14ac:dyDescent="0.3">
      <c r="A586" t="s">
        <v>49</v>
      </c>
      <c r="D586"/>
    </row>
    <row r="587" spans="1:4" hidden="1" x14ac:dyDescent="0.3">
      <c r="A587" t="s">
        <v>49</v>
      </c>
      <c r="D587"/>
    </row>
    <row r="588" spans="1:4" hidden="1" x14ac:dyDescent="0.3">
      <c r="A588" t="s">
        <v>49</v>
      </c>
      <c r="D588"/>
    </row>
    <row r="589" spans="1:4" hidden="1" x14ac:dyDescent="0.3">
      <c r="A589" t="s">
        <v>49</v>
      </c>
      <c r="D589"/>
    </row>
    <row r="590" spans="1:4" hidden="1" x14ac:dyDescent="0.3">
      <c r="A590" t="s">
        <v>49</v>
      </c>
      <c r="D590"/>
    </row>
    <row r="591" spans="1:4" hidden="1" x14ac:dyDescent="0.3">
      <c r="A591" t="s">
        <v>49</v>
      </c>
      <c r="D591"/>
    </row>
    <row r="592" spans="1:4" hidden="1" x14ac:dyDescent="0.3">
      <c r="A592" t="s">
        <v>49</v>
      </c>
      <c r="D592"/>
    </row>
    <row r="593" spans="1:4" hidden="1" x14ac:dyDescent="0.3">
      <c r="A593" t="s">
        <v>49</v>
      </c>
      <c r="D593"/>
    </row>
    <row r="594" spans="1:4" hidden="1" x14ac:dyDescent="0.3">
      <c r="A594" t="s">
        <v>49</v>
      </c>
      <c r="D594"/>
    </row>
    <row r="595" spans="1:4" hidden="1" x14ac:dyDescent="0.3">
      <c r="A595" t="s">
        <v>49</v>
      </c>
      <c r="D595"/>
    </row>
    <row r="596" spans="1:4" hidden="1" x14ac:dyDescent="0.3">
      <c r="A596" t="s">
        <v>49</v>
      </c>
      <c r="D596"/>
    </row>
    <row r="597" spans="1:4" hidden="1" x14ac:dyDescent="0.3">
      <c r="A597" t="s">
        <v>49</v>
      </c>
      <c r="D597"/>
    </row>
    <row r="598" spans="1:4" hidden="1" x14ac:dyDescent="0.3">
      <c r="A598" t="s">
        <v>49</v>
      </c>
      <c r="D598"/>
    </row>
    <row r="599" spans="1:4" hidden="1" x14ac:dyDescent="0.3">
      <c r="A599" t="s">
        <v>49</v>
      </c>
      <c r="D599"/>
    </row>
    <row r="600" spans="1:4" hidden="1" x14ac:dyDescent="0.3">
      <c r="A600" t="s">
        <v>49</v>
      </c>
      <c r="D600"/>
    </row>
    <row r="601" spans="1:4" hidden="1" x14ac:dyDescent="0.3">
      <c r="A601" t="s">
        <v>49</v>
      </c>
      <c r="D601"/>
    </row>
    <row r="602" spans="1:4" hidden="1" x14ac:dyDescent="0.3">
      <c r="A602" t="s">
        <v>49</v>
      </c>
      <c r="D602"/>
    </row>
    <row r="603" spans="1:4" hidden="1" x14ac:dyDescent="0.3">
      <c r="A603" t="s">
        <v>49</v>
      </c>
      <c r="D603"/>
    </row>
    <row r="604" spans="1:4" hidden="1" x14ac:dyDescent="0.3">
      <c r="A604" t="s">
        <v>49</v>
      </c>
      <c r="D604"/>
    </row>
    <row r="605" spans="1:4" hidden="1" x14ac:dyDescent="0.3">
      <c r="A605" t="s">
        <v>49</v>
      </c>
      <c r="D605"/>
    </row>
    <row r="606" spans="1:4" hidden="1" x14ac:dyDescent="0.3">
      <c r="A606" t="s">
        <v>49</v>
      </c>
      <c r="D606"/>
    </row>
    <row r="607" spans="1:4" hidden="1" x14ac:dyDescent="0.3">
      <c r="D607"/>
    </row>
    <row r="608" spans="1:4" hidden="1" x14ac:dyDescent="0.3">
      <c r="D608"/>
    </row>
    <row r="609" spans="1:4" hidden="1" x14ac:dyDescent="0.3">
      <c r="D609"/>
    </row>
    <row r="610" spans="1:4" hidden="1" x14ac:dyDescent="0.3">
      <c r="D610"/>
    </row>
    <row r="611" spans="1:4" hidden="1" x14ac:dyDescent="0.3">
      <c r="D611"/>
    </row>
    <row r="612" spans="1:4" hidden="1" x14ac:dyDescent="0.3">
      <c r="D612"/>
    </row>
    <row r="613" spans="1:4" hidden="1" x14ac:dyDescent="0.3">
      <c r="A613" t="s">
        <v>50</v>
      </c>
      <c r="D613"/>
    </row>
    <row r="614" spans="1:4" hidden="1" x14ac:dyDescent="0.3">
      <c r="A614" t="s">
        <v>50</v>
      </c>
      <c r="D614"/>
    </row>
    <row r="615" spans="1:4" hidden="1" x14ac:dyDescent="0.3">
      <c r="A615" t="s">
        <v>50</v>
      </c>
      <c r="D615"/>
    </row>
    <row r="616" spans="1:4" hidden="1" x14ac:dyDescent="0.3">
      <c r="A616" t="s">
        <v>50</v>
      </c>
      <c r="D616"/>
    </row>
    <row r="617" spans="1:4" hidden="1" x14ac:dyDescent="0.3">
      <c r="A617" t="s">
        <v>50</v>
      </c>
      <c r="D617"/>
    </row>
    <row r="618" spans="1:4" hidden="1" x14ac:dyDescent="0.3">
      <c r="A618" t="s">
        <v>50</v>
      </c>
      <c r="D618"/>
    </row>
    <row r="619" spans="1:4" hidden="1" x14ac:dyDescent="0.3">
      <c r="A619" t="s">
        <v>50</v>
      </c>
      <c r="D619"/>
    </row>
    <row r="620" spans="1:4" hidden="1" x14ac:dyDescent="0.3">
      <c r="A620" t="s">
        <v>50</v>
      </c>
      <c r="D620"/>
    </row>
    <row r="621" spans="1:4" hidden="1" x14ac:dyDescent="0.3">
      <c r="A621" t="s">
        <v>50</v>
      </c>
      <c r="D621"/>
    </row>
    <row r="622" spans="1:4" hidden="1" x14ac:dyDescent="0.3">
      <c r="A622" t="s">
        <v>50</v>
      </c>
      <c r="D622"/>
    </row>
    <row r="623" spans="1:4" hidden="1" x14ac:dyDescent="0.3">
      <c r="A623" t="s">
        <v>50</v>
      </c>
      <c r="D623"/>
    </row>
    <row r="624" spans="1:4" hidden="1" x14ac:dyDescent="0.3">
      <c r="A624" t="s">
        <v>50</v>
      </c>
      <c r="D624"/>
    </row>
    <row r="625" spans="1:4" hidden="1" x14ac:dyDescent="0.3">
      <c r="A625" t="s">
        <v>50</v>
      </c>
      <c r="D625"/>
    </row>
    <row r="626" spans="1:4" hidden="1" x14ac:dyDescent="0.3">
      <c r="A626" t="s">
        <v>50</v>
      </c>
      <c r="D626"/>
    </row>
    <row r="627" spans="1:4" hidden="1" x14ac:dyDescent="0.3">
      <c r="A627" t="s">
        <v>50</v>
      </c>
      <c r="D627"/>
    </row>
    <row r="628" spans="1:4" hidden="1" x14ac:dyDescent="0.3">
      <c r="A628" t="s">
        <v>50</v>
      </c>
      <c r="D628"/>
    </row>
    <row r="629" spans="1:4" hidden="1" x14ac:dyDescent="0.3">
      <c r="A629" t="s">
        <v>50</v>
      </c>
      <c r="D629"/>
    </row>
    <row r="630" spans="1:4" hidden="1" x14ac:dyDescent="0.3">
      <c r="A630" t="s">
        <v>50</v>
      </c>
      <c r="D630"/>
    </row>
    <row r="631" spans="1:4" hidden="1" x14ac:dyDescent="0.3">
      <c r="A631" t="s">
        <v>50</v>
      </c>
      <c r="D631"/>
    </row>
    <row r="632" spans="1:4" hidden="1" x14ac:dyDescent="0.3">
      <c r="A632" t="s">
        <v>50</v>
      </c>
      <c r="D632"/>
    </row>
    <row r="633" spans="1:4" hidden="1" x14ac:dyDescent="0.3">
      <c r="A633" t="s">
        <v>50</v>
      </c>
      <c r="D633"/>
    </row>
    <row r="634" spans="1:4" hidden="1" x14ac:dyDescent="0.3">
      <c r="A634" t="s">
        <v>50</v>
      </c>
      <c r="D634"/>
    </row>
    <row r="635" spans="1:4" hidden="1" x14ac:dyDescent="0.3">
      <c r="A635" t="s">
        <v>50</v>
      </c>
      <c r="D635"/>
    </row>
    <row r="636" spans="1:4" hidden="1" x14ac:dyDescent="0.3">
      <c r="A636" t="s">
        <v>50</v>
      </c>
      <c r="D636"/>
    </row>
    <row r="637" spans="1:4" hidden="1" x14ac:dyDescent="0.3">
      <c r="A637" t="s">
        <v>50</v>
      </c>
      <c r="D637"/>
    </row>
    <row r="638" spans="1:4" hidden="1" x14ac:dyDescent="0.3">
      <c r="A638" t="s">
        <v>50</v>
      </c>
      <c r="D638"/>
    </row>
    <row r="639" spans="1:4" hidden="1" x14ac:dyDescent="0.3">
      <c r="A639" t="s">
        <v>50</v>
      </c>
      <c r="D639"/>
    </row>
    <row r="640" spans="1:4" hidden="1" x14ac:dyDescent="0.3">
      <c r="A640" t="s">
        <v>50</v>
      </c>
      <c r="D640"/>
    </row>
    <row r="641" spans="1:4" hidden="1" x14ac:dyDescent="0.3">
      <c r="A641" t="s">
        <v>50</v>
      </c>
      <c r="D641"/>
    </row>
    <row r="642" spans="1:4" hidden="1" x14ac:dyDescent="0.3">
      <c r="A642" t="s">
        <v>50</v>
      </c>
      <c r="D642"/>
    </row>
    <row r="643" spans="1:4" hidden="1" x14ac:dyDescent="0.3">
      <c r="A643" t="s">
        <v>50</v>
      </c>
      <c r="D643"/>
    </row>
    <row r="644" spans="1:4" hidden="1" x14ac:dyDescent="0.3">
      <c r="A644" t="s">
        <v>50</v>
      </c>
      <c r="D644"/>
    </row>
    <row r="645" spans="1:4" hidden="1" x14ac:dyDescent="0.3">
      <c r="A645" t="s">
        <v>50</v>
      </c>
      <c r="D645"/>
    </row>
    <row r="646" spans="1:4" hidden="1" x14ac:dyDescent="0.3">
      <c r="A646" t="s">
        <v>50</v>
      </c>
      <c r="D646"/>
    </row>
    <row r="647" spans="1:4" hidden="1" x14ac:dyDescent="0.3">
      <c r="A647" t="s">
        <v>50</v>
      </c>
      <c r="D647"/>
    </row>
    <row r="648" spans="1:4" hidden="1" x14ac:dyDescent="0.3">
      <c r="A648" t="s">
        <v>50</v>
      </c>
      <c r="D648"/>
    </row>
    <row r="649" spans="1:4" hidden="1" x14ac:dyDescent="0.3">
      <c r="A649" t="s">
        <v>50</v>
      </c>
      <c r="D649"/>
    </row>
    <row r="650" spans="1:4" hidden="1" x14ac:dyDescent="0.3">
      <c r="A650" t="s">
        <v>50</v>
      </c>
      <c r="D650"/>
    </row>
    <row r="651" spans="1:4" hidden="1" x14ac:dyDescent="0.3">
      <c r="A651" t="s">
        <v>50</v>
      </c>
      <c r="D651"/>
    </row>
    <row r="652" spans="1:4" hidden="1" x14ac:dyDescent="0.3">
      <c r="A652" t="s">
        <v>50</v>
      </c>
      <c r="D652"/>
    </row>
    <row r="653" spans="1:4" hidden="1" x14ac:dyDescent="0.3">
      <c r="A653" t="s">
        <v>50</v>
      </c>
      <c r="D653"/>
    </row>
    <row r="654" spans="1:4" hidden="1" x14ac:dyDescent="0.3">
      <c r="A654" t="s">
        <v>50</v>
      </c>
      <c r="D654"/>
    </row>
    <row r="655" spans="1:4" hidden="1" x14ac:dyDescent="0.3">
      <c r="A655" t="s">
        <v>50</v>
      </c>
      <c r="D655"/>
    </row>
    <row r="656" spans="1:4" hidden="1" x14ac:dyDescent="0.3">
      <c r="A656" t="s">
        <v>50</v>
      </c>
      <c r="D656"/>
    </row>
    <row r="657" spans="1:4" hidden="1" x14ac:dyDescent="0.3">
      <c r="A657" t="s">
        <v>50</v>
      </c>
      <c r="D657"/>
    </row>
    <row r="658" spans="1:4" hidden="1" x14ac:dyDescent="0.3">
      <c r="A658" t="s">
        <v>50</v>
      </c>
      <c r="D658"/>
    </row>
    <row r="659" spans="1:4" hidden="1" x14ac:dyDescent="0.3">
      <c r="A659" t="s">
        <v>50</v>
      </c>
      <c r="D659"/>
    </row>
    <row r="660" spans="1:4" hidden="1" x14ac:dyDescent="0.3">
      <c r="A660" t="s">
        <v>50</v>
      </c>
      <c r="D660"/>
    </row>
    <row r="661" spans="1:4" hidden="1" x14ac:dyDescent="0.3">
      <c r="A661" t="s">
        <v>50</v>
      </c>
      <c r="D661"/>
    </row>
    <row r="662" spans="1:4" hidden="1" x14ac:dyDescent="0.3">
      <c r="A662" t="s">
        <v>50</v>
      </c>
      <c r="D662"/>
    </row>
    <row r="663" spans="1:4" hidden="1" x14ac:dyDescent="0.3">
      <c r="A663" t="s">
        <v>50</v>
      </c>
      <c r="D663"/>
    </row>
    <row r="664" spans="1:4" hidden="1" x14ac:dyDescent="0.3">
      <c r="A664" t="s">
        <v>50</v>
      </c>
      <c r="D664"/>
    </row>
    <row r="665" spans="1:4" hidden="1" x14ac:dyDescent="0.3">
      <c r="A665" t="s">
        <v>50</v>
      </c>
      <c r="D665"/>
    </row>
    <row r="666" spans="1:4" hidden="1" x14ac:dyDescent="0.3">
      <c r="A666" t="s">
        <v>50</v>
      </c>
      <c r="D666"/>
    </row>
    <row r="667" spans="1:4" hidden="1" x14ac:dyDescent="0.3">
      <c r="A667" t="s">
        <v>50</v>
      </c>
      <c r="D667"/>
    </row>
    <row r="668" spans="1:4" hidden="1" x14ac:dyDescent="0.3">
      <c r="A668" t="s">
        <v>50</v>
      </c>
      <c r="D668"/>
    </row>
    <row r="669" spans="1:4" hidden="1" x14ac:dyDescent="0.3">
      <c r="A669" t="s">
        <v>50</v>
      </c>
      <c r="D669"/>
    </row>
    <row r="670" spans="1:4" hidden="1" x14ac:dyDescent="0.3">
      <c r="A670" t="s">
        <v>50</v>
      </c>
      <c r="D670"/>
    </row>
    <row r="671" spans="1:4" hidden="1" x14ac:dyDescent="0.3">
      <c r="A671" t="s">
        <v>50</v>
      </c>
      <c r="D671"/>
    </row>
    <row r="672" spans="1:4" hidden="1" x14ac:dyDescent="0.3">
      <c r="A672" t="s">
        <v>50</v>
      </c>
      <c r="D672"/>
    </row>
    <row r="673" spans="1:4" hidden="1" x14ac:dyDescent="0.3">
      <c r="A673" t="s">
        <v>50</v>
      </c>
      <c r="D673"/>
    </row>
    <row r="674" spans="1:4" hidden="1" x14ac:dyDescent="0.3">
      <c r="A674" t="s">
        <v>50</v>
      </c>
      <c r="D674"/>
    </row>
    <row r="675" spans="1:4" hidden="1" x14ac:dyDescent="0.3">
      <c r="A675" t="s">
        <v>50</v>
      </c>
      <c r="D675"/>
    </row>
    <row r="676" spans="1:4" hidden="1" x14ac:dyDescent="0.3">
      <c r="A676" t="s">
        <v>50</v>
      </c>
      <c r="D676"/>
    </row>
    <row r="677" spans="1:4" hidden="1" x14ac:dyDescent="0.3">
      <c r="D677"/>
    </row>
    <row r="678" spans="1:4" hidden="1" x14ac:dyDescent="0.3">
      <c r="D678"/>
    </row>
    <row r="679" spans="1:4" hidden="1" x14ac:dyDescent="0.3">
      <c r="D679"/>
    </row>
    <row r="680" spans="1:4" hidden="1" x14ac:dyDescent="0.3">
      <c r="D680"/>
    </row>
    <row r="681" spans="1:4" hidden="1" x14ac:dyDescent="0.3">
      <c r="D681"/>
    </row>
    <row r="682" spans="1:4" hidden="1" x14ac:dyDescent="0.3">
      <c r="D682"/>
    </row>
    <row r="683" spans="1:4" hidden="1" x14ac:dyDescent="0.3">
      <c r="A683" t="s">
        <v>51</v>
      </c>
      <c r="D683"/>
    </row>
    <row r="684" spans="1:4" hidden="1" x14ac:dyDescent="0.3">
      <c r="A684" t="s">
        <v>51</v>
      </c>
      <c r="D684"/>
    </row>
    <row r="685" spans="1:4" hidden="1" x14ac:dyDescent="0.3">
      <c r="A685" t="s">
        <v>51</v>
      </c>
      <c r="D685"/>
    </row>
    <row r="686" spans="1:4" hidden="1" x14ac:dyDescent="0.3">
      <c r="A686" t="s">
        <v>51</v>
      </c>
      <c r="D686"/>
    </row>
    <row r="687" spans="1:4" hidden="1" x14ac:dyDescent="0.3">
      <c r="A687" t="s">
        <v>51</v>
      </c>
      <c r="D687"/>
    </row>
    <row r="688" spans="1:4" hidden="1" x14ac:dyDescent="0.3">
      <c r="A688" t="s">
        <v>51</v>
      </c>
      <c r="D688"/>
    </row>
    <row r="689" spans="1:4" hidden="1" x14ac:dyDescent="0.3">
      <c r="A689" t="s">
        <v>51</v>
      </c>
      <c r="D689"/>
    </row>
    <row r="690" spans="1:4" hidden="1" x14ac:dyDescent="0.3">
      <c r="A690" t="s">
        <v>51</v>
      </c>
      <c r="D690"/>
    </row>
    <row r="691" spans="1:4" hidden="1" x14ac:dyDescent="0.3">
      <c r="A691" t="s">
        <v>51</v>
      </c>
      <c r="D691"/>
    </row>
    <row r="692" spans="1:4" hidden="1" x14ac:dyDescent="0.3">
      <c r="A692" t="s">
        <v>51</v>
      </c>
      <c r="D692"/>
    </row>
    <row r="693" spans="1:4" hidden="1" x14ac:dyDescent="0.3">
      <c r="A693" t="s">
        <v>51</v>
      </c>
      <c r="D693"/>
    </row>
    <row r="694" spans="1:4" hidden="1" x14ac:dyDescent="0.3">
      <c r="A694" t="s">
        <v>51</v>
      </c>
      <c r="D694"/>
    </row>
    <row r="695" spans="1:4" hidden="1" x14ac:dyDescent="0.3">
      <c r="A695" t="s">
        <v>51</v>
      </c>
      <c r="D695"/>
    </row>
    <row r="696" spans="1:4" hidden="1" x14ac:dyDescent="0.3">
      <c r="A696" t="s">
        <v>51</v>
      </c>
      <c r="D696"/>
    </row>
    <row r="697" spans="1:4" hidden="1" x14ac:dyDescent="0.3">
      <c r="A697" t="s">
        <v>51</v>
      </c>
      <c r="D697"/>
    </row>
    <row r="698" spans="1:4" hidden="1" x14ac:dyDescent="0.3">
      <c r="A698" t="s">
        <v>51</v>
      </c>
      <c r="D698"/>
    </row>
    <row r="699" spans="1:4" hidden="1" x14ac:dyDescent="0.3">
      <c r="A699" t="s">
        <v>51</v>
      </c>
      <c r="D699"/>
    </row>
    <row r="700" spans="1:4" hidden="1" x14ac:dyDescent="0.3">
      <c r="A700" t="s">
        <v>51</v>
      </c>
      <c r="D700"/>
    </row>
    <row r="701" spans="1:4" hidden="1" x14ac:dyDescent="0.3">
      <c r="A701" t="s">
        <v>51</v>
      </c>
      <c r="D701"/>
    </row>
    <row r="702" spans="1:4" hidden="1" x14ac:dyDescent="0.3">
      <c r="A702" t="s">
        <v>51</v>
      </c>
      <c r="D702"/>
    </row>
    <row r="703" spans="1:4" hidden="1" x14ac:dyDescent="0.3">
      <c r="A703" t="s">
        <v>51</v>
      </c>
      <c r="D703"/>
    </row>
    <row r="704" spans="1:4" hidden="1" x14ac:dyDescent="0.3">
      <c r="A704" t="s">
        <v>51</v>
      </c>
      <c r="D704"/>
    </row>
    <row r="705" spans="1:4" hidden="1" x14ac:dyDescent="0.3">
      <c r="A705" t="s">
        <v>51</v>
      </c>
      <c r="D705"/>
    </row>
    <row r="706" spans="1:4" hidden="1" x14ac:dyDescent="0.3">
      <c r="A706" t="s">
        <v>51</v>
      </c>
      <c r="D706"/>
    </row>
    <row r="707" spans="1:4" hidden="1" x14ac:dyDescent="0.3">
      <c r="A707" t="s">
        <v>51</v>
      </c>
      <c r="D707"/>
    </row>
    <row r="708" spans="1:4" hidden="1" x14ac:dyDescent="0.3">
      <c r="A708" t="s">
        <v>51</v>
      </c>
      <c r="D708"/>
    </row>
    <row r="709" spans="1:4" hidden="1" x14ac:dyDescent="0.3">
      <c r="A709" t="s">
        <v>51</v>
      </c>
      <c r="D709"/>
    </row>
    <row r="710" spans="1:4" hidden="1" x14ac:dyDescent="0.3">
      <c r="A710" t="s">
        <v>51</v>
      </c>
      <c r="D710"/>
    </row>
    <row r="711" spans="1:4" hidden="1" x14ac:dyDescent="0.3">
      <c r="A711" t="s">
        <v>51</v>
      </c>
      <c r="D711"/>
    </row>
    <row r="712" spans="1:4" hidden="1" x14ac:dyDescent="0.3">
      <c r="A712" t="s">
        <v>51</v>
      </c>
      <c r="D712"/>
    </row>
    <row r="713" spans="1:4" hidden="1" x14ac:dyDescent="0.3">
      <c r="A713" t="s">
        <v>51</v>
      </c>
      <c r="D713"/>
    </row>
    <row r="714" spans="1:4" hidden="1" x14ac:dyDescent="0.3">
      <c r="A714" t="s">
        <v>51</v>
      </c>
      <c r="D714"/>
    </row>
    <row r="715" spans="1:4" hidden="1" x14ac:dyDescent="0.3">
      <c r="A715" t="s">
        <v>51</v>
      </c>
      <c r="D715"/>
    </row>
    <row r="716" spans="1:4" hidden="1" x14ac:dyDescent="0.3">
      <c r="A716" t="s">
        <v>51</v>
      </c>
      <c r="D716"/>
    </row>
    <row r="717" spans="1:4" hidden="1" x14ac:dyDescent="0.3">
      <c r="A717" t="s">
        <v>51</v>
      </c>
      <c r="D717"/>
    </row>
    <row r="718" spans="1:4" hidden="1" x14ac:dyDescent="0.3">
      <c r="A718" t="s">
        <v>51</v>
      </c>
      <c r="D718"/>
    </row>
    <row r="719" spans="1:4" hidden="1" x14ac:dyDescent="0.3">
      <c r="A719" t="s">
        <v>51</v>
      </c>
      <c r="D719"/>
    </row>
    <row r="720" spans="1:4" hidden="1" x14ac:dyDescent="0.3">
      <c r="A720" t="s">
        <v>51</v>
      </c>
      <c r="D720"/>
    </row>
    <row r="721" spans="1:4" hidden="1" x14ac:dyDescent="0.3">
      <c r="A721" t="s">
        <v>51</v>
      </c>
      <c r="D721"/>
    </row>
    <row r="722" spans="1:4" hidden="1" x14ac:dyDescent="0.3">
      <c r="A722" t="s">
        <v>51</v>
      </c>
      <c r="D722"/>
    </row>
    <row r="723" spans="1:4" hidden="1" x14ac:dyDescent="0.3">
      <c r="A723" t="s">
        <v>51</v>
      </c>
      <c r="D723"/>
    </row>
    <row r="724" spans="1:4" hidden="1" x14ac:dyDescent="0.3">
      <c r="A724" t="s">
        <v>51</v>
      </c>
      <c r="D724"/>
    </row>
    <row r="725" spans="1:4" hidden="1" x14ac:dyDescent="0.3">
      <c r="A725" t="s">
        <v>51</v>
      </c>
      <c r="D725"/>
    </row>
    <row r="726" spans="1:4" hidden="1" x14ac:dyDescent="0.3">
      <c r="A726" t="s">
        <v>51</v>
      </c>
      <c r="D726"/>
    </row>
    <row r="727" spans="1:4" hidden="1" x14ac:dyDescent="0.3">
      <c r="A727" t="s">
        <v>51</v>
      </c>
      <c r="D727"/>
    </row>
    <row r="728" spans="1:4" hidden="1" x14ac:dyDescent="0.3">
      <c r="A728" t="s">
        <v>51</v>
      </c>
      <c r="D728"/>
    </row>
    <row r="729" spans="1:4" hidden="1" x14ac:dyDescent="0.3">
      <c r="A729" t="s">
        <v>51</v>
      </c>
      <c r="D729"/>
    </row>
    <row r="730" spans="1:4" hidden="1" x14ac:dyDescent="0.3">
      <c r="A730" t="s">
        <v>51</v>
      </c>
      <c r="D730"/>
    </row>
    <row r="731" spans="1:4" hidden="1" x14ac:dyDescent="0.3">
      <c r="A731" t="s">
        <v>51</v>
      </c>
      <c r="D731"/>
    </row>
    <row r="732" spans="1:4" hidden="1" x14ac:dyDescent="0.3">
      <c r="A732" t="s">
        <v>51</v>
      </c>
      <c r="D732"/>
    </row>
    <row r="733" spans="1:4" hidden="1" x14ac:dyDescent="0.3">
      <c r="A733" t="s">
        <v>51</v>
      </c>
      <c r="D733"/>
    </row>
    <row r="734" spans="1:4" hidden="1" x14ac:dyDescent="0.3">
      <c r="A734" t="s">
        <v>51</v>
      </c>
      <c r="D734"/>
    </row>
    <row r="735" spans="1:4" hidden="1" x14ac:dyDescent="0.3">
      <c r="A735" t="s">
        <v>51</v>
      </c>
      <c r="D735"/>
    </row>
    <row r="736" spans="1:4" hidden="1" x14ac:dyDescent="0.3">
      <c r="A736" t="s">
        <v>51</v>
      </c>
      <c r="D736"/>
    </row>
    <row r="737" spans="1:4" hidden="1" x14ac:dyDescent="0.3">
      <c r="A737" t="s">
        <v>51</v>
      </c>
      <c r="D737"/>
    </row>
    <row r="738" spans="1:4" hidden="1" x14ac:dyDescent="0.3">
      <c r="A738" t="s">
        <v>51</v>
      </c>
      <c r="D738"/>
    </row>
    <row r="739" spans="1:4" hidden="1" x14ac:dyDescent="0.3">
      <c r="A739" t="s">
        <v>51</v>
      </c>
      <c r="D739"/>
    </row>
    <row r="740" spans="1:4" hidden="1" x14ac:dyDescent="0.3">
      <c r="A740" t="s">
        <v>51</v>
      </c>
      <c r="D740"/>
    </row>
    <row r="741" spans="1:4" hidden="1" x14ac:dyDescent="0.3">
      <c r="A741" t="s">
        <v>51</v>
      </c>
      <c r="D741"/>
    </row>
    <row r="742" spans="1:4" hidden="1" x14ac:dyDescent="0.3">
      <c r="A742" t="s">
        <v>51</v>
      </c>
      <c r="D742"/>
    </row>
    <row r="743" spans="1:4" hidden="1" x14ac:dyDescent="0.3">
      <c r="A743" t="s">
        <v>51</v>
      </c>
      <c r="D743"/>
    </row>
    <row r="744" spans="1:4" hidden="1" x14ac:dyDescent="0.3">
      <c r="A744" t="s">
        <v>51</v>
      </c>
      <c r="D744"/>
    </row>
    <row r="745" spans="1:4" hidden="1" x14ac:dyDescent="0.3">
      <c r="A745" t="s">
        <v>51</v>
      </c>
      <c r="D745"/>
    </row>
    <row r="746" spans="1:4" hidden="1" x14ac:dyDescent="0.3">
      <c r="A746" t="s">
        <v>51</v>
      </c>
      <c r="D746"/>
    </row>
    <row r="747" spans="1:4" hidden="1" x14ac:dyDescent="0.3">
      <c r="D747"/>
    </row>
    <row r="748" spans="1:4" hidden="1" x14ac:dyDescent="0.3">
      <c r="D748"/>
    </row>
    <row r="749" spans="1:4" hidden="1" x14ac:dyDescent="0.3">
      <c r="D749"/>
    </row>
    <row r="750" spans="1:4" hidden="1" x14ac:dyDescent="0.3">
      <c r="D750"/>
    </row>
    <row r="751" spans="1:4" hidden="1" x14ac:dyDescent="0.3">
      <c r="D751"/>
    </row>
    <row r="752" spans="1:4" hidden="1" x14ac:dyDescent="0.3">
      <c r="D752"/>
    </row>
    <row r="753" spans="1:4" hidden="1" x14ac:dyDescent="0.3">
      <c r="A753" t="s">
        <v>52</v>
      </c>
      <c r="D753"/>
    </row>
    <row r="754" spans="1:4" hidden="1" x14ac:dyDescent="0.3">
      <c r="A754" t="s">
        <v>52</v>
      </c>
      <c r="D754"/>
    </row>
    <row r="755" spans="1:4" hidden="1" x14ac:dyDescent="0.3">
      <c r="A755" t="s">
        <v>52</v>
      </c>
      <c r="D755"/>
    </row>
    <row r="756" spans="1:4" hidden="1" x14ac:dyDescent="0.3">
      <c r="A756" t="s">
        <v>52</v>
      </c>
      <c r="D756"/>
    </row>
    <row r="757" spans="1:4" hidden="1" x14ac:dyDescent="0.3">
      <c r="A757" t="s">
        <v>52</v>
      </c>
      <c r="D757"/>
    </row>
    <row r="758" spans="1:4" hidden="1" x14ac:dyDescent="0.3">
      <c r="A758" t="s">
        <v>52</v>
      </c>
      <c r="D758"/>
    </row>
    <row r="759" spans="1:4" hidden="1" x14ac:dyDescent="0.3">
      <c r="A759" t="s">
        <v>52</v>
      </c>
      <c r="D759"/>
    </row>
    <row r="760" spans="1:4" hidden="1" x14ac:dyDescent="0.3">
      <c r="A760" t="s">
        <v>52</v>
      </c>
      <c r="D760"/>
    </row>
    <row r="761" spans="1:4" hidden="1" x14ac:dyDescent="0.3">
      <c r="A761" t="s">
        <v>52</v>
      </c>
      <c r="D761"/>
    </row>
    <row r="762" spans="1:4" hidden="1" x14ac:dyDescent="0.3">
      <c r="A762" t="s">
        <v>52</v>
      </c>
      <c r="D762"/>
    </row>
    <row r="763" spans="1:4" hidden="1" x14ac:dyDescent="0.3">
      <c r="A763" t="s">
        <v>52</v>
      </c>
      <c r="D763"/>
    </row>
    <row r="764" spans="1:4" hidden="1" x14ac:dyDescent="0.3">
      <c r="A764" t="s">
        <v>52</v>
      </c>
      <c r="D764"/>
    </row>
    <row r="765" spans="1:4" hidden="1" x14ac:dyDescent="0.3">
      <c r="A765" t="s">
        <v>52</v>
      </c>
      <c r="D765"/>
    </row>
    <row r="766" spans="1:4" hidden="1" x14ac:dyDescent="0.3">
      <c r="A766" t="s">
        <v>52</v>
      </c>
      <c r="D766"/>
    </row>
    <row r="767" spans="1:4" hidden="1" x14ac:dyDescent="0.3">
      <c r="A767" t="s">
        <v>52</v>
      </c>
      <c r="D767"/>
    </row>
    <row r="768" spans="1:4" hidden="1" x14ac:dyDescent="0.3">
      <c r="A768" t="s">
        <v>52</v>
      </c>
      <c r="D768"/>
    </row>
    <row r="769" spans="1:4" hidden="1" x14ac:dyDescent="0.3">
      <c r="A769" t="s">
        <v>52</v>
      </c>
      <c r="D769"/>
    </row>
    <row r="770" spans="1:4" hidden="1" x14ac:dyDescent="0.3">
      <c r="A770" t="s">
        <v>52</v>
      </c>
      <c r="D770"/>
    </row>
    <row r="771" spans="1:4" hidden="1" x14ac:dyDescent="0.3">
      <c r="A771" t="s">
        <v>52</v>
      </c>
      <c r="D771"/>
    </row>
    <row r="772" spans="1:4" hidden="1" x14ac:dyDescent="0.3">
      <c r="A772" t="s">
        <v>52</v>
      </c>
      <c r="D772"/>
    </row>
    <row r="773" spans="1:4" hidden="1" x14ac:dyDescent="0.3">
      <c r="A773" t="s">
        <v>52</v>
      </c>
      <c r="D773"/>
    </row>
    <row r="774" spans="1:4" hidden="1" x14ac:dyDescent="0.3">
      <c r="A774" t="s">
        <v>52</v>
      </c>
      <c r="D774"/>
    </row>
    <row r="775" spans="1:4" hidden="1" x14ac:dyDescent="0.3">
      <c r="A775" t="s">
        <v>52</v>
      </c>
      <c r="D775"/>
    </row>
    <row r="776" spans="1:4" hidden="1" x14ac:dyDescent="0.3">
      <c r="A776" t="s">
        <v>52</v>
      </c>
      <c r="D776"/>
    </row>
    <row r="777" spans="1:4" hidden="1" x14ac:dyDescent="0.3">
      <c r="A777" t="s">
        <v>52</v>
      </c>
      <c r="D777"/>
    </row>
    <row r="778" spans="1:4" hidden="1" x14ac:dyDescent="0.3">
      <c r="A778" t="s">
        <v>52</v>
      </c>
      <c r="D778"/>
    </row>
    <row r="779" spans="1:4" hidden="1" x14ac:dyDescent="0.3">
      <c r="A779" t="s">
        <v>52</v>
      </c>
      <c r="D779"/>
    </row>
    <row r="780" spans="1:4" hidden="1" x14ac:dyDescent="0.3">
      <c r="A780" t="s">
        <v>52</v>
      </c>
      <c r="D780"/>
    </row>
    <row r="781" spans="1:4" hidden="1" x14ac:dyDescent="0.3">
      <c r="A781" t="s">
        <v>52</v>
      </c>
      <c r="D781"/>
    </row>
    <row r="782" spans="1:4" hidden="1" x14ac:dyDescent="0.3">
      <c r="A782" t="s">
        <v>52</v>
      </c>
      <c r="D782"/>
    </row>
    <row r="783" spans="1:4" hidden="1" x14ac:dyDescent="0.3">
      <c r="A783" t="s">
        <v>52</v>
      </c>
      <c r="D783"/>
    </row>
    <row r="784" spans="1:4" hidden="1" x14ac:dyDescent="0.3">
      <c r="A784" t="s">
        <v>52</v>
      </c>
      <c r="D784"/>
    </row>
    <row r="785" spans="1:4" hidden="1" x14ac:dyDescent="0.3">
      <c r="A785" t="s">
        <v>52</v>
      </c>
      <c r="D785"/>
    </row>
    <row r="786" spans="1:4" hidden="1" x14ac:dyDescent="0.3">
      <c r="A786" t="s">
        <v>52</v>
      </c>
      <c r="D786"/>
    </row>
    <row r="787" spans="1:4" hidden="1" x14ac:dyDescent="0.3">
      <c r="A787" t="s">
        <v>52</v>
      </c>
      <c r="D787"/>
    </row>
    <row r="788" spans="1:4" hidden="1" x14ac:dyDescent="0.3">
      <c r="A788" t="s">
        <v>52</v>
      </c>
      <c r="D788"/>
    </row>
    <row r="789" spans="1:4" hidden="1" x14ac:dyDescent="0.3">
      <c r="A789" t="s">
        <v>52</v>
      </c>
      <c r="D789"/>
    </row>
    <row r="790" spans="1:4" hidden="1" x14ac:dyDescent="0.3">
      <c r="A790" t="s">
        <v>52</v>
      </c>
      <c r="D790"/>
    </row>
    <row r="791" spans="1:4" hidden="1" x14ac:dyDescent="0.3">
      <c r="A791" t="s">
        <v>52</v>
      </c>
      <c r="D791"/>
    </row>
    <row r="792" spans="1:4" hidden="1" x14ac:dyDescent="0.3">
      <c r="A792" t="s">
        <v>52</v>
      </c>
      <c r="D792"/>
    </row>
    <row r="793" spans="1:4" hidden="1" x14ac:dyDescent="0.3">
      <c r="A793" t="s">
        <v>52</v>
      </c>
      <c r="D793"/>
    </row>
    <row r="794" spans="1:4" hidden="1" x14ac:dyDescent="0.3">
      <c r="A794" t="s">
        <v>52</v>
      </c>
      <c r="D794"/>
    </row>
    <row r="795" spans="1:4" hidden="1" x14ac:dyDescent="0.3">
      <c r="A795" t="s">
        <v>52</v>
      </c>
      <c r="D795"/>
    </row>
    <row r="796" spans="1:4" hidden="1" x14ac:dyDescent="0.3">
      <c r="A796" t="s">
        <v>52</v>
      </c>
      <c r="D796"/>
    </row>
    <row r="797" spans="1:4" hidden="1" x14ac:dyDescent="0.3">
      <c r="A797" t="s">
        <v>52</v>
      </c>
      <c r="D797"/>
    </row>
    <row r="798" spans="1:4" hidden="1" x14ac:dyDescent="0.3">
      <c r="A798" t="s">
        <v>52</v>
      </c>
      <c r="D798"/>
    </row>
    <row r="799" spans="1:4" hidden="1" x14ac:dyDescent="0.3">
      <c r="A799" t="s">
        <v>52</v>
      </c>
      <c r="D799"/>
    </row>
    <row r="800" spans="1:4" hidden="1" x14ac:dyDescent="0.3">
      <c r="A800" t="s">
        <v>52</v>
      </c>
      <c r="D800"/>
    </row>
    <row r="801" spans="1:4" hidden="1" x14ac:dyDescent="0.3">
      <c r="A801" t="s">
        <v>52</v>
      </c>
      <c r="D801"/>
    </row>
    <row r="802" spans="1:4" hidden="1" x14ac:dyDescent="0.3">
      <c r="A802" t="s">
        <v>52</v>
      </c>
      <c r="D802"/>
    </row>
    <row r="803" spans="1:4" hidden="1" x14ac:dyDescent="0.3">
      <c r="A803" t="s">
        <v>52</v>
      </c>
      <c r="D803"/>
    </row>
    <row r="804" spans="1:4" hidden="1" x14ac:dyDescent="0.3">
      <c r="A804" t="s">
        <v>52</v>
      </c>
      <c r="D804"/>
    </row>
    <row r="805" spans="1:4" hidden="1" x14ac:dyDescent="0.3">
      <c r="A805" t="s">
        <v>52</v>
      </c>
      <c r="D805"/>
    </row>
    <row r="806" spans="1:4" hidden="1" x14ac:dyDescent="0.3">
      <c r="A806" t="s">
        <v>52</v>
      </c>
      <c r="D806"/>
    </row>
    <row r="807" spans="1:4" hidden="1" x14ac:dyDescent="0.3">
      <c r="A807" t="s">
        <v>52</v>
      </c>
      <c r="D807"/>
    </row>
    <row r="808" spans="1:4" hidden="1" x14ac:dyDescent="0.3">
      <c r="A808" t="s">
        <v>52</v>
      </c>
      <c r="D808"/>
    </row>
    <row r="809" spans="1:4" hidden="1" x14ac:dyDescent="0.3">
      <c r="A809" t="s">
        <v>52</v>
      </c>
      <c r="D809"/>
    </row>
    <row r="810" spans="1:4" hidden="1" x14ac:dyDescent="0.3">
      <c r="A810" t="s">
        <v>52</v>
      </c>
      <c r="D810"/>
    </row>
    <row r="811" spans="1:4" hidden="1" x14ac:dyDescent="0.3">
      <c r="A811" t="s">
        <v>52</v>
      </c>
      <c r="D811"/>
    </row>
    <row r="812" spans="1:4" hidden="1" x14ac:dyDescent="0.3">
      <c r="A812" t="s">
        <v>52</v>
      </c>
      <c r="D812"/>
    </row>
    <row r="813" spans="1:4" hidden="1" x14ac:dyDescent="0.3">
      <c r="A813" t="s">
        <v>52</v>
      </c>
      <c r="D813"/>
    </row>
    <row r="814" spans="1:4" hidden="1" x14ac:dyDescent="0.3">
      <c r="A814" t="s">
        <v>52</v>
      </c>
      <c r="D814"/>
    </row>
    <row r="815" spans="1:4" hidden="1" x14ac:dyDescent="0.3">
      <c r="A815" t="s">
        <v>52</v>
      </c>
      <c r="D815"/>
    </row>
    <row r="816" spans="1:4" hidden="1" x14ac:dyDescent="0.3">
      <c r="A816" t="s">
        <v>52</v>
      </c>
      <c r="D816"/>
    </row>
    <row r="817" spans="1:4" hidden="1" x14ac:dyDescent="0.3">
      <c r="D817"/>
    </row>
    <row r="818" spans="1:4" hidden="1" x14ac:dyDescent="0.3">
      <c r="D818"/>
    </row>
    <row r="819" spans="1:4" hidden="1" x14ac:dyDescent="0.3">
      <c r="D819"/>
    </row>
    <row r="820" spans="1:4" hidden="1" x14ac:dyDescent="0.3">
      <c r="D820"/>
    </row>
    <row r="821" spans="1:4" hidden="1" x14ac:dyDescent="0.3">
      <c r="D821"/>
    </row>
    <row r="822" spans="1:4" hidden="1" x14ac:dyDescent="0.3">
      <c r="D822"/>
    </row>
    <row r="823" spans="1:4" hidden="1" x14ac:dyDescent="0.3">
      <c r="A823" t="s">
        <v>53</v>
      </c>
      <c r="D823"/>
    </row>
    <row r="824" spans="1:4" hidden="1" x14ac:dyDescent="0.3">
      <c r="A824" t="s">
        <v>53</v>
      </c>
      <c r="D824"/>
    </row>
    <row r="825" spans="1:4" hidden="1" x14ac:dyDescent="0.3">
      <c r="A825" t="s">
        <v>53</v>
      </c>
      <c r="D825"/>
    </row>
    <row r="826" spans="1:4" hidden="1" x14ac:dyDescent="0.3">
      <c r="A826" t="s">
        <v>53</v>
      </c>
      <c r="D826"/>
    </row>
    <row r="827" spans="1:4" hidden="1" x14ac:dyDescent="0.3">
      <c r="A827" t="s">
        <v>53</v>
      </c>
      <c r="D827"/>
    </row>
    <row r="828" spans="1:4" hidden="1" x14ac:dyDescent="0.3">
      <c r="A828" t="s">
        <v>53</v>
      </c>
      <c r="D828"/>
    </row>
    <row r="829" spans="1:4" hidden="1" x14ac:dyDescent="0.3">
      <c r="A829" t="s">
        <v>53</v>
      </c>
      <c r="D829"/>
    </row>
    <row r="830" spans="1:4" hidden="1" x14ac:dyDescent="0.3">
      <c r="A830" t="s">
        <v>53</v>
      </c>
      <c r="D830"/>
    </row>
    <row r="831" spans="1:4" hidden="1" x14ac:dyDescent="0.3">
      <c r="A831" t="s">
        <v>53</v>
      </c>
      <c r="D831"/>
    </row>
    <row r="832" spans="1:4" hidden="1" x14ac:dyDescent="0.3">
      <c r="A832" t="s">
        <v>53</v>
      </c>
      <c r="D832"/>
    </row>
    <row r="833" spans="1:4" hidden="1" x14ac:dyDescent="0.3">
      <c r="A833" t="s">
        <v>53</v>
      </c>
      <c r="D833"/>
    </row>
    <row r="834" spans="1:4" hidden="1" x14ac:dyDescent="0.3">
      <c r="A834" t="s">
        <v>53</v>
      </c>
      <c r="D834"/>
    </row>
    <row r="835" spans="1:4" hidden="1" x14ac:dyDescent="0.3">
      <c r="A835" t="s">
        <v>53</v>
      </c>
      <c r="D835"/>
    </row>
    <row r="836" spans="1:4" hidden="1" x14ac:dyDescent="0.3">
      <c r="A836" t="s">
        <v>53</v>
      </c>
      <c r="D836"/>
    </row>
    <row r="837" spans="1:4" hidden="1" x14ac:dyDescent="0.3">
      <c r="A837" t="s">
        <v>53</v>
      </c>
      <c r="D837"/>
    </row>
    <row r="838" spans="1:4" hidden="1" x14ac:dyDescent="0.3">
      <c r="A838" t="s">
        <v>53</v>
      </c>
      <c r="D838"/>
    </row>
    <row r="839" spans="1:4" hidden="1" x14ac:dyDescent="0.3">
      <c r="A839" t="s">
        <v>53</v>
      </c>
      <c r="D839"/>
    </row>
    <row r="840" spans="1:4" hidden="1" x14ac:dyDescent="0.3">
      <c r="A840" t="s">
        <v>53</v>
      </c>
      <c r="D840"/>
    </row>
    <row r="841" spans="1:4" hidden="1" x14ac:dyDescent="0.3">
      <c r="A841" t="s">
        <v>53</v>
      </c>
      <c r="D841"/>
    </row>
    <row r="842" spans="1:4" hidden="1" x14ac:dyDescent="0.3">
      <c r="A842" t="s">
        <v>53</v>
      </c>
      <c r="D842"/>
    </row>
    <row r="843" spans="1:4" hidden="1" x14ac:dyDescent="0.3">
      <c r="A843" t="s">
        <v>53</v>
      </c>
      <c r="D843"/>
    </row>
    <row r="844" spans="1:4" hidden="1" x14ac:dyDescent="0.3">
      <c r="A844" t="s">
        <v>53</v>
      </c>
      <c r="D844"/>
    </row>
    <row r="845" spans="1:4" hidden="1" x14ac:dyDescent="0.3">
      <c r="A845" t="s">
        <v>53</v>
      </c>
      <c r="D845"/>
    </row>
    <row r="846" spans="1:4" hidden="1" x14ac:dyDescent="0.3">
      <c r="A846" t="s">
        <v>53</v>
      </c>
      <c r="D846"/>
    </row>
    <row r="847" spans="1:4" hidden="1" x14ac:dyDescent="0.3">
      <c r="A847" t="s">
        <v>53</v>
      </c>
      <c r="D847"/>
    </row>
    <row r="848" spans="1:4" hidden="1" x14ac:dyDescent="0.3">
      <c r="A848" t="s">
        <v>53</v>
      </c>
      <c r="D848"/>
    </row>
    <row r="849" spans="1:4" hidden="1" x14ac:dyDescent="0.3">
      <c r="A849" t="s">
        <v>53</v>
      </c>
      <c r="D849"/>
    </row>
    <row r="850" spans="1:4" hidden="1" x14ac:dyDescent="0.3">
      <c r="A850" t="s">
        <v>53</v>
      </c>
      <c r="D850"/>
    </row>
    <row r="851" spans="1:4" hidden="1" x14ac:dyDescent="0.3">
      <c r="A851" t="s">
        <v>53</v>
      </c>
      <c r="D851"/>
    </row>
    <row r="852" spans="1:4" hidden="1" x14ac:dyDescent="0.3">
      <c r="A852" t="s">
        <v>53</v>
      </c>
      <c r="D852"/>
    </row>
    <row r="853" spans="1:4" hidden="1" x14ac:dyDescent="0.3">
      <c r="A853" t="s">
        <v>53</v>
      </c>
      <c r="D853"/>
    </row>
    <row r="854" spans="1:4" hidden="1" x14ac:dyDescent="0.3">
      <c r="A854" t="s">
        <v>53</v>
      </c>
      <c r="D854"/>
    </row>
    <row r="855" spans="1:4" hidden="1" x14ac:dyDescent="0.3">
      <c r="A855" t="s">
        <v>53</v>
      </c>
      <c r="D855"/>
    </row>
    <row r="856" spans="1:4" hidden="1" x14ac:dyDescent="0.3">
      <c r="A856" t="s">
        <v>53</v>
      </c>
      <c r="D856"/>
    </row>
    <row r="857" spans="1:4" hidden="1" x14ac:dyDescent="0.3">
      <c r="A857" t="s">
        <v>53</v>
      </c>
      <c r="D857"/>
    </row>
    <row r="858" spans="1:4" hidden="1" x14ac:dyDescent="0.3">
      <c r="A858" t="s">
        <v>53</v>
      </c>
      <c r="D858"/>
    </row>
    <row r="859" spans="1:4" hidden="1" x14ac:dyDescent="0.3">
      <c r="A859" t="s">
        <v>53</v>
      </c>
      <c r="D859"/>
    </row>
    <row r="860" spans="1:4" hidden="1" x14ac:dyDescent="0.3">
      <c r="A860" t="s">
        <v>53</v>
      </c>
      <c r="D860"/>
    </row>
    <row r="861" spans="1:4" hidden="1" x14ac:dyDescent="0.3">
      <c r="A861" t="s">
        <v>53</v>
      </c>
      <c r="D861"/>
    </row>
    <row r="862" spans="1:4" hidden="1" x14ac:dyDescent="0.3">
      <c r="A862" t="s">
        <v>53</v>
      </c>
      <c r="D862"/>
    </row>
    <row r="863" spans="1:4" hidden="1" x14ac:dyDescent="0.3">
      <c r="A863" t="s">
        <v>53</v>
      </c>
      <c r="D863"/>
    </row>
    <row r="864" spans="1:4" hidden="1" x14ac:dyDescent="0.3">
      <c r="A864" t="s">
        <v>53</v>
      </c>
      <c r="D864"/>
    </row>
    <row r="865" spans="1:4" hidden="1" x14ac:dyDescent="0.3">
      <c r="A865" t="s">
        <v>53</v>
      </c>
      <c r="D865"/>
    </row>
    <row r="866" spans="1:4" hidden="1" x14ac:dyDescent="0.3">
      <c r="A866" t="s">
        <v>53</v>
      </c>
      <c r="D866"/>
    </row>
    <row r="867" spans="1:4" hidden="1" x14ac:dyDescent="0.3">
      <c r="A867" t="s">
        <v>53</v>
      </c>
      <c r="D867"/>
    </row>
    <row r="868" spans="1:4" hidden="1" x14ac:dyDescent="0.3">
      <c r="A868" t="s">
        <v>53</v>
      </c>
      <c r="D868"/>
    </row>
    <row r="869" spans="1:4" hidden="1" x14ac:dyDescent="0.3">
      <c r="A869" t="s">
        <v>53</v>
      </c>
      <c r="D869"/>
    </row>
    <row r="870" spans="1:4" hidden="1" x14ac:dyDescent="0.3">
      <c r="A870" t="s">
        <v>53</v>
      </c>
      <c r="D870"/>
    </row>
    <row r="871" spans="1:4" hidden="1" x14ac:dyDescent="0.3">
      <c r="A871" t="s">
        <v>53</v>
      </c>
      <c r="D871"/>
    </row>
    <row r="872" spans="1:4" hidden="1" x14ac:dyDescent="0.3">
      <c r="A872" t="s">
        <v>53</v>
      </c>
      <c r="D872"/>
    </row>
    <row r="873" spans="1:4" hidden="1" x14ac:dyDescent="0.3">
      <c r="A873" t="s">
        <v>53</v>
      </c>
      <c r="D873"/>
    </row>
    <row r="874" spans="1:4" hidden="1" x14ac:dyDescent="0.3">
      <c r="A874" t="s">
        <v>53</v>
      </c>
      <c r="D874"/>
    </row>
    <row r="875" spans="1:4" hidden="1" x14ac:dyDescent="0.3">
      <c r="A875" t="s">
        <v>53</v>
      </c>
      <c r="D875"/>
    </row>
    <row r="876" spans="1:4" hidden="1" x14ac:dyDescent="0.3">
      <c r="A876" t="s">
        <v>53</v>
      </c>
      <c r="D876"/>
    </row>
    <row r="877" spans="1:4" hidden="1" x14ac:dyDescent="0.3">
      <c r="A877" t="s">
        <v>53</v>
      </c>
      <c r="D877"/>
    </row>
    <row r="878" spans="1:4" hidden="1" x14ac:dyDescent="0.3">
      <c r="A878" t="s">
        <v>53</v>
      </c>
      <c r="D878"/>
    </row>
    <row r="879" spans="1:4" hidden="1" x14ac:dyDescent="0.3">
      <c r="A879" t="s">
        <v>53</v>
      </c>
      <c r="D879"/>
    </row>
    <row r="880" spans="1:4" hidden="1" x14ac:dyDescent="0.3">
      <c r="A880" t="s">
        <v>53</v>
      </c>
      <c r="D880"/>
    </row>
    <row r="881" spans="1:4" hidden="1" x14ac:dyDescent="0.3">
      <c r="A881" t="s">
        <v>53</v>
      </c>
      <c r="D881"/>
    </row>
    <row r="882" spans="1:4" hidden="1" x14ac:dyDescent="0.3">
      <c r="A882" t="s">
        <v>53</v>
      </c>
      <c r="D882"/>
    </row>
    <row r="883" spans="1:4" hidden="1" x14ac:dyDescent="0.3">
      <c r="A883" t="s">
        <v>53</v>
      </c>
      <c r="D883"/>
    </row>
    <row r="884" spans="1:4" hidden="1" x14ac:dyDescent="0.3">
      <c r="A884" t="s">
        <v>53</v>
      </c>
      <c r="D884"/>
    </row>
    <row r="885" spans="1:4" hidden="1" x14ac:dyDescent="0.3">
      <c r="A885" t="s">
        <v>53</v>
      </c>
      <c r="D885"/>
    </row>
    <row r="886" spans="1:4" hidden="1" x14ac:dyDescent="0.3">
      <c r="A886" t="s">
        <v>53</v>
      </c>
      <c r="D886"/>
    </row>
    <row r="887" spans="1:4" hidden="1" x14ac:dyDescent="0.3">
      <c r="D887"/>
    </row>
    <row r="888" spans="1:4" hidden="1" x14ac:dyDescent="0.3">
      <c r="D888"/>
    </row>
    <row r="889" spans="1:4" hidden="1" x14ac:dyDescent="0.3">
      <c r="D889"/>
    </row>
    <row r="890" spans="1:4" hidden="1" x14ac:dyDescent="0.3">
      <c r="D890"/>
    </row>
    <row r="891" spans="1:4" hidden="1" x14ac:dyDescent="0.3">
      <c r="D891"/>
    </row>
    <row r="892" spans="1:4" hidden="1" x14ac:dyDescent="0.3">
      <c r="D892"/>
    </row>
    <row r="893" spans="1:4" hidden="1" x14ac:dyDescent="0.3">
      <c r="A893" t="s">
        <v>54</v>
      </c>
      <c r="D893"/>
    </row>
    <row r="894" spans="1:4" hidden="1" x14ac:dyDescent="0.3">
      <c r="A894" t="s">
        <v>54</v>
      </c>
      <c r="D894"/>
    </row>
    <row r="895" spans="1:4" hidden="1" x14ac:dyDescent="0.3">
      <c r="A895" t="s">
        <v>54</v>
      </c>
      <c r="D895"/>
    </row>
    <row r="896" spans="1:4" hidden="1" x14ac:dyDescent="0.3">
      <c r="A896" t="s">
        <v>54</v>
      </c>
      <c r="D896"/>
    </row>
    <row r="897" spans="1:4" hidden="1" x14ac:dyDescent="0.3">
      <c r="A897" t="s">
        <v>54</v>
      </c>
      <c r="D897"/>
    </row>
    <row r="898" spans="1:4" hidden="1" x14ac:dyDescent="0.3">
      <c r="A898" t="s">
        <v>54</v>
      </c>
      <c r="D898"/>
    </row>
    <row r="899" spans="1:4" hidden="1" x14ac:dyDescent="0.3">
      <c r="A899" t="s">
        <v>54</v>
      </c>
      <c r="D899"/>
    </row>
    <row r="900" spans="1:4" hidden="1" x14ac:dyDescent="0.3">
      <c r="A900" t="s">
        <v>54</v>
      </c>
      <c r="D900"/>
    </row>
    <row r="901" spans="1:4" hidden="1" x14ac:dyDescent="0.3">
      <c r="A901" t="s">
        <v>54</v>
      </c>
      <c r="D901"/>
    </row>
    <row r="902" spans="1:4" hidden="1" x14ac:dyDescent="0.3">
      <c r="A902" t="s">
        <v>54</v>
      </c>
      <c r="D902"/>
    </row>
    <row r="903" spans="1:4" hidden="1" x14ac:dyDescent="0.3">
      <c r="A903" t="s">
        <v>54</v>
      </c>
      <c r="D903"/>
    </row>
    <row r="904" spans="1:4" hidden="1" x14ac:dyDescent="0.3">
      <c r="A904" t="s">
        <v>54</v>
      </c>
      <c r="D904"/>
    </row>
    <row r="905" spans="1:4" hidden="1" x14ac:dyDescent="0.3">
      <c r="A905" t="s">
        <v>54</v>
      </c>
      <c r="D905"/>
    </row>
    <row r="906" spans="1:4" hidden="1" x14ac:dyDescent="0.3">
      <c r="A906" t="s">
        <v>54</v>
      </c>
      <c r="D906"/>
    </row>
    <row r="907" spans="1:4" hidden="1" x14ac:dyDescent="0.3">
      <c r="A907" t="s">
        <v>54</v>
      </c>
      <c r="D907"/>
    </row>
    <row r="908" spans="1:4" hidden="1" x14ac:dyDescent="0.3">
      <c r="A908" t="s">
        <v>54</v>
      </c>
      <c r="D908"/>
    </row>
    <row r="909" spans="1:4" hidden="1" x14ac:dyDescent="0.3">
      <c r="A909" t="s">
        <v>54</v>
      </c>
      <c r="D909"/>
    </row>
    <row r="910" spans="1:4" hidden="1" x14ac:dyDescent="0.3">
      <c r="A910" t="s">
        <v>54</v>
      </c>
      <c r="D910"/>
    </row>
    <row r="911" spans="1:4" hidden="1" x14ac:dyDescent="0.3">
      <c r="A911" t="s">
        <v>54</v>
      </c>
      <c r="D911"/>
    </row>
    <row r="912" spans="1:4" hidden="1" x14ac:dyDescent="0.3">
      <c r="A912" t="s">
        <v>54</v>
      </c>
      <c r="D912"/>
    </row>
    <row r="913" spans="1:4" hidden="1" x14ac:dyDescent="0.3">
      <c r="A913" t="s">
        <v>54</v>
      </c>
      <c r="D913"/>
    </row>
    <row r="914" spans="1:4" hidden="1" x14ac:dyDescent="0.3">
      <c r="A914" t="s">
        <v>54</v>
      </c>
      <c r="D914"/>
    </row>
    <row r="915" spans="1:4" hidden="1" x14ac:dyDescent="0.3">
      <c r="A915" t="s">
        <v>54</v>
      </c>
      <c r="D915"/>
    </row>
    <row r="916" spans="1:4" hidden="1" x14ac:dyDescent="0.3">
      <c r="A916" t="s">
        <v>54</v>
      </c>
      <c r="D916"/>
    </row>
    <row r="917" spans="1:4" hidden="1" x14ac:dyDescent="0.3">
      <c r="A917" t="s">
        <v>54</v>
      </c>
      <c r="D917"/>
    </row>
    <row r="918" spans="1:4" hidden="1" x14ac:dyDescent="0.3">
      <c r="A918" t="s">
        <v>54</v>
      </c>
      <c r="D918"/>
    </row>
    <row r="919" spans="1:4" hidden="1" x14ac:dyDescent="0.3">
      <c r="A919" t="s">
        <v>54</v>
      </c>
      <c r="D919"/>
    </row>
    <row r="920" spans="1:4" hidden="1" x14ac:dyDescent="0.3">
      <c r="A920" t="s">
        <v>54</v>
      </c>
      <c r="D920"/>
    </row>
    <row r="921" spans="1:4" hidden="1" x14ac:dyDescent="0.3">
      <c r="A921" t="s">
        <v>54</v>
      </c>
      <c r="D921"/>
    </row>
    <row r="922" spans="1:4" hidden="1" x14ac:dyDescent="0.3">
      <c r="A922" t="s">
        <v>54</v>
      </c>
      <c r="D922"/>
    </row>
    <row r="923" spans="1:4" hidden="1" x14ac:dyDescent="0.3">
      <c r="A923" t="s">
        <v>54</v>
      </c>
      <c r="D923"/>
    </row>
    <row r="924" spans="1:4" hidden="1" x14ac:dyDescent="0.3">
      <c r="A924" t="s">
        <v>54</v>
      </c>
      <c r="D924"/>
    </row>
    <row r="925" spans="1:4" hidden="1" x14ac:dyDescent="0.3">
      <c r="A925" t="s">
        <v>54</v>
      </c>
      <c r="D925"/>
    </row>
    <row r="926" spans="1:4" hidden="1" x14ac:dyDescent="0.3">
      <c r="A926" t="s">
        <v>54</v>
      </c>
      <c r="D926"/>
    </row>
    <row r="927" spans="1:4" hidden="1" x14ac:dyDescent="0.3">
      <c r="A927" t="s">
        <v>54</v>
      </c>
      <c r="D927"/>
    </row>
    <row r="928" spans="1:4" hidden="1" x14ac:dyDescent="0.3">
      <c r="A928" t="s">
        <v>54</v>
      </c>
      <c r="D928"/>
    </row>
    <row r="929" spans="1:4" hidden="1" x14ac:dyDescent="0.3">
      <c r="A929" t="s">
        <v>54</v>
      </c>
      <c r="D929"/>
    </row>
    <row r="930" spans="1:4" hidden="1" x14ac:dyDescent="0.3">
      <c r="A930" t="s">
        <v>54</v>
      </c>
      <c r="D930"/>
    </row>
    <row r="931" spans="1:4" hidden="1" x14ac:dyDescent="0.3">
      <c r="A931" t="s">
        <v>54</v>
      </c>
      <c r="D931"/>
    </row>
    <row r="932" spans="1:4" hidden="1" x14ac:dyDescent="0.3">
      <c r="A932" t="s">
        <v>54</v>
      </c>
      <c r="D932"/>
    </row>
    <row r="933" spans="1:4" hidden="1" x14ac:dyDescent="0.3">
      <c r="A933" t="s">
        <v>54</v>
      </c>
      <c r="D933"/>
    </row>
    <row r="934" spans="1:4" hidden="1" x14ac:dyDescent="0.3">
      <c r="A934" t="s">
        <v>54</v>
      </c>
      <c r="D934"/>
    </row>
    <row r="935" spans="1:4" hidden="1" x14ac:dyDescent="0.3">
      <c r="A935" t="s">
        <v>54</v>
      </c>
      <c r="D935"/>
    </row>
    <row r="936" spans="1:4" hidden="1" x14ac:dyDescent="0.3">
      <c r="A936" t="s">
        <v>54</v>
      </c>
      <c r="D936"/>
    </row>
    <row r="937" spans="1:4" hidden="1" x14ac:dyDescent="0.3">
      <c r="A937" t="s">
        <v>54</v>
      </c>
      <c r="D937"/>
    </row>
    <row r="938" spans="1:4" hidden="1" x14ac:dyDescent="0.3">
      <c r="A938" t="s">
        <v>54</v>
      </c>
      <c r="D938"/>
    </row>
    <row r="939" spans="1:4" hidden="1" x14ac:dyDescent="0.3">
      <c r="A939" t="s">
        <v>54</v>
      </c>
      <c r="D939"/>
    </row>
    <row r="940" spans="1:4" hidden="1" x14ac:dyDescent="0.3">
      <c r="A940" t="s">
        <v>54</v>
      </c>
      <c r="D940"/>
    </row>
    <row r="941" spans="1:4" hidden="1" x14ac:dyDescent="0.3">
      <c r="A941" t="s">
        <v>54</v>
      </c>
      <c r="D941"/>
    </row>
    <row r="942" spans="1:4" hidden="1" x14ac:dyDescent="0.3">
      <c r="A942" t="s">
        <v>54</v>
      </c>
      <c r="D942"/>
    </row>
    <row r="943" spans="1:4" hidden="1" x14ac:dyDescent="0.3">
      <c r="A943" t="s">
        <v>54</v>
      </c>
      <c r="D943"/>
    </row>
    <row r="944" spans="1:4" hidden="1" x14ac:dyDescent="0.3">
      <c r="A944" t="s">
        <v>54</v>
      </c>
      <c r="D944"/>
    </row>
    <row r="945" spans="1:4" hidden="1" x14ac:dyDescent="0.3">
      <c r="A945" t="s">
        <v>54</v>
      </c>
      <c r="D945"/>
    </row>
    <row r="946" spans="1:4" hidden="1" x14ac:dyDescent="0.3">
      <c r="A946" t="s">
        <v>54</v>
      </c>
      <c r="D946"/>
    </row>
    <row r="947" spans="1:4" hidden="1" x14ac:dyDescent="0.3">
      <c r="A947" t="s">
        <v>54</v>
      </c>
      <c r="D947"/>
    </row>
    <row r="948" spans="1:4" hidden="1" x14ac:dyDescent="0.3">
      <c r="A948" t="s">
        <v>54</v>
      </c>
      <c r="D948"/>
    </row>
    <row r="949" spans="1:4" hidden="1" x14ac:dyDescent="0.3">
      <c r="A949" t="s">
        <v>54</v>
      </c>
      <c r="D949"/>
    </row>
    <row r="950" spans="1:4" hidden="1" x14ac:dyDescent="0.3">
      <c r="A950" t="s">
        <v>54</v>
      </c>
      <c r="D950"/>
    </row>
    <row r="951" spans="1:4" hidden="1" x14ac:dyDescent="0.3">
      <c r="A951" t="s">
        <v>54</v>
      </c>
      <c r="D951"/>
    </row>
    <row r="952" spans="1:4" hidden="1" x14ac:dyDescent="0.3">
      <c r="A952" t="s">
        <v>54</v>
      </c>
      <c r="D952"/>
    </row>
    <row r="953" spans="1:4" hidden="1" x14ac:dyDescent="0.3">
      <c r="A953" t="s">
        <v>54</v>
      </c>
      <c r="D953"/>
    </row>
    <row r="954" spans="1:4" hidden="1" x14ac:dyDescent="0.3">
      <c r="A954" t="s">
        <v>54</v>
      </c>
      <c r="D954"/>
    </row>
    <row r="955" spans="1:4" hidden="1" x14ac:dyDescent="0.3">
      <c r="A955" t="s">
        <v>54</v>
      </c>
      <c r="D955"/>
    </row>
    <row r="956" spans="1:4" hidden="1" x14ac:dyDescent="0.3">
      <c r="A956" t="s">
        <v>54</v>
      </c>
      <c r="D956"/>
    </row>
    <row r="957" spans="1:4" hidden="1" x14ac:dyDescent="0.3">
      <c r="D957"/>
    </row>
    <row r="958" spans="1:4" hidden="1" x14ac:dyDescent="0.3">
      <c r="D958"/>
    </row>
    <row r="959" spans="1:4" hidden="1" x14ac:dyDescent="0.3">
      <c r="D959"/>
    </row>
    <row r="960" spans="1:4" hidden="1" x14ac:dyDescent="0.3">
      <c r="D960"/>
    </row>
    <row r="961" spans="4:4" hidden="1" x14ac:dyDescent="0.3">
      <c r="D961"/>
    </row>
    <row r="962" spans="4:4" hidden="1" x14ac:dyDescent="0.3">
      <c r="D962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0F42-702C-4057-9DF8-3982C37DA3B0}">
  <sheetPr codeName="Planilha1"/>
  <dimension ref="A1:L962"/>
  <sheetViews>
    <sheetView topLeftCell="B1" zoomScale="99" zoomScaleNormal="99" workbookViewId="0">
      <selection activeCell="D951" sqref="D951"/>
    </sheetView>
  </sheetViews>
  <sheetFormatPr defaultRowHeight="14.4" x14ac:dyDescent="0.3"/>
  <cols>
    <col min="1" max="1" width="12.21875" bestFit="1" customWidth="1"/>
    <col min="2" max="2" width="16.88671875" bestFit="1" customWidth="1"/>
    <col min="3" max="3" width="16.109375" style="17" bestFit="1" customWidth="1"/>
    <col min="4" max="4" width="19.33203125" bestFit="1" customWidth="1"/>
    <col min="5" max="5" width="24" bestFit="1" customWidth="1"/>
    <col min="6" max="6" width="26" bestFit="1" customWidth="1"/>
    <col min="7" max="7" width="13.88671875" bestFit="1" customWidth="1"/>
    <col min="8" max="8" width="16.5546875" bestFit="1" customWidth="1"/>
    <col min="9" max="9" width="22" style="17" bestFit="1" customWidth="1"/>
    <col min="10" max="10" width="18.5546875" style="17" bestFit="1" customWidth="1"/>
    <col min="11" max="11" width="10.6640625" style="18" bestFit="1" customWidth="1"/>
    <col min="12" max="12" width="21.6640625" bestFit="1" customWidth="1"/>
    <col min="13" max="13" width="13.88671875" bestFit="1" customWidth="1"/>
  </cols>
  <sheetData>
    <row r="1" spans="1:12" x14ac:dyDescent="0.3">
      <c r="A1" t="s">
        <v>0</v>
      </c>
      <c r="B1" t="s">
        <v>1</v>
      </c>
      <c r="C1" s="17" t="s">
        <v>2</v>
      </c>
      <c r="D1" t="s">
        <v>7</v>
      </c>
      <c r="E1" t="s">
        <v>14</v>
      </c>
      <c r="F1" t="s">
        <v>15</v>
      </c>
      <c r="G1" t="s">
        <v>16</v>
      </c>
      <c r="H1" t="s">
        <v>17</v>
      </c>
      <c r="I1" s="17" t="s">
        <v>18</v>
      </c>
      <c r="J1" s="17" t="s">
        <v>19</v>
      </c>
      <c r="K1" s="18" t="s">
        <v>20</v>
      </c>
      <c r="L1" t="s">
        <v>21</v>
      </c>
    </row>
    <row r="2" spans="1:12" hidden="1" x14ac:dyDescent="0.3">
      <c r="A2" t="s">
        <v>22</v>
      </c>
      <c r="I2"/>
      <c r="J2"/>
      <c r="K2"/>
    </row>
    <row r="3" spans="1:12" hidden="1" x14ac:dyDescent="0.3">
      <c r="A3" t="s">
        <v>22</v>
      </c>
      <c r="I3"/>
      <c r="J3"/>
      <c r="K3"/>
    </row>
    <row r="4" spans="1:12" hidden="1" x14ac:dyDescent="0.3">
      <c r="A4" t="s">
        <v>22</v>
      </c>
      <c r="I4"/>
      <c r="J4"/>
      <c r="K4"/>
    </row>
    <row r="5" spans="1:12" hidden="1" x14ac:dyDescent="0.3">
      <c r="A5" t="s">
        <v>22</v>
      </c>
      <c r="I5"/>
      <c r="J5"/>
      <c r="K5"/>
    </row>
    <row r="6" spans="1:12" hidden="1" x14ac:dyDescent="0.3">
      <c r="A6" t="s">
        <v>22</v>
      </c>
      <c r="I6"/>
      <c r="J6"/>
      <c r="K6"/>
    </row>
    <row r="7" spans="1:12" hidden="1" x14ac:dyDescent="0.3">
      <c r="A7" t="s">
        <v>22</v>
      </c>
      <c r="I7"/>
      <c r="J7"/>
      <c r="K7"/>
    </row>
    <row r="8" spans="1:12" hidden="1" x14ac:dyDescent="0.3">
      <c r="A8" t="s">
        <v>22</v>
      </c>
      <c r="I8"/>
      <c r="J8"/>
      <c r="K8"/>
    </row>
    <row r="9" spans="1:12" hidden="1" x14ac:dyDescent="0.3">
      <c r="A9" t="s">
        <v>22</v>
      </c>
      <c r="I9"/>
      <c r="J9"/>
      <c r="K9"/>
    </row>
    <row r="10" spans="1:12" hidden="1" x14ac:dyDescent="0.3">
      <c r="A10" t="s">
        <v>22</v>
      </c>
      <c r="I10"/>
      <c r="J10"/>
      <c r="K10"/>
    </row>
    <row r="11" spans="1:12" hidden="1" x14ac:dyDescent="0.3">
      <c r="A11" t="s">
        <v>22</v>
      </c>
      <c r="I11"/>
      <c r="J11"/>
      <c r="K11"/>
    </row>
    <row r="12" spans="1:12" hidden="1" x14ac:dyDescent="0.3">
      <c r="A12" t="s">
        <v>22</v>
      </c>
      <c r="I12"/>
      <c r="J12"/>
      <c r="K12"/>
    </row>
    <row r="13" spans="1:12" hidden="1" x14ac:dyDescent="0.3">
      <c r="A13" t="s">
        <v>22</v>
      </c>
      <c r="I13"/>
      <c r="J13"/>
      <c r="K13"/>
    </row>
    <row r="14" spans="1:12" hidden="1" x14ac:dyDescent="0.3">
      <c r="A14" t="s">
        <v>22</v>
      </c>
      <c r="I14"/>
      <c r="J14"/>
      <c r="K14"/>
    </row>
    <row r="15" spans="1:12" hidden="1" x14ac:dyDescent="0.3">
      <c r="A15" t="s">
        <v>22</v>
      </c>
      <c r="I15"/>
      <c r="J15"/>
      <c r="K15"/>
    </row>
    <row r="16" spans="1:12" hidden="1" x14ac:dyDescent="0.3">
      <c r="A16" t="s">
        <v>22</v>
      </c>
      <c r="I16"/>
      <c r="J16"/>
      <c r="K16"/>
    </row>
    <row r="17" spans="1:11" hidden="1" x14ac:dyDescent="0.3">
      <c r="A17" t="s">
        <v>22</v>
      </c>
      <c r="I17"/>
      <c r="J17"/>
      <c r="K17"/>
    </row>
    <row r="18" spans="1:11" hidden="1" x14ac:dyDescent="0.3">
      <c r="A18" t="s">
        <v>22</v>
      </c>
      <c r="I18"/>
      <c r="J18"/>
      <c r="K18"/>
    </row>
    <row r="19" spans="1:11" hidden="1" x14ac:dyDescent="0.3">
      <c r="A19" t="s">
        <v>22</v>
      </c>
      <c r="I19"/>
      <c r="J19"/>
      <c r="K19"/>
    </row>
    <row r="20" spans="1:11" hidden="1" x14ac:dyDescent="0.3">
      <c r="A20" t="s">
        <v>22</v>
      </c>
      <c r="I20"/>
      <c r="J20"/>
      <c r="K20"/>
    </row>
    <row r="21" spans="1:11" hidden="1" x14ac:dyDescent="0.3">
      <c r="A21" t="s">
        <v>22</v>
      </c>
      <c r="I21"/>
      <c r="J21"/>
      <c r="K21"/>
    </row>
    <row r="22" spans="1:11" hidden="1" x14ac:dyDescent="0.3">
      <c r="A22" t="s">
        <v>22</v>
      </c>
      <c r="I22"/>
      <c r="J22"/>
      <c r="K22"/>
    </row>
    <row r="23" spans="1:11" hidden="1" x14ac:dyDescent="0.3">
      <c r="A23" t="s">
        <v>22</v>
      </c>
      <c r="I23"/>
      <c r="J23"/>
      <c r="K23"/>
    </row>
    <row r="24" spans="1:11" hidden="1" x14ac:dyDescent="0.3">
      <c r="A24" t="s">
        <v>22</v>
      </c>
      <c r="I24"/>
      <c r="J24"/>
      <c r="K24"/>
    </row>
    <row r="25" spans="1:11" hidden="1" x14ac:dyDescent="0.3">
      <c r="A25" t="s">
        <v>22</v>
      </c>
      <c r="I25"/>
      <c r="J25"/>
      <c r="K25"/>
    </row>
    <row r="26" spans="1:11" hidden="1" x14ac:dyDescent="0.3">
      <c r="A26" t="s">
        <v>22</v>
      </c>
      <c r="I26"/>
      <c r="J26"/>
      <c r="K26"/>
    </row>
    <row r="27" spans="1:11" hidden="1" x14ac:dyDescent="0.3">
      <c r="A27" t="s">
        <v>22</v>
      </c>
      <c r="I27"/>
      <c r="J27"/>
      <c r="K27"/>
    </row>
    <row r="28" spans="1:11" hidden="1" x14ac:dyDescent="0.3">
      <c r="A28" t="s">
        <v>22</v>
      </c>
      <c r="I28"/>
      <c r="J28"/>
      <c r="K28"/>
    </row>
    <row r="29" spans="1:11" hidden="1" x14ac:dyDescent="0.3">
      <c r="A29" t="s">
        <v>22</v>
      </c>
      <c r="I29"/>
      <c r="J29"/>
      <c r="K29"/>
    </row>
    <row r="30" spans="1:11" hidden="1" x14ac:dyDescent="0.3">
      <c r="A30" t="s">
        <v>22</v>
      </c>
      <c r="I30"/>
      <c r="J30"/>
      <c r="K30"/>
    </row>
    <row r="31" spans="1:11" hidden="1" x14ac:dyDescent="0.3">
      <c r="A31" t="s">
        <v>22</v>
      </c>
      <c r="I31"/>
      <c r="J31"/>
      <c r="K31"/>
    </row>
    <row r="32" spans="1:11" hidden="1" x14ac:dyDescent="0.3">
      <c r="A32" t="s">
        <v>22</v>
      </c>
      <c r="I32"/>
      <c r="J32"/>
      <c r="K32"/>
    </row>
    <row r="33" spans="1:11" hidden="1" x14ac:dyDescent="0.3">
      <c r="A33" t="s">
        <v>22</v>
      </c>
      <c r="I33"/>
      <c r="J33"/>
      <c r="K33"/>
    </row>
    <row r="34" spans="1:11" hidden="1" x14ac:dyDescent="0.3">
      <c r="A34" t="s">
        <v>22</v>
      </c>
      <c r="I34"/>
      <c r="J34"/>
      <c r="K34"/>
    </row>
    <row r="35" spans="1:11" hidden="1" x14ac:dyDescent="0.3">
      <c r="A35" t="s">
        <v>22</v>
      </c>
      <c r="B35" t="s">
        <v>26</v>
      </c>
      <c r="I35"/>
      <c r="J35"/>
      <c r="K35" t="s">
        <v>26</v>
      </c>
    </row>
    <row r="36" spans="1:11" hidden="1" x14ac:dyDescent="0.3">
      <c r="A36" t="s">
        <v>22</v>
      </c>
      <c r="B36" t="s">
        <v>26</v>
      </c>
      <c r="I36"/>
      <c r="J36"/>
      <c r="K36" t="s">
        <v>26</v>
      </c>
    </row>
    <row r="37" spans="1:11" hidden="1" x14ac:dyDescent="0.3">
      <c r="A37" t="s">
        <v>22</v>
      </c>
      <c r="B37" t="s">
        <v>26</v>
      </c>
      <c r="I37"/>
      <c r="J37"/>
      <c r="K37" t="s">
        <v>26</v>
      </c>
    </row>
    <row r="38" spans="1:11" hidden="1" x14ac:dyDescent="0.3">
      <c r="A38" t="s">
        <v>22</v>
      </c>
      <c r="B38" t="s">
        <v>26</v>
      </c>
      <c r="I38"/>
      <c r="J38"/>
      <c r="K38" t="s">
        <v>26</v>
      </c>
    </row>
    <row r="39" spans="1:11" hidden="1" x14ac:dyDescent="0.3">
      <c r="A39" t="s">
        <v>22</v>
      </c>
      <c r="B39" t="s">
        <v>26</v>
      </c>
      <c r="I39"/>
      <c r="J39"/>
      <c r="K39" t="s">
        <v>26</v>
      </c>
    </row>
    <row r="40" spans="1:11" hidden="1" x14ac:dyDescent="0.3">
      <c r="A40" t="s">
        <v>22</v>
      </c>
      <c r="B40" t="s">
        <v>26</v>
      </c>
      <c r="I40"/>
      <c r="J40"/>
      <c r="K40" t="s">
        <v>26</v>
      </c>
    </row>
    <row r="41" spans="1:11" hidden="1" x14ac:dyDescent="0.3">
      <c r="A41" t="s">
        <v>22</v>
      </c>
      <c r="B41" t="s">
        <v>26</v>
      </c>
      <c r="I41"/>
      <c r="J41"/>
      <c r="K41" t="s">
        <v>26</v>
      </c>
    </row>
    <row r="42" spans="1:11" hidden="1" x14ac:dyDescent="0.3">
      <c r="A42" t="s">
        <v>22</v>
      </c>
      <c r="B42" t="s">
        <v>26</v>
      </c>
      <c r="I42"/>
      <c r="J42"/>
      <c r="K42" t="s">
        <v>26</v>
      </c>
    </row>
    <row r="43" spans="1:11" hidden="1" x14ac:dyDescent="0.3">
      <c r="A43" t="s">
        <v>22</v>
      </c>
      <c r="B43" t="s">
        <v>26</v>
      </c>
      <c r="I43"/>
      <c r="J43"/>
      <c r="K43" t="s">
        <v>26</v>
      </c>
    </row>
    <row r="44" spans="1:11" hidden="1" x14ac:dyDescent="0.3">
      <c r="A44" t="s">
        <v>22</v>
      </c>
      <c r="B44" t="s">
        <v>26</v>
      </c>
      <c r="I44"/>
      <c r="J44"/>
      <c r="K44" t="s">
        <v>26</v>
      </c>
    </row>
    <row r="45" spans="1:11" hidden="1" x14ac:dyDescent="0.3">
      <c r="A45" t="s">
        <v>22</v>
      </c>
      <c r="B45" t="s">
        <v>26</v>
      </c>
      <c r="I45"/>
      <c r="J45"/>
      <c r="K45" t="s">
        <v>26</v>
      </c>
    </row>
    <row r="46" spans="1:11" hidden="1" x14ac:dyDescent="0.3">
      <c r="A46" t="s">
        <v>22</v>
      </c>
      <c r="B46" t="s">
        <v>26</v>
      </c>
      <c r="I46"/>
      <c r="J46"/>
      <c r="K46" t="s">
        <v>26</v>
      </c>
    </row>
    <row r="47" spans="1:11" hidden="1" x14ac:dyDescent="0.3">
      <c r="A47" t="s">
        <v>22</v>
      </c>
      <c r="B47" t="s">
        <v>26</v>
      </c>
      <c r="I47"/>
      <c r="J47"/>
      <c r="K47" t="s">
        <v>26</v>
      </c>
    </row>
    <row r="48" spans="1:11" hidden="1" x14ac:dyDescent="0.3">
      <c r="A48" t="s">
        <v>22</v>
      </c>
      <c r="B48" t="s">
        <v>26</v>
      </c>
      <c r="I48"/>
      <c r="J48"/>
      <c r="K48" t="s">
        <v>26</v>
      </c>
    </row>
    <row r="49" spans="1:11" hidden="1" x14ac:dyDescent="0.3">
      <c r="A49" t="s">
        <v>22</v>
      </c>
      <c r="B49" t="s">
        <v>26</v>
      </c>
      <c r="I49"/>
      <c r="J49"/>
      <c r="K49" t="s">
        <v>26</v>
      </c>
    </row>
    <row r="50" spans="1:11" hidden="1" x14ac:dyDescent="0.3">
      <c r="A50" t="s">
        <v>22</v>
      </c>
      <c r="B50" t="s">
        <v>26</v>
      </c>
      <c r="I50"/>
      <c r="J50"/>
      <c r="K50" t="s">
        <v>26</v>
      </c>
    </row>
    <row r="51" spans="1:11" hidden="1" x14ac:dyDescent="0.3">
      <c r="A51" t="s">
        <v>22</v>
      </c>
      <c r="B51" t="s">
        <v>26</v>
      </c>
      <c r="I51"/>
      <c r="J51"/>
      <c r="K51" t="s">
        <v>26</v>
      </c>
    </row>
    <row r="52" spans="1:11" hidden="1" x14ac:dyDescent="0.3">
      <c r="A52" t="s">
        <v>22</v>
      </c>
      <c r="B52" t="s">
        <v>26</v>
      </c>
      <c r="I52"/>
      <c r="J52"/>
      <c r="K52" t="s">
        <v>26</v>
      </c>
    </row>
    <row r="53" spans="1:11" hidden="1" x14ac:dyDescent="0.3">
      <c r="A53" t="s">
        <v>22</v>
      </c>
      <c r="B53" t="s">
        <v>26</v>
      </c>
      <c r="I53"/>
      <c r="J53"/>
      <c r="K53" t="s">
        <v>26</v>
      </c>
    </row>
    <row r="54" spans="1:11" hidden="1" x14ac:dyDescent="0.3">
      <c r="A54" t="s">
        <v>22</v>
      </c>
      <c r="B54" t="s">
        <v>26</v>
      </c>
      <c r="I54"/>
      <c r="J54"/>
      <c r="K54" t="s">
        <v>26</v>
      </c>
    </row>
    <row r="55" spans="1:11" hidden="1" x14ac:dyDescent="0.3">
      <c r="A55" t="s">
        <v>22</v>
      </c>
      <c r="B55" t="s">
        <v>26</v>
      </c>
      <c r="I55"/>
      <c r="J55"/>
      <c r="K55" t="s">
        <v>26</v>
      </c>
    </row>
    <row r="56" spans="1:11" hidden="1" x14ac:dyDescent="0.3">
      <c r="A56" t="s">
        <v>22</v>
      </c>
      <c r="B56" t="s">
        <v>26</v>
      </c>
      <c r="I56"/>
      <c r="J56"/>
      <c r="K56" t="s">
        <v>26</v>
      </c>
    </row>
    <row r="57" spans="1:11" hidden="1" x14ac:dyDescent="0.3">
      <c r="A57" t="s">
        <v>22</v>
      </c>
      <c r="B57" t="s">
        <v>26</v>
      </c>
      <c r="I57"/>
      <c r="J57"/>
      <c r="K57" t="s">
        <v>26</v>
      </c>
    </row>
    <row r="58" spans="1:11" hidden="1" x14ac:dyDescent="0.3">
      <c r="A58" t="s">
        <v>22</v>
      </c>
      <c r="B58" t="s">
        <v>26</v>
      </c>
      <c r="I58"/>
      <c r="J58"/>
      <c r="K58" t="s">
        <v>26</v>
      </c>
    </row>
    <row r="59" spans="1:11" hidden="1" x14ac:dyDescent="0.3">
      <c r="A59" t="s">
        <v>22</v>
      </c>
      <c r="B59" t="s">
        <v>26</v>
      </c>
      <c r="I59"/>
      <c r="J59"/>
      <c r="K59" t="s">
        <v>26</v>
      </c>
    </row>
    <row r="60" spans="1:11" hidden="1" x14ac:dyDescent="0.3">
      <c r="A60" t="s">
        <v>22</v>
      </c>
      <c r="B60" t="s">
        <v>26</v>
      </c>
      <c r="I60"/>
      <c r="J60"/>
      <c r="K60" t="s">
        <v>26</v>
      </c>
    </row>
    <row r="61" spans="1:11" hidden="1" x14ac:dyDescent="0.3">
      <c r="A61" t="s">
        <v>22</v>
      </c>
      <c r="B61" t="s">
        <v>26</v>
      </c>
      <c r="I61"/>
      <c r="J61"/>
      <c r="K61" t="s">
        <v>26</v>
      </c>
    </row>
    <row r="62" spans="1:11" hidden="1" x14ac:dyDescent="0.3">
      <c r="A62" t="s">
        <v>22</v>
      </c>
      <c r="B62" t="s">
        <v>26</v>
      </c>
      <c r="I62"/>
      <c r="J62"/>
      <c r="K62" t="s">
        <v>26</v>
      </c>
    </row>
    <row r="63" spans="1:11" hidden="1" x14ac:dyDescent="0.3">
      <c r="A63" t="s">
        <v>22</v>
      </c>
      <c r="B63" t="s">
        <v>26</v>
      </c>
      <c r="I63"/>
      <c r="J63"/>
      <c r="K63" t="s">
        <v>26</v>
      </c>
    </row>
    <row r="64" spans="1:11" hidden="1" x14ac:dyDescent="0.3">
      <c r="A64" t="s">
        <v>22</v>
      </c>
      <c r="B64" t="s">
        <v>26</v>
      </c>
      <c r="I64"/>
      <c r="J64"/>
      <c r="K64" t="s">
        <v>26</v>
      </c>
    </row>
    <row r="65" spans="1:11" hidden="1" x14ac:dyDescent="0.3">
      <c r="A65" t="s">
        <v>22</v>
      </c>
      <c r="B65" t="s">
        <v>26</v>
      </c>
      <c r="I65"/>
      <c r="J65"/>
      <c r="K65" t="s">
        <v>26</v>
      </c>
    </row>
    <row r="66" spans="1:11" hidden="1" x14ac:dyDescent="0.3">
      <c r="A66" t="s">
        <v>35</v>
      </c>
      <c r="I66"/>
      <c r="J66"/>
      <c r="K66"/>
    </row>
    <row r="67" spans="1:11" hidden="1" x14ac:dyDescent="0.3">
      <c r="A67" t="s">
        <v>35</v>
      </c>
      <c r="I67"/>
      <c r="J67"/>
      <c r="K67"/>
    </row>
    <row r="68" spans="1:11" hidden="1" x14ac:dyDescent="0.3">
      <c r="A68" t="s">
        <v>35</v>
      </c>
      <c r="I68"/>
      <c r="J68"/>
      <c r="K68"/>
    </row>
    <row r="69" spans="1:11" hidden="1" x14ac:dyDescent="0.3">
      <c r="A69" t="s">
        <v>35</v>
      </c>
      <c r="I69"/>
      <c r="J69"/>
      <c r="K69"/>
    </row>
    <row r="70" spans="1:11" hidden="1" x14ac:dyDescent="0.3">
      <c r="A70" t="s">
        <v>35</v>
      </c>
      <c r="I70"/>
      <c r="J70"/>
      <c r="K70"/>
    </row>
    <row r="71" spans="1:11" hidden="1" x14ac:dyDescent="0.3">
      <c r="A71" t="s">
        <v>35</v>
      </c>
      <c r="I71"/>
      <c r="J71"/>
      <c r="K71"/>
    </row>
    <row r="72" spans="1:11" hidden="1" x14ac:dyDescent="0.3">
      <c r="A72" t="s">
        <v>35</v>
      </c>
      <c r="I72"/>
      <c r="J72"/>
      <c r="K72"/>
    </row>
    <row r="73" spans="1:11" hidden="1" x14ac:dyDescent="0.3">
      <c r="A73" t="s">
        <v>35</v>
      </c>
      <c r="I73"/>
      <c r="J73"/>
      <c r="K73"/>
    </row>
    <row r="74" spans="1:11" hidden="1" x14ac:dyDescent="0.3">
      <c r="A74" t="s">
        <v>35</v>
      </c>
      <c r="I74"/>
      <c r="J74"/>
      <c r="K74"/>
    </row>
    <row r="75" spans="1:11" hidden="1" x14ac:dyDescent="0.3">
      <c r="A75" t="s">
        <v>35</v>
      </c>
      <c r="I75"/>
      <c r="J75"/>
      <c r="K75"/>
    </row>
    <row r="76" spans="1:11" hidden="1" x14ac:dyDescent="0.3">
      <c r="A76" t="s">
        <v>35</v>
      </c>
      <c r="I76"/>
      <c r="J76"/>
      <c r="K76"/>
    </row>
    <row r="77" spans="1:11" hidden="1" x14ac:dyDescent="0.3">
      <c r="A77" t="s">
        <v>35</v>
      </c>
      <c r="I77"/>
      <c r="J77"/>
      <c r="K77"/>
    </row>
    <row r="78" spans="1:11" hidden="1" x14ac:dyDescent="0.3">
      <c r="A78" t="s">
        <v>35</v>
      </c>
      <c r="I78"/>
      <c r="J78"/>
      <c r="K78"/>
    </row>
    <row r="79" spans="1:11" hidden="1" x14ac:dyDescent="0.3">
      <c r="A79" t="s">
        <v>35</v>
      </c>
      <c r="I79"/>
      <c r="J79"/>
      <c r="K79"/>
    </row>
    <row r="80" spans="1:11" hidden="1" x14ac:dyDescent="0.3">
      <c r="A80" t="s">
        <v>35</v>
      </c>
      <c r="I80"/>
      <c r="J80"/>
      <c r="K80"/>
    </row>
    <row r="81" spans="1:11" hidden="1" x14ac:dyDescent="0.3">
      <c r="A81" t="s">
        <v>35</v>
      </c>
      <c r="I81"/>
      <c r="J81"/>
      <c r="K81"/>
    </row>
    <row r="82" spans="1:11" hidden="1" x14ac:dyDescent="0.3">
      <c r="I82"/>
      <c r="J82"/>
      <c r="K82"/>
    </row>
    <row r="83" spans="1:11" hidden="1" x14ac:dyDescent="0.3">
      <c r="A83" t="s">
        <v>35</v>
      </c>
      <c r="I83"/>
      <c r="J83"/>
      <c r="K83"/>
    </row>
    <row r="84" spans="1:11" hidden="1" x14ac:dyDescent="0.3">
      <c r="A84" t="s">
        <v>35</v>
      </c>
      <c r="I84"/>
      <c r="J84"/>
      <c r="K84"/>
    </row>
    <row r="85" spans="1:11" hidden="1" x14ac:dyDescent="0.3">
      <c r="A85" t="s">
        <v>35</v>
      </c>
      <c r="I85"/>
      <c r="J85"/>
      <c r="K85"/>
    </row>
    <row r="86" spans="1:11" hidden="1" x14ac:dyDescent="0.3">
      <c r="A86" t="s">
        <v>35</v>
      </c>
      <c r="I86"/>
      <c r="J86"/>
      <c r="K86"/>
    </row>
    <row r="87" spans="1:11" hidden="1" x14ac:dyDescent="0.3">
      <c r="A87" t="s">
        <v>35</v>
      </c>
      <c r="I87"/>
      <c r="J87"/>
      <c r="K87"/>
    </row>
    <row r="88" spans="1:11" hidden="1" x14ac:dyDescent="0.3">
      <c r="A88" t="s">
        <v>35</v>
      </c>
      <c r="I88"/>
      <c r="J88"/>
      <c r="K88"/>
    </row>
    <row r="89" spans="1:11" hidden="1" x14ac:dyDescent="0.3">
      <c r="A89" t="s">
        <v>35</v>
      </c>
      <c r="I89"/>
      <c r="J89"/>
      <c r="K89"/>
    </row>
    <row r="90" spans="1:11" hidden="1" x14ac:dyDescent="0.3">
      <c r="A90" t="s">
        <v>35</v>
      </c>
      <c r="I90"/>
      <c r="J90"/>
      <c r="K90"/>
    </row>
    <row r="91" spans="1:11" hidden="1" x14ac:dyDescent="0.3">
      <c r="A91" t="s">
        <v>35</v>
      </c>
      <c r="I91"/>
      <c r="J91"/>
      <c r="K91"/>
    </row>
    <row r="92" spans="1:11" hidden="1" x14ac:dyDescent="0.3">
      <c r="A92" t="s">
        <v>35</v>
      </c>
      <c r="I92"/>
      <c r="J92"/>
      <c r="K92"/>
    </row>
    <row r="93" spans="1:11" hidden="1" x14ac:dyDescent="0.3">
      <c r="A93" t="s">
        <v>35</v>
      </c>
      <c r="I93"/>
      <c r="J93"/>
      <c r="K93"/>
    </row>
    <row r="94" spans="1:11" hidden="1" x14ac:dyDescent="0.3">
      <c r="A94" t="s">
        <v>35</v>
      </c>
      <c r="I94"/>
      <c r="J94"/>
      <c r="K94"/>
    </row>
    <row r="95" spans="1:11" hidden="1" x14ac:dyDescent="0.3">
      <c r="A95" t="s">
        <v>35</v>
      </c>
      <c r="I95"/>
      <c r="J95"/>
      <c r="K95"/>
    </row>
    <row r="96" spans="1:11" hidden="1" x14ac:dyDescent="0.3">
      <c r="A96" t="s">
        <v>35</v>
      </c>
      <c r="I96"/>
      <c r="J96"/>
      <c r="K96"/>
    </row>
    <row r="97" spans="1:11" hidden="1" x14ac:dyDescent="0.3">
      <c r="A97" t="s">
        <v>35</v>
      </c>
      <c r="I97"/>
      <c r="J97"/>
      <c r="K97"/>
    </row>
    <row r="98" spans="1:11" hidden="1" x14ac:dyDescent="0.3">
      <c r="A98" t="s">
        <v>35</v>
      </c>
      <c r="I98"/>
      <c r="J98"/>
      <c r="K98"/>
    </row>
    <row r="99" spans="1:11" hidden="1" x14ac:dyDescent="0.3">
      <c r="A99" t="s">
        <v>35</v>
      </c>
      <c r="B99" t="s">
        <v>26</v>
      </c>
      <c r="I99"/>
      <c r="J99"/>
      <c r="K99" t="s">
        <v>26</v>
      </c>
    </row>
    <row r="100" spans="1:11" hidden="1" x14ac:dyDescent="0.3">
      <c r="A100" t="s">
        <v>35</v>
      </c>
      <c r="B100" t="s">
        <v>26</v>
      </c>
      <c r="I100"/>
      <c r="J100"/>
      <c r="K100" t="s">
        <v>26</v>
      </c>
    </row>
    <row r="101" spans="1:11" hidden="1" x14ac:dyDescent="0.3">
      <c r="A101" t="s">
        <v>35</v>
      </c>
      <c r="B101" t="s">
        <v>26</v>
      </c>
      <c r="I101"/>
      <c r="J101"/>
      <c r="K101" t="s">
        <v>26</v>
      </c>
    </row>
    <row r="102" spans="1:11" hidden="1" x14ac:dyDescent="0.3">
      <c r="A102" t="s">
        <v>35</v>
      </c>
      <c r="B102" t="s">
        <v>26</v>
      </c>
      <c r="I102"/>
      <c r="J102"/>
      <c r="K102" t="s">
        <v>26</v>
      </c>
    </row>
    <row r="103" spans="1:11" hidden="1" x14ac:dyDescent="0.3">
      <c r="A103" t="s">
        <v>35</v>
      </c>
      <c r="B103" t="s">
        <v>26</v>
      </c>
      <c r="I103"/>
      <c r="J103"/>
      <c r="K103" t="s">
        <v>26</v>
      </c>
    </row>
    <row r="104" spans="1:11" hidden="1" x14ac:dyDescent="0.3">
      <c r="A104" t="s">
        <v>35</v>
      </c>
      <c r="B104" t="s">
        <v>26</v>
      </c>
      <c r="I104"/>
      <c r="J104"/>
      <c r="K104" t="s">
        <v>26</v>
      </c>
    </row>
    <row r="105" spans="1:11" hidden="1" x14ac:dyDescent="0.3">
      <c r="A105" t="s">
        <v>35</v>
      </c>
      <c r="B105" t="s">
        <v>26</v>
      </c>
      <c r="I105"/>
      <c r="J105"/>
      <c r="K105" t="s">
        <v>26</v>
      </c>
    </row>
    <row r="106" spans="1:11" hidden="1" x14ac:dyDescent="0.3">
      <c r="A106" t="s">
        <v>35</v>
      </c>
      <c r="B106" t="s">
        <v>26</v>
      </c>
      <c r="I106"/>
      <c r="J106"/>
      <c r="K106" t="s">
        <v>26</v>
      </c>
    </row>
    <row r="107" spans="1:11" hidden="1" x14ac:dyDescent="0.3">
      <c r="A107" t="s">
        <v>35</v>
      </c>
      <c r="B107" t="s">
        <v>26</v>
      </c>
      <c r="I107"/>
      <c r="J107"/>
      <c r="K107" t="s">
        <v>26</v>
      </c>
    </row>
    <row r="108" spans="1:11" hidden="1" x14ac:dyDescent="0.3">
      <c r="A108" t="s">
        <v>35</v>
      </c>
      <c r="B108" t="s">
        <v>26</v>
      </c>
      <c r="I108"/>
      <c r="J108"/>
      <c r="K108" t="s">
        <v>26</v>
      </c>
    </row>
    <row r="109" spans="1:11" hidden="1" x14ac:dyDescent="0.3">
      <c r="A109" t="s">
        <v>35</v>
      </c>
      <c r="B109" t="s">
        <v>26</v>
      </c>
      <c r="I109"/>
      <c r="J109"/>
      <c r="K109" t="s">
        <v>26</v>
      </c>
    </row>
    <row r="110" spans="1:11" hidden="1" x14ac:dyDescent="0.3">
      <c r="A110" t="s">
        <v>35</v>
      </c>
      <c r="B110" t="s">
        <v>26</v>
      </c>
      <c r="I110"/>
      <c r="J110"/>
      <c r="K110" t="s">
        <v>26</v>
      </c>
    </row>
    <row r="111" spans="1:11" hidden="1" x14ac:dyDescent="0.3">
      <c r="A111" t="s">
        <v>35</v>
      </c>
      <c r="B111" t="s">
        <v>26</v>
      </c>
      <c r="I111"/>
      <c r="J111"/>
      <c r="K111" t="s">
        <v>26</v>
      </c>
    </row>
    <row r="112" spans="1:11" hidden="1" x14ac:dyDescent="0.3">
      <c r="A112" t="s">
        <v>35</v>
      </c>
      <c r="B112" t="s">
        <v>26</v>
      </c>
      <c r="I112"/>
      <c r="J112"/>
      <c r="K112" t="s">
        <v>26</v>
      </c>
    </row>
    <row r="113" spans="1:11" hidden="1" x14ac:dyDescent="0.3">
      <c r="A113" t="s">
        <v>35</v>
      </c>
      <c r="B113" t="s">
        <v>26</v>
      </c>
      <c r="I113"/>
      <c r="J113"/>
      <c r="K113" t="s">
        <v>26</v>
      </c>
    </row>
    <row r="114" spans="1:11" hidden="1" x14ac:dyDescent="0.3">
      <c r="A114" t="s">
        <v>35</v>
      </c>
      <c r="B114" t="s">
        <v>26</v>
      </c>
      <c r="I114"/>
      <c r="J114"/>
      <c r="K114" t="s">
        <v>26</v>
      </c>
    </row>
    <row r="115" spans="1:11" hidden="1" x14ac:dyDescent="0.3">
      <c r="A115" t="s">
        <v>35</v>
      </c>
      <c r="B115" t="s">
        <v>26</v>
      </c>
      <c r="I115"/>
      <c r="J115"/>
      <c r="K115" t="s">
        <v>26</v>
      </c>
    </row>
    <row r="116" spans="1:11" hidden="1" x14ac:dyDescent="0.3">
      <c r="A116" t="s">
        <v>35</v>
      </c>
      <c r="B116" t="s">
        <v>26</v>
      </c>
      <c r="I116"/>
      <c r="J116"/>
      <c r="K116" t="s">
        <v>26</v>
      </c>
    </row>
    <row r="117" spans="1:11" hidden="1" x14ac:dyDescent="0.3">
      <c r="A117" t="s">
        <v>35</v>
      </c>
      <c r="B117" t="s">
        <v>26</v>
      </c>
      <c r="I117"/>
      <c r="J117"/>
      <c r="K117" t="s">
        <v>26</v>
      </c>
    </row>
    <row r="118" spans="1:11" hidden="1" x14ac:dyDescent="0.3">
      <c r="A118" t="s">
        <v>35</v>
      </c>
      <c r="B118" t="s">
        <v>26</v>
      </c>
      <c r="I118"/>
      <c r="J118"/>
      <c r="K118" t="s">
        <v>26</v>
      </c>
    </row>
    <row r="119" spans="1:11" hidden="1" x14ac:dyDescent="0.3">
      <c r="A119" t="s">
        <v>35</v>
      </c>
      <c r="B119" t="s">
        <v>26</v>
      </c>
      <c r="I119"/>
      <c r="J119"/>
      <c r="K119" t="s">
        <v>26</v>
      </c>
    </row>
    <row r="120" spans="1:11" hidden="1" x14ac:dyDescent="0.3">
      <c r="A120" t="s">
        <v>35</v>
      </c>
      <c r="B120" t="s">
        <v>26</v>
      </c>
      <c r="I120"/>
      <c r="J120"/>
      <c r="K120" t="s">
        <v>26</v>
      </c>
    </row>
    <row r="121" spans="1:11" hidden="1" x14ac:dyDescent="0.3">
      <c r="A121" t="s">
        <v>35</v>
      </c>
      <c r="B121" t="s">
        <v>26</v>
      </c>
      <c r="I121"/>
      <c r="J121"/>
      <c r="K121" t="s">
        <v>26</v>
      </c>
    </row>
    <row r="122" spans="1:11" hidden="1" x14ac:dyDescent="0.3">
      <c r="A122" t="s">
        <v>35</v>
      </c>
      <c r="B122" t="s">
        <v>26</v>
      </c>
      <c r="I122"/>
      <c r="J122"/>
      <c r="K122" t="s">
        <v>26</v>
      </c>
    </row>
    <row r="123" spans="1:11" hidden="1" x14ac:dyDescent="0.3">
      <c r="A123" t="s">
        <v>35</v>
      </c>
      <c r="B123" t="s">
        <v>26</v>
      </c>
      <c r="I123"/>
      <c r="J123"/>
      <c r="K123" t="s">
        <v>26</v>
      </c>
    </row>
    <row r="124" spans="1:11" hidden="1" x14ac:dyDescent="0.3">
      <c r="A124" t="s">
        <v>35</v>
      </c>
      <c r="B124" t="s">
        <v>26</v>
      </c>
      <c r="I124"/>
      <c r="J124"/>
      <c r="K124" t="s">
        <v>26</v>
      </c>
    </row>
    <row r="125" spans="1:11" hidden="1" x14ac:dyDescent="0.3">
      <c r="A125" t="s">
        <v>35</v>
      </c>
      <c r="B125" t="s">
        <v>26</v>
      </c>
      <c r="I125"/>
      <c r="J125"/>
      <c r="K125" t="s">
        <v>26</v>
      </c>
    </row>
    <row r="126" spans="1:11" hidden="1" x14ac:dyDescent="0.3">
      <c r="A126" t="s">
        <v>35</v>
      </c>
      <c r="B126" t="s">
        <v>26</v>
      </c>
      <c r="I126"/>
      <c r="J126"/>
      <c r="K126" t="s">
        <v>26</v>
      </c>
    </row>
    <row r="127" spans="1:11" hidden="1" x14ac:dyDescent="0.3">
      <c r="A127" t="s">
        <v>35</v>
      </c>
      <c r="B127" t="s">
        <v>26</v>
      </c>
      <c r="I127"/>
      <c r="J127"/>
      <c r="K127" t="s">
        <v>26</v>
      </c>
    </row>
    <row r="128" spans="1:11" hidden="1" x14ac:dyDescent="0.3">
      <c r="A128" t="s">
        <v>35</v>
      </c>
      <c r="B128" t="s">
        <v>26</v>
      </c>
      <c r="I128"/>
      <c r="J128"/>
      <c r="K128" t="s">
        <v>26</v>
      </c>
    </row>
    <row r="129" spans="1:11" hidden="1" x14ac:dyDescent="0.3">
      <c r="A129" t="s">
        <v>35</v>
      </c>
      <c r="B129" t="s">
        <v>26</v>
      </c>
      <c r="I129"/>
      <c r="J129"/>
      <c r="K129" t="s">
        <v>26</v>
      </c>
    </row>
    <row r="130" spans="1:11" hidden="1" x14ac:dyDescent="0.3">
      <c r="A130" t="s">
        <v>35</v>
      </c>
      <c r="B130" t="s">
        <v>26</v>
      </c>
      <c r="I130"/>
      <c r="J130"/>
      <c r="K130" t="s">
        <v>26</v>
      </c>
    </row>
    <row r="131" spans="1:11" hidden="1" x14ac:dyDescent="0.3">
      <c r="B131" t="s">
        <v>26</v>
      </c>
      <c r="I131"/>
      <c r="J131"/>
      <c r="K131" t="s">
        <v>26</v>
      </c>
    </row>
    <row r="132" spans="1:11" hidden="1" x14ac:dyDescent="0.3">
      <c r="B132" t="s">
        <v>26</v>
      </c>
      <c r="I132"/>
      <c r="J132"/>
      <c r="K132" t="s">
        <v>26</v>
      </c>
    </row>
    <row r="133" spans="1:11" hidden="1" x14ac:dyDescent="0.3">
      <c r="B133" t="s">
        <v>26</v>
      </c>
      <c r="I133"/>
      <c r="J133"/>
      <c r="K133" t="s">
        <v>26</v>
      </c>
    </row>
    <row r="134" spans="1:11" hidden="1" x14ac:dyDescent="0.3">
      <c r="B134" t="s">
        <v>26</v>
      </c>
      <c r="K134" s="18" t="s">
        <v>26</v>
      </c>
    </row>
    <row r="135" spans="1:11" hidden="1" x14ac:dyDescent="0.3">
      <c r="B135" t="s">
        <v>26</v>
      </c>
      <c r="K135" s="18" t="s">
        <v>26</v>
      </c>
    </row>
    <row r="136" spans="1:11" hidden="1" x14ac:dyDescent="0.3">
      <c r="A136" t="s">
        <v>43</v>
      </c>
      <c r="I136"/>
      <c r="J136"/>
      <c r="K136"/>
    </row>
    <row r="137" spans="1:11" hidden="1" x14ac:dyDescent="0.3">
      <c r="A137" t="s">
        <v>43</v>
      </c>
      <c r="I137"/>
      <c r="J137"/>
      <c r="K137"/>
    </row>
    <row r="138" spans="1:11" hidden="1" x14ac:dyDescent="0.3">
      <c r="A138" t="s">
        <v>43</v>
      </c>
    </row>
    <row r="139" spans="1:11" hidden="1" x14ac:dyDescent="0.3">
      <c r="A139" t="s">
        <v>43</v>
      </c>
    </row>
    <row r="140" spans="1:11" hidden="1" x14ac:dyDescent="0.3">
      <c r="A140" t="s">
        <v>43</v>
      </c>
    </row>
    <row r="141" spans="1:11" hidden="1" x14ac:dyDescent="0.3">
      <c r="A141" t="s">
        <v>43</v>
      </c>
    </row>
    <row r="142" spans="1:11" hidden="1" x14ac:dyDescent="0.3">
      <c r="A142" t="s">
        <v>43</v>
      </c>
    </row>
    <row r="143" spans="1:11" hidden="1" x14ac:dyDescent="0.3">
      <c r="A143" t="s">
        <v>43</v>
      </c>
    </row>
    <row r="144" spans="1:11" hidden="1" x14ac:dyDescent="0.3">
      <c r="A144" t="s">
        <v>43</v>
      </c>
      <c r="I144"/>
      <c r="J144"/>
      <c r="K144"/>
    </row>
    <row r="145" spans="1:11" hidden="1" x14ac:dyDescent="0.3">
      <c r="A145" t="s">
        <v>43</v>
      </c>
      <c r="I145"/>
      <c r="J145"/>
      <c r="K145"/>
    </row>
    <row r="146" spans="1:11" hidden="1" x14ac:dyDescent="0.3">
      <c r="A146" t="s">
        <v>43</v>
      </c>
      <c r="I146"/>
      <c r="J146"/>
      <c r="K146"/>
    </row>
    <row r="147" spans="1:11" hidden="1" x14ac:dyDescent="0.3">
      <c r="A147" t="s">
        <v>43</v>
      </c>
      <c r="I147"/>
      <c r="J147"/>
      <c r="K147"/>
    </row>
    <row r="148" spans="1:11" hidden="1" x14ac:dyDescent="0.3">
      <c r="A148" t="s">
        <v>43</v>
      </c>
    </row>
    <row r="149" spans="1:11" hidden="1" x14ac:dyDescent="0.3">
      <c r="A149" t="s">
        <v>43</v>
      </c>
    </row>
    <row r="150" spans="1:11" hidden="1" x14ac:dyDescent="0.3">
      <c r="A150" t="s">
        <v>43</v>
      </c>
      <c r="I150"/>
      <c r="J150"/>
      <c r="K150"/>
    </row>
    <row r="151" spans="1:11" hidden="1" x14ac:dyDescent="0.3">
      <c r="A151" t="s">
        <v>43</v>
      </c>
      <c r="I151"/>
      <c r="J151"/>
      <c r="K151"/>
    </row>
    <row r="152" spans="1:11" hidden="1" x14ac:dyDescent="0.3">
      <c r="I152"/>
      <c r="J152"/>
      <c r="K152"/>
    </row>
    <row r="153" spans="1:11" hidden="1" x14ac:dyDescent="0.3">
      <c r="A153" t="s">
        <v>43</v>
      </c>
      <c r="I153"/>
      <c r="J153"/>
      <c r="K153"/>
    </row>
    <row r="154" spans="1:11" hidden="1" x14ac:dyDescent="0.3">
      <c r="A154" t="s">
        <v>43</v>
      </c>
      <c r="I154"/>
      <c r="J154"/>
      <c r="K154"/>
    </row>
    <row r="155" spans="1:11" hidden="1" x14ac:dyDescent="0.3">
      <c r="A155" t="s">
        <v>43</v>
      </c>
      <c r="I155"/>
      <c r="J155"/>
      <c r="K155"/>
    </row>
    <row r="156" spans="1:11" hidden="1" x14ac:dyDescent="0.3">
      <c r="A156" t="s">
        <v>43</v>
      </c>
      <c r="I156"/>
      <c r="J156"/>
      <c r="K156"/>
    </row>
    <row r="157" spans="1:11" hidden="1" x14ac:dyDescent="0.3">
      <c r="A157" t="s">
        <v>43</v>
      </c>
      <c r="I157"/>
      <c r="J157"/>
      <c r="K157"/>
    </row>
    <row r="158" spans="1:11" hidden="1" x14ac:dyDescent="0.3">
      <c r="A158" t="s">
        <v>43</v>
      </c>
      <c r="I158"/>
      <c r="J158"/>
      <c r="K158"/>
    </row>
    <row r="159" spans="1:11" hidden="1" x14ac:dyDescent="0.3">
      <c r="A159" t="s">
        <v>43</v>
      </c>
      <c r="I159"/>
      <c r="J159"/>
      <c r="K159"/>
    </row>
    <row r="160" spans="1:11" hidden="1" x14ac:dyDescent="0.3">
      <c r="A160" t="s">
        <v>43</v>
      </c>
      <c r="I160"/>
      <c r="J160"/>
      <c r="K160"/>
    </row>
    <row r="161" spans="1:11" hidden="1" x14ac:dyDescent="0.3">
      <c r="A161" t="s">
        <v>43</v>
      </c>
      <c r="I161"/>
      <c r="J161"/>
      <c r="K161"/>
    </row>
    <row r="162" spans="1:11" hidden="1" x14ac:dyDescent="0.3">
      <c r="A162" t="s">
        <v>43</v>
      </c>
      <c r="I162"/>
      <c r="J162"/>
      <c r="K162"/>
    </row>
    <row r="163" spans="1:11" hidden="1" x14ac:dyDescent="0.3">
      <c r="A163" t="s">
        <v>43</v>
      </c>
      <c r="I163"/>
      <c r="J163"/>
      <c r="K163"/>
    </row>
    <row r="164" spans="1:11" hidden="1" x14ac:dyDescent="0.3">
      <c r="A164" t="s">
        <v>43</v>
      </c>
      <c r="I164"/>
      <c r="J164"/>
      <c r="K164"/>
    </row>
    <row r="165" spans="1:11" hidden="1" x14ac:dyDescent="0.3">
      <c r="A165" t="s">
        <v>43</v>
      </c>
      <c r="I165"/>
      <c r="J165"/>
      <c r="K165"/>
    </row>
    <row r="166" spans="1:11" hidden="1" x14ac:dyDescent="0.3">
      <c r="A166" t="s">
        <v>43</v>
      </c>
      <c r="I166"/>
      <c r="J166"/>
      <c r="K166"/>
    </row>
    <row r="167" spans="1:11" hidden="1" x14ac:dyDescent="0.3">
      <c r="A167" t="s">
        <v>43</v>
      </c>
      <c r="I167"/>
      <c r="J167"/>
      <c r="K167"/>
    </row>
    <row r="168" spans="1:11" hidden="1" x14ac:dyDescent="0.3">
      <c r="A168" t="s">
        <v>43</v>
      </c>
      <c r="I168"/>
      <c r="J168"/>
      <c r="K168"/>
    </row>
    <row r="169" spans="1:11" hidden="1" x14ac:dyDescent="0.3">
      <c r="A169" t="s">
        <v>43</v>
      </c>
      <c r="I169"/>
      <c r="J169"/>
      <c r="K169"/>
    </row>
    <row r="170" spans="1:11" hidden="1" x14ac:dyDescent="0.3">
      <c r="A170" t="s">
        <v>43</v>
      </c>
      <c r="I170"/>
      <c r="J170"/>
      <c r="K170"/>
    </row>
    <row r="171" spans="1:11" hidden="1" x14ac:dyDescent="0.3">
      <c r="A171" t="s">
        <v>43</v>
      </c>
      <c r="B171" t="s">
        <v>26</v>
      </c>
      <c r="I171"/>
      <c r="J171"/>
      <c r="K171" t="s">
        <v>26</v>
      </c>
    </row>
    <row r="172" spans="1:11" hidden="1" x14ac:dyDescent="0.3">
      <c r="A172" t="s">
        <v>43</v>
      </c>
      <c r="B172" t="s">
        <v>26</v>
      </c>
      <c r="I172"/>
      <c r="J172"/>
      <c r="K172" t="s">
        <v>26</v>
      </c>
    </row>
    <row r="173" spans="1:11" hidden="1" x14ac:dyDescent="0.3">
      <c r="A173" t="s">
        <v>43</v>
      </c>
      <c r="B173" t="s">
        <v>26</v>
      </c>
      <c r="I173"/>
      <c r="J173"/>
      <c r="K173" t="s">
        <v>26</v>
      </c>
    </row>
    <row r="174" spans="1:11" hidden="1" x14ac:dyDescent="0.3">
      <c r="A174" t="s">
        <v>43</v>
      </c>
      <c r="B174" t="s">
        <v>26</v>
      </c>
      <c r="I174"/>
      <c r="J174"/>
      <c r="K174" t="s">
        <v>26</v>
      </c>
    </row>
    <row r="175" spans="1:11" hidden="1" x14ac:dyDescent="0.3">
      <c r="A175" t="s">
        <v>43</v>
      </c>
      <c r="B175" t="s">
        <v>26</v>
      </c>
      <c r="I175"/>
      <c r="J175"/>
      <c r="K175" t="s">
        <v>26</v>
      </c>
    </row>
    <row r="176" spans="1:11" hidden="1" x14ac:dyDescent="0.3">
      <c r="A176" t="s">
        <v>43</v>
      </c>
      <c r="B176" t="s">
        <v>26</v>
      </c>
      <c r="I176"/>
      <c r="J176"/>
      <c r="K176" t="s">
        <v>26</v>
      </c>
    </row>
    <row r="177" spans="1:11" hidden="1" x14ac:dyDescent="0.3">
      <c r="A177" t="s">
        <v>43</v>
      </c>
      <c r="B177" t="s">
        <v>26</v>
      </c>
      <c r="I177"/>
      <c r="J177"/>
      <c r="K177" t="s">
        <v>26</v>
      </c>
    </row>
    <row r="178" spans="1:11" hidden="1" x14ac:dyDescent="0.3">
      <c r="A178" t="s">
        <v>43</v>
      </c>
      <c r="B178" t="s">
        <v>26</v>
      </c>
      <c r="I178"/>
      <c r="J178"/>
      <c r="K178" t="s">
        <v>26</v>
      </c>
    </row>
    <row r="179" spans="1:11" hidden="1" x14ac:dyDescent="0.3">
      <c r="A179" t="s">
        <v>43</v>
      </c>
      <c r="B179" t="s">
        <v>26</v>
      </c>
      <c r="I179"/>
      <c r="J179"/>
      <c r="K179" t="s">
        <v>26</v>
      </c>
    </row>
    <row r="180" spans="1:11" hidden="1" x14ac:dyDescent="0.3">
      <c r="A180" t="s">
        <v>43</v>
      </c>
      <c r="B180" t="s">
        <v>26</v>
      </c>
      <c r="I180"/>
      <c r="J180"/>
      <c r="K180" t="s">
        <v>26</v>
      </c>
    </row>
    <row r="181" spans="1:11" hidden="1" x14ac:dyDescent="0.3">
      <c r="A181" t="s">
        <v>43</v>
      </c>
      <c r="B181" t="s">
        <v>26</v>
      </c>
      <c r="I181"/>
      <c r="J181"/>
      <c r="K181" t="s">
        <v>26</v>
      </c>
    </row>
    <row r="182" spans="1:11" hidden="1" x14ac:dyDescent="0.3">
      <c r="A182" t="s">
        <v>43</v>
      </c>
      <c r="B182" t="s">
        <v>26</v>
      </c>
      <c r="I182"/>
      <c r="J182"/>
      <c r="K182" t="s">
        <v>26</v>
      </c>
    </row>
    <row r="183" spans="1:11" hidden="1" x14ac:dyDescent="0.3">
      <c r="A183" t="s">
        <v>43</v>
      </c>
      <c r="B183" t="s">
        <v>26</v>
      </c>
      <c r="I183"/>
      <c r="J183"/>
      <c r="K183" t="s">
        <v>26</v>
      </c>
    </row>
    <row r="184" spans="1:11" hidden="1" x14ac:dyDescent="0.3">
      <c r="A184" t="s">
        <v>43</v>
      </c>
      <c r="B184" t="s">
        <v>26</v>
      </c>
      <c r="I184"/>
      <c r="J184"/>
      <c r="K184" t="s">
        <v>26</v>
      </c>
    </row>
    <row r="185" spans="1:11" hidden="1" x14ac:dyDescent="0.3">
      <c r="A185" t="s">
        <v>43</v>
      </c>
      <c r="B185" t="s">
        <v>26</v>
      </c>
      <c r="I185"/>
      <c r="J185"/>
      <c r="K185" t="s">
        <v>26</v>
      </c>
    </row>
    <row r="186" spans="1:11" hidden="1" x14ac:dyDescent="0.3">
      <c r="A186" t="s">
        <v>43</v>
      </c>
      <c r="B186" t="s">
        <v>26</v>
      </c>
      <c r="I186"/>
      <c r="J186"/>
      <c r="K186" t="s">
        <v>26</v>
      </c>
    </row>
    <row r="187" spans="1:11" hidden="1" x14ac:dyDescent="0.3">
      <c r="A187" t="s">
        <v>43</v>
      </c>
      <c r="B187" t="s">
        <v>26</v>
      </c>
      <c r="I187"/>
      <c r="J187"/>
      <c r="K187" t="s">
        <v>26</v>
      </c>
    </row>
    <row r="188" spans="1:11" hidden="1" x14ac:dyDescent="0.3">
      <c r="A188" t="s">
        <v>43</v>
      </c>
      <c r="B188" t="s">
        <v>26</v>
      </c>
      <c r="I188"/>
      <c r="J188"/>
      <c r="K188" t="s">
        <v>26</v>
      </c>
    </row>
    <row r="189" spans="1:11" hidden="1" x14ac:dyDescent="0.3">
      <c r="A189" t="s">
        <v>43</v>
      </c>
      <c r="B189" t="s">
        <v>26</v>
      </c>
      <c r="I189"/>
      <c r="J189"/>
      <c r="K189" t="s">
        <v>26</v>
      </c>
    </row>
    <row r="190" spans="1:11" hidden="1" x14ac:dyDescent="0.3">
      <c r="A190" t="s">
        <v>43</v>
      </c>
      <c r="B190" t="s">
        <v>26</v>
      </c>
      <c r="I190"/>
      <c r="J190"/>
      <c r="K190" t="s">
        <v>26</v>
      </c>
    </row>
    <row r="191" spans="1:11" hidden="1" x14ac:dyDescent="0.3">
      <c r="A191" t="s">
        <v>43</v>
      </c>
      <c r="B191" t="s">
        <v>26</v>
      </c>
      <c r="I191"/>
      <c r="J191"/>
      <c r="K191" t="s">
        <v>26</v>
      </c>
    </row>
    <row r="192" spans="1:11" hidden="1" x14ac:dyDescent="0.3">
      <c r="A192" t="s">
        <v>43</v>
      </c>
      <c r="B192" t="s">
        <v>26</v>
      </c>
      <c r="I192"/>
      <c r="J192"/>
      <c r="K192" t="s">
        <v>26</v>
      </c>
    </row>
    <row r="193" spans="1:11" hidden="1" x14ac:dyDescent="0.3">
      <c r="A193" t="s">
        <v>43</v>
      </c>
      <c r="B193" t="s">
        <v>26</v>
      </c>
      <c r="I193"/>
      <c r="J193"/>
      <c r="K193" t="s">
        <v>26</v>
      </c>
    </row>
    <row r="194" spans="1:11" hidden="1" x14ac:dyDescent="0.3">
      <c r="A194" t="s">
        <v>43</v>
      </c>
      <c r="B194" t="s">
        <v>26</v>
      </c>
      <c r="I194"/>
      <c r="J194"/>
      <c r="K194" t="s">
        <v>26</v>
      </c>
    </row>
    <row r="195" spans="1:11" hidden="1" x14ac:dyDescent="0.3">
      <c r="A195" t="s">
        <v>43</v>
      </c>
      <c r="B195" t="s">
        <v>26</v>
      </c>
      <c r="I195"/>
      <c r="J195"/>
      <c r="K195" t="s">
        <v>26</v>
      </c>
    </row>
    <row r="196" spans="1:11" hidden="1" x14ac:dyDescent="0.3">
      <c r="A196" t="s">
        <v>43</v>
      </c>
      <c r="B196" t="s">
        <v>26</v>
      </c>
      <c r="I196"/>
      <c r="J196"/>
      <c r="K196" t="s">
        <v>26</v>
      </c>
    </row>
    <row r="197" spans="1:11" hidden="1" x14ac:dyDescent="0.3">
      <c r="A197" t="s">
        <v>43</v>
      </c>
      <c r="B197" t="s">
        <v>26</v>
      </c>
      <c r="I197"/>
      <c r="J197"/>
      <c r="K197" t="s">
        <v>26</v>
      </c>
    </row>
    <row r="198" spans="1:11" hidden="1" x14ac:dyDescent="0.3">
      <c r="A198" t="s">
        <v>43</v>
      </c>
      <c r="B198" t="s">
        <v>26</v>
      </c>
      <c r="I198"/>
      <c r="J198"/>
      <c r="K198" t="s">
        <v>26</v>
      </c>
    </row>
    <row r="199" spans="1:11" hidden="1" x14ac:dyDescent="0.3">
      <c r="A199" t="s">
        <v>43</v>
      </c>
      <c r="B199" t="s">
        <v>26</v>
      </c>
      <c r="I199"/>
      <c r="J199"/>
      <c r="K199" t="s">
        <v>26</v>
      </c>
    </row>
    <row r="200" spans="1:11" hidden="1" x14ac:dyDescent="0.3">
      <c r="A200" t="s">
        <v>43</v>
      </c>
      <c r="B200" t="s">
        <v>26</v>
      </c>
      <c r="I200"/>
      <c r="J200"/>
      <c r="K200" t="s">
        <v>26</v>
      </c>
    </row>
    <row r="201" spans="1:11" hidden="1" x14ac:dyDescent="0.3">
      <c r="A201" t="s">
        <v>43</v>
      </c>
      <c r="B201" t="s">
        <v>26</v>
      </c>
      <c r="I201"/>
      <c r="J201"/>
      <c r="K201" t="s">
        <v>26</v>
      </c>
    </row>
    <row r="202" spans="1:11" hidden="1" x14ac:dyDescent="0.3">
      <c r="B202" t="s">
        <v>26</v>
      </c>
      <c r="I202"/>
      <c r="J202"/>
      <c r="K202" t="s">
        <v>26</v>
      </c>
    </row>
    <row r="203" spans="1:11" hidden="1" x14ac:dyDescent="0.3">
      <c r="B203" t="s">
        <v>26</v>
      </c>
      <c r="K203" s="18" t="s">
        <v>26</v>
      </c>
    </row>
    <row r="204" spans="1:11" hidden="1" x14ac:dyDescent="0.3">
      <c r="A204" t="s">
        <v>45</v>
      </c>
    </row>
    <row r="205" spans="1:11" hidden="1" x14ac:dyDescent="0.3">
      <c r="A205" t="s">
        <v>45</v>
      </c>
    </row>
    <row r="206" spans="1:11" hidden="1" x14ac:dyDescent="0.3">
      <c r="A206" t="s">
        <v>45</v>
      </c>
    </row>
    <row r="207" spans="1:11" hidden="1" x14ac:dyDescent="0.3">
      <c r="A207" t="s">
        <v>45</v>
      </c>
    </row>
    <row r="208" spans="1:11" hidden="1" x14ac:dyDescent="0.3">
      <c r="A208" t="s">
        <v>45</v>
      </c>
    </row>
    <row r="209" spans="1:11" hidden="1" x14ac:dyDescent="0.3">
      <c r="A209" t="s">
        <v>45</v>
      </c>
    </row>
    <row r="210" spans="1:11" hidden="1" x14ac:dyDescent="0.3">
      <c r="A210" t="s">
        <v>45</v>
      </c>
    </row>
    <row r="211" spans="1:11" hidden="1" x14ac:dyDescent="0.3">
      <c r="A211" t="s">
        <v>45</v>
      </c>
    </row>
    <row r="212" spans="1:11" hidden="1" x14ac:dyDescent="0.3">
      <c r="A212" t="s">
        <v>45</v>
      </c>
    </row>
    <row r="213" spans="1:11" hidden="1" x14ac:dyDescent="0.3">
      <c r="A213" t="s">
        <v>45</v>
      </c>
    </row>
    <row r="214" spans="1:11" hidden="1" x14ac:dyDescent="0.3">
      <c r="A214" t="s">
        <v>45</v>
      </c>
    </row>
    <row r="215" spans="1:11" hidden="1" x14ac:dyDescent="0.3">
      <c r="A215" t="s">
        <v>45</v>
      </c>
    </row>
    <row r="216" spans="1:11" hidden="1" x14ac:dyDescent="0.3">
      <c r="A216" t="s">
        <v>45</v>
      </c>
    </row>
    <row r="217" spans="1:11" hidden="1" x14ac:dyDescent="0.3">
      <c r="A217" t="s">
        <v>45</v>
      </c>
    </row>
    <row r="218" spans="1:11" hidden="1" x14ac:dyDescent="0.3">
      <c r="A218" t="s">
        <v>45</v>
      </c>
    </row>
    <row r="219" spans="1:11" hidden="1" x14ac:dyDescent="0.3">
      <c r="A219" t="s">
        <v>45</v>
      </c>
    </row>
    <row r="220" spans="1:11" hidden="1" x14ac:dyDescent="0.3"/>
    <row r="221" spans="1:11" hidden="1" x14ac:dyDescent="0.3">
      <c r="A221" t="s">
        <v>45</v>
      </c>
      <c r="I221"/>
      <c r="J221"/>
      <c r="K221"/>
    </row>
    <row r="222" spans="1:11" hidden="1" x14ac:dyDescent="0.3">
      <c r="A222" t="s">
        <v>45</v>
      </c>
      <c r="I222"/>
      <c r="J222"/>
      <c r="K222"/>
    </row>
    <row r="223" spans="1:11" hidden="1" x14ac:dyDescent="0.3">
      <c r="A223" t="s">
        <v>45</v>
      </c>
      <c r="I223"/>
      <c r="J223"/>
      <c r="K223"/>
    </row>
    <row r="224" spans="1:11" hidden="1" x14ac:dyDescent="0.3">
      <c r="A224" t="s">
        <v>45</v>
      </c>
      <c r="I224"/>
      <c r="J224"/>
      <c r="K224"/>
    </row>
    <row r="225" spans="1:11" hidden="1" x14ac:dyDescent="0.3">
      <c r="A225" t="s">
        <v>45</v>
      </c>
      <c r="I225"/>
      <c r="J225"/>
      <c r="K225"/>
    </row>
    <row r="226" spans="1:11" hidden="1" x14ac:dyDescent="0.3">
      <c r="A226" t="s">
        <v>45</v>
      </c>
      <c r="I226"/>
      <c r="J226"/>
      <c r="K226"/>
    </row>
    <row r="227" spans="1:11" hidden="1" x14ac:dyDescent="0.3">
      <c r="A227" t="s">
        <v>45</v>
      </c>
      <c r="I227"/>
      <c r="J227"/>
      <c r="K227"/>
    </row>
    <row r="228" spans="1:11" hidden="1" x14ac:dyDescent="0.3">
      <c r="A228" t="s">
        <v>45</v>
      </c>
      <c r="I228"/>
      <c r="J228"/>
      <c r="K228"/>
    </row>
    <row r="229" spans="1:11" hidden="1" x14ac:dyDescent="0.3">
      <c r="A229" t="s">
        <v>45</v>
      </c>
      <c r="I229"/>
      <c r="J229"/>
      <c r="K229"/>
    </row>
    <row r="230" spans="1:11" hidden="1" x14ac:dyDescent="0.3">
      <c r="A230" t="s">
        <v>45</v>
      </c>
      <c r="I230"/>
      <c r="J230"/>
      <c r="K230"/>
    </row>
    <row r="231" spans="1:11" hidden="1" x14ac:dyDescent="0.3">
      <c r="A231" t="s">
        <v>45</v>
      </c>
      <c r="I231"/>
      <c r="J231"/>
      <c r="K231"/>
    </row>
    <row r="232" spans="1:11" hidden="1" x14ac:dyDescent="0.3">
      <c r="A232" t="s">
        <v>45</v>
      </c>
      <c r="I232"/>
      <c r="J232"/>
      <c r="K232"/>
    </row>
    <row r="233" spans="1:11" hidden="1" x14ac:dyDescent="0.3">
      <c r="A233" t="s">
        <v>45</v>
      </c>
      <c r="I233"/>
      <c r="J233"/>
      <c r="K233"/>
    </row>
    <row r="234" spans="1:11" hidden="1" x14ac:dyDescent="0.3">
      <c r="A234" t="s">
        <v>45</v>
      </c>
      <c r="I234"/>
      <c r="J234"/>
      <c r="K234"/>
    </row>
    <row r="235" spans="1:11" hidden="1" x14ac:dyDescent="0.3">
      <c r="A235" t="s">
        <v>45</v>
      </c>
      <c r="I235"/>
      <c r="J235"/>
      <c r="K235"/>
    </row>
    <row r="236" spans="1:11" hidden="1" x14ac:dyDescent="0.3">
      <c r="A236" t="s">
        <v>45</v>
      </c>
      <c r="I236"/>
      <c r="J236"/>
      <c r="K236"/>
    </row>
    <row r="237" spans="1:11" hidden="1" x14ac:dyDescent="0.3">
      <c r="A237" t="s">
        <v>45</v>
      </c>
      <c r="I237"/>
      <c r="J237"/>
      <c r="K237"/>
    </row>
    <row r="238" spans="1:11" hidden="1" x14ac:dyDescent="0.3">
      <c r="A238" t="s">
        <v>45</v>
      </c>
      <c r="I238"/>
      <c r="J238"/>
      <c r="K238"/>
    </row>
    <row r="239" spans="1:11" hidden="1" x14ac:dyDescent="0.3">
      <c r="A239" t="s">
        <v>45</v>
      </c>
      <c r="I239"/>
      <c r="J239"/>
      <c r="K239"/>
    </row>
    <row r="240" spans="1:11" hidden="1" x14ac:dyDescent="0.3">
      <c r="A240" t="s">
        <v>45</v>
      </c>
      <c r="I240"/>
      <c r="J240"/>
      <c r="K240"/>
    </row>
    <row r="241" spans="1:11" hidden="1" x14ac:dyDescent="0.3">
      <c r="A241" t="s">
        <v>45</v>
      </c>
      <c r="I241"/>
      <c r="J241"/>
      <c r="K241"/>
    </row>
    <row r="242" spans="1:11" hidden="1" x14ac:dyDescent="0.3">
      <c r="A242" t="s">
        <v>45</v>
      </c>
      <c r="I242"/>
      <c r="J242"/>
      <c r="K242"/>
    </row>
    <row r="243" spans="1:11" hidden="1" x14ac:dyDescent="0.3">
      <c r="A243" t="s">
        <v>45</v>
      </c>
      <c r="I243"/>
      <c r="J243"/>
      <c r="K243"/>
    </row>
    <row r="244" spans="1:11" hidden="1" x14ac:dyDescent="0.3">
      <c r="A244" t="s">
        <v>45</v>
      </c>
      <c r="I244"/>
      <c r="J244"/>
      <c r="K244"/>
    </row>
    <row r="245" spans="1:11" hidden="1" x14ac:dyDescent="0.3">
      <c r="A245" t="s">
        <v>45</v>
      </c>
      <c r="I245"/>
      <c r="J245"/>
      <c r="K245"/>
    </row>
    <row r="246" spans="1:11" hidden="1" x14ac:dyDescent="0.3">
      <c r="A246" t="s">
        <v>45</v>
      </c>
      <c r="I246"/>
      <c r="J246"/>
      <c r="K246"/>
    </row>
    <row r="247" spans="1:11" hidden="1" x14ac:dyDescent="0.3">
      <c r="A247" t="s">
        <v>45</v>
      </c>
      <c r="I247"/>
      <c r="J247"/>
      <c r="K247"/>
    </row>
    <row r="248" spans="1:11" hidden="1" x14ac:dyDescent="0.3">
      <c r="A248" t="s">
        <v>45</v>
      </c>
      <c r="I248"/>
      <c r="J248"/>
      <c r="K248"/>
    </row>
    <row r="249" spans="1:11" hidden="1" x14ac:dyDescent="0.3">
      <c r="A249" t="s">
        <v>45</v>
      </c>
      <c r="I249"/>
      <c r="J249"/>
      <c r="K249"/>
    </row>
    <row r="250" spans="1:11" hidden="1" x14ac:dyDescent="0.3">
      <c r="A250" t="s">
        <v>45</v>
      </c>
      <c r="I250"/>
      <c r="J250"/>
      <c r="K250"/>
    </row>
    <row r="251" spans="1:11" hidden="1" x14ac:dyDescent="0.3">
      <c r="A251" t="s">
        <v>45</v>
      </c>
      <c r="I251"/>
      <c r="J251"/>
      <c r="K251"/>
    </row>
    <row r="252" spans="1:11" hidden="1" x14ac:dyDescent="0.3">
      <c r="A252" t="s">
        <v>45</v>
      </c>
      <c r="I252"/>
      <c r="J252"/>
      <c r="K252"/>
    </row>
    <row r="253" spans="1:11" hidden="1" x14ac:dyDescent="0.3">
      <c r="A253" t="s">
        <v>45</v>
      </c>
      <c r="I253"/>
      <c r="J253"/>
      <c r="K253"/>
    </row>
    <row r="254" spans="1:11" hidden="1" x14ac:dyDescent="0.3">
      <c r="A254" t="s">
        <v>45</v>
      </c>
      <c r="I254"/>
      <c r="J254"/>
      <c r="K254"/>
    </row>
    <row r="255" spans="1:11" hidden="1" x14ac:dyDescent="0.3">
      <c r="A255" t="s">
        <v>45</v>
      </c>
      <c r="I255"/>
      <c r="J255"/>
      <c r="K255"/>
    </row>
    <row r="256" spans="1:11" hidden="1" x14ac:dyDescent="0.3">
      <c r="A256" t="s">
        <v>45</v>
      </c>
      <c r="I256"/>
      <c r="J256"/>
      <c r="K256"/>
    </row>
    <row r="257" spans="1:11" hidden="1" x14ac:dyDescent="0.3">
      <c r="A257" t="s">
        <v>45</v>
      </c>
      <c r="I257"/>
      <c r="J257"/>
      <c r="K257"/>
    </row>
    <row r="258" spans="1:11" hidden="1" x14ac:dyDescent="0.3">
      <c r="A258" t="s">
        <v>45</v>
      </c>
      <c r="I258"/>
      <c r="J258"/>
      <c r="K258"/>
    </row>
    <row r="259" spans="1:11" hidden="1" x14ac:dyDescent="0.3">
      <c r="A259" t="s">
        <v>45</v>
      </c>
      <c r="I259"/>
      <c r="J259"/>
      <c r="K259"/>
    </row>
    <row r="260" spans="1:11" hidden="1" x14ac:dyDescent="0.3">
      <c r="A260" t="s">
        <v>45</v>
      </c>
      <c r="I260"/>
      <c r="J260"/>
      <c r="K260"/>
    </row>
    <row r="261" spans="1:11" hidden="1" x14ac:dyDescent="0.3">
      <c r="A261" t="s">
        <v>45</v>
      </c>
      <c r="I261"/>
      <c r="J261"/>
      <c r="K261"/>
    </row>
    <row r="262" spans="1:11" hidden="1" x14ac:dyDescent="0.3">
      <c r="A262" t="s">
        <v>45</v>
      </c>
      <c r="I262"/>
      <c r="J262"/>
      <c r="K262"/>
    </row>
    <row r="263" spans="1:11" hidden="1" x14ac:dyDescent="0.3">
      <c r="A263" t="s">
        <v>45</v>
      </c>
      <c r="I263"/>
      <c r="J263"/>
      <c r="K263"/>
    </row>
    <row r="264" spans="1:11" hidden="1" x14ac:dyDescent="0.3">
      <c r="A264" t="s">
        <v>45</v>
      </c>
      <c r="I264"/>
      <c r="J264"/>
      <c r="K264"/>
    </row>
    <row r="265" spans="1:11" hidden="1" x14ac:dyDescent="0.3">
      <c r="A265" t="s">
        <v>45</v>
      </c>
      <c r="I265"/>
      <c r="J265"/>
      <c r="K265"/>
    </row>
    <row r="266" spans="1:11" hidden="1" x14ac:dyDescent="0.3">
      <c r="A266" t="s">
        <v>45</v>
      </c>
      <c r="I266"/>
      <c r="J266"/>
      <c r="K266"/>
    </row>
    <row r="267" spans="1:11" hidden="1" x14ac:dyDescent="0.3">
      <c r="A267" t="s">
        <v>45</v>
      </c>
      <c r="I267"/>
      <c r="J267"/>
      <c r="K267"/>
    </row>
    <row r="268" spans="1:11" hidden="1" x14ac:dyDescent="0.3">
      <c r="A268" t="s">
        <v>45</v>
      </c>
      <c r="I268"/>
      <c r="J268"/>
      <c r="K268"/>
    </row>
    <row r="269" spans="1:11" hidden="1" x14ac:dyDescent="0.3">
      <c r="A269" t="s">
        <v>45</v>
      </c>
      <c r="I269"/>
      <c r="J269"/>
      <c r="K269"/>
    </row>
    <row r="270" spans="1:11" hidden="1" x14ac:dyDescent="0.3">
      <c r="I270"/>
      <c r="J270"/>
      <c r="K270"/>
    </row>
    <row r="271" spans="1:11" hidden="1" x14ac:dyDescent="0.3">
      <c r="I271"/>
      <c r="J271"/>
      <c r="K271"/>
    </row>
    <row r="272" spans="1:11" hidden="1" x14ac:dyDescent="0.3">
      <c r="A272" t="s">
        <v>46</v>
      </c>
      <c r="I272"/>
      <c r="J272"/>
      <c r="K272"/>
    </row>
    <row r="273" spans="1:11" hidden="1" x14ac:dyDescent="0.3">
      <c r="A273" t="s">
        <v>46</v>
      </c>
      <c r="I273"/>
      <c r="J273"/>
      <c r="K273"/>
    </row>
    <row r="274" spans="1:11" hidden="1" x14ac:dyDescent="0.3">
      <c r="A274" t="s">
        <v>46</v>
      </c>
      <c r="I274"/>
      <c r="J274"/>
      <c r="K274"/>
    </row>
    <row r="275" spans="1:11" hidden="1" x14ac:dyDescent="0.3">
      <c r="A275" t="s">
        <v>46</v>
      </c>
      <c r="I275"/>
      <c r="J275"/>
      <c r="K275"/>
    </row>
    <row r="276" spans="1:11" hidden="1" x14ac:dyDescent="0.3">
      <c r="A276" t="s">
        <v>46</v>
      </c>
      <c r="I276"/>
      <c r="J276"/>
      <c r="K276"/>
    </row>
    <row r="277" spans="1:11" hidden="1" x14ac:dyDescent="0.3">
      <c r="A277" t="s">
        <v>46</v>
      </c>
      <c r="I277"/>
      <c r="J277"/>
      <c r="K277"/>
    </row>
    <row r="278" spans="1:11" hidden="1" x14ac:dyDescent="0.3">
      <c r="A278" t="s">
        <v>46</v>
      </c>
      <c r="I278"/>
      <c r="J278"/>
      <c r="K278"/>
    </row>
    <row r="279" spans="1:11" hidden="1" x14ac:dyDescent="0.3">
      <c r="A279" t="s">
        <v>46</v>
      </c>
      <c r="I279"/>
      <c r="J279"/>
      <c r="K279"/>
    </row>
    <row r="280" spans="1:11" hidden="1" x14ac:dyDescent="0.3">
      <c r="A280" t="s">
        <v>46</v>
      </c>
      <c r="I280"/>
      <c r="J280"/>
      <c r="K280"/>
    </row>
    <row r="281" spans="1:11" hidden="1" x14ac:dyDescent="0.3">
      <c r="A281" t="s">
        <v>46</v>
      </c>
      <c r="I281"/>
      <c r="J281"/>
      <c r="K281"/>
    </row>
    <row r="282" spans="1:11" hidden="1" x14ac:dyDescent="0.3">
      <c r="A282" t="s">
        <v>46</v>
      </c>
      <c r="I282"/>
      <c r="J282"/>
      <c r="K282"/>
    </row>
    <row r="283" spans="1:11" hidden="1" x14ac:dyDescent="0.3">
      <c r="A283" t="s">
        <v>46</v>
      </c>
      <c r="I283"/>
      <c r="J283"/>
      <c r="K283"/>
    </row>
    <row r="284" spans="1:11" hidden="1" x14ac:dyDescent="0.3">
      <c r="A284" t="s">
        <v>46</v>
      </c>
      <c r="I284"/>
      <c r="J284"/>
      <c r="K284"/>
    </row>
    <row r="285" spans="1:11" hidden="1" x14ac:dyDescent="0.3">
      <c r="A285" t="s">
        <v>46</v>
      </c>
      <c r="I285"/>
      <c r="J285"/>
      <c r="K285"/>
    </row>
    <row r="286" spans="1:11" hidden="1" x14ac:dyDescent="0.3">
      <c r="A286" t="s">
        <v>46</v>
      </c>
      <c r="I286"/>
      <c r="J286"/>
      <c r="K286"/>
    </row>
    <row r="287" spans="1:11" hidden="1" x14ac:dyDescent="0.3">
      <c r="A287" t="s">
        <v>46</v>
      </c>
      <c r="I287"/>
      <c r="J287"/>
      <c r="K287"/>
    </row>
    <row r="288" spans="1:11" hidden="1" x14ac:dyDescent="0.3">
      <c r="I288"/>
      <c r="J288"/>
      <c r="K288"/>
    </row>
    <row r="289" spans="1:11" hidden="1" x14ac:dyDescent="0.3">
      <c r="A289" t="s">
        <v>46</v>
      </c>
      <c r="I289"/>
      <c r="J289"/>
      <c r="K289"/>
    </row>
    <row r="290" spans="1:11" hidden="1" x14ac:dyDescent="0.3">
      <c r="A290" t="s">
        <v>46</v>
      </c>
      <c r="I290"/>
      <c r="J290"/>
      <c r="K290"/>
    </row>
    <row r="291" spans="1:11" hidden="1" x14ac:dyDescent="0.3">
      <c r="A291" t="s">
        <v>46</v>
      </c>
      <c r="I291"/>
      <c r="J291"/>
      <c r="K291"/>
    </row>
    <row r="292" spans="1:11" hidden="1" x14ac:dyDescent="0.3">
      <c r="A292" t="s">
        <v>46</v>
      </c>
      <c r="I292"/>
      <c r="J292"/>
      <c r="K292"/>
    </row>
    <row r="293" spans="1:11" hidden="1" x14ac:dyDescent="0.3">
      <c r="A293" t="s">
        <v>46</v>
      </c>
      <c r="I293"/>
      <c r="J293"/>
      <c r="K293"/>
    </row>
    <row r="294" spans="1:11" hidden="1" x14ac:dyDescent="0.3">
      <c r="A294" t="s">
        <v>46</v>
      </c>
      <c r="I294"/>
      <c r="J294"/>
      <c r="K294"/>
    </row>
    <row r="295" spans="1:11" hidden="1" x14ac:dyDescent="0.3">
      <c r="A295" t="s">
        <v>46</v>
      </c>
      <c r="I295"/>
      <c r="J295"/>
      <c r="K295"/>
    </row>
    <row r="296" spans="1:11" hidden="1" x14ac:dyDescent="0.3">
      <c r="A296" t="s">
        <v>46</v>
      </c>
      <c r="I296"/>
      <c r="J296"/>
      <c r="K296"/>
    </row>
    <row r="297" spans="1:11" hidden="1" x14ac:dyDescent="0.3">
      <c r="A297" t="s">
        <v>46</v>
      </c>
      <c r="I297"/>
      <c r="J297"/>
      <c r="K297"/>
    </row>
    <row r="298" spans="1:11" hidden="1" x14ac:dyDescent="0.3">
      <c r="A298" t="s">
        <v>46</v>
      </c>
      <c r="I298"/>
      <c r="J298"/>
      <c r="K298"/>
    </row>
    <row r="299" spans="1:11" hidden="1" x14ac:dyDescent="0.3">
      <c r="A299" t="s">
        <v>46</v>
      </c>
      <c r="I299"/>
      <c r="J299"/>
      <c r="K299"/>
    </row>
    <row r="300" spans="1:11" hidden="1" x14ac:dyDescent="0.3">
      <c r="A300" t="s">
        <v>46</v>
      </c>
      <c r="I300"/>
      <c r="J300"/>
      <c r="K300"/>
    </row>
    <row r="301" spans="1:11" hidden="1" x14ac:dyDescent="0.3">
      <c r="A301" t="s">
        <v>46</v>
      </c>
      <c r="I301"/>
      <c r="J301"/>
      <c r="K301"/>
    </row>
    <row r="302" spans="1:11" hidden="1" x14ac:dyDescent="0.3">
      <c r="A302" t="s">
        <v>46</v>
      </c>
      <c r="I302"/>
      <c r="J302"/>
      <c r="K302"/>
    </row>
    <row r="303" spans="1:11" hidden="1" x14ac:dyDescent="0.3">
      <c r="A303" t="s">
        <v>46</v>
      </c>
      <c r="I303"/>
      <c r="J303"/>
      <c r="K303"/>
    </row>
    <row r="304" spans="1:11" hidden="1" x14ac:dyDescent="0.3">
      <c r="A304" t="s">
        <v>46</v>
      </c>
      <c r="I304"/>
      <c r="J304"/>
      <c r="K304"/>
    </row>
    <row r="305" spans="1:11" hidden="1" x14ac:dyDescent="0.3">
      <c r="A305" t="s">
        <v>46</v>
      </c>
      <c r="I305"/>
      <c r="J305"/>
      <c r="K305"/>
    </row>
    <row r="306" spans="1:11" hidden="1" x14ac:dyDescent="0.3">
      <c r="A306" t="s">
        <v>46</v>
      </c>
      <c r="B306" t="s">
        <v>26</v>
      </c>
      <c r="I306"/>
      <c r="J306"/>
      <c r="K306" t="s">
        <v>26</v>
      </c>
    </row>
    <row r="307" spans="1:11" hidden="1" x14ac:dyDescent="0.3">
      <c r="A307" t="s">
        <v>46</v>
      </c>
      <c r="B307" t="s">
        <v>26</v>
      </c>
      <c r="I307"/>
      <c r="J307"/>
      <c r="K307" t="s">
        <v>26</v>
      </c>
    </row>
    <row r="308" spans="1:11" hidden="1" x14ac:dyDescent="0.3">
      <c r="A308" t="s">
        <v>46</v>
      </c>
      <c r="B308" t="s">
        <v>26</v>
      </c>
      <c r="I308"/>
      <c r="J308"/>
      <c r="K308" t="s">
        <v>26</v>
      </c>
    </row>
    <row r="309" spans="1:11" hidden="1" x14ac:dyDescent="0.3">
      <c r="A309" t="s">
        <v>46</v>
      </c>
      <c r="B309" t="s">
        <v>26</v>
      </c>
      <c r="I309"/>
      <c r="J309"/>
      <c r="K309" t="s">
        <v>26</v>
      </c>
    </row>
    <row r="310" spans="1:11" hidden="1" x14ac:dyDescent="0.3">
      <c r="A310" t="s">
        <v>46</v>
      </c>
      <c r="B310" t="s">
        <v>26</v>
      </c>
      <c r="I310"/>
      <c r="J310"/>
      <c r="K310" t="s">
        <v>26</v>
      </c>
    </row>
    <row r="311" spans="1:11" hidden="1" x14ac:dyDescent="0.3">
      <c r="A311" t="s">
        <v>46</v>
      </c>
      <c r="B311" t="s">
        <v>26</v>
      </c>
      <c r="I311"/>
      <c r="J311"/>
      <c r="K311" t="s">
        <v>26</v>
      </c>
    </row>
    <row r="312" spans="1:11" hidden="1" x14ac:dyDescent="0.3">
      <c r="A312" t="s">
        <v>46</v>
      </c>
      <c r="B312" t="s">
        <v>26</v>
      </c>
      <c r="I312"/>
      <c r="J312"/>
      <c r="K312" t="s">
        <v>26</v>
      </c>
    </row>
    <row r="313" spans="1:11" hidden="1" x14ac:dyDescent="0.3">
      <c r="A313" t="s">
        <v>46</v>
      </c>
      <c r="B313" t="s">
        <v>26</v>
      </c>
      <c r="I313"/>
      <c r="J313"/>
      <c r="K313" t="s">
        <v>26</v>
      </c>
    </row>
    <row r="314" spans="1:11" hidden="1" x14ac:dyDescent="0.3">
      <c r="A314" t="s">
        <v>46</v>
      </c>
      <c r="B314" t="s">
        <v>26</v>
      </c>
      <c r="I314"/>
      <c r="J314"/>
      <c r="K314" t="s">
        <v>26</v>
      </c>
    </row>
    <row r="315" spans="1:11" hidden="1" x14ac:dyDescent="0.3">
      <c r="A315" t="s">
        <v>46</v>
      </c>
      <c r="B315" t="s">
        <v>26</v>
      </c>
      <c r="I315"/>
      <c r="J315"/>
      <c r="K315" t="s">
        <v>26</v>
      </c>
    </row>
    <row r="316" spans="1:11" hidden="1" x14ac:dyDescent="0.3">
      <c r="A316" t="s">
        <v>46</v>
      </c>
      <c r="B316" t="s">
        <v>26</v>
      </c>
      <c r="I316"/>
      <c r="J316"/>
      <c r="K316" t="s">
        <v>26</v>
      </c>
    </row>
    <row r="317" spans="1:11" hidden="1" x14ac:dyDescent="0.3">
      <c r="A317" t="s">
        <v>46</v>
      </c>
      <c r="B317" t="s">
        <v>26</v>
      </c>
      <c r="I317"/>
      <c r="J317"/>
      <c r="K317" t="s">
        <v>26</v>
      </c>
    </row>
    <row r="318" spans="1:11" hidden="1" x14ac:dyDescent="0.3">
      <c r="A318" t="s">
        <v>46</v>
      </c>
      <c r="B318" t="s">
        <v>26</v>
      </c>
      <c r="I318"/>
      <c r="J318"/>
      <c r="K318" t="s">
        <v>26</v>
      </c>
    </row>
    <row r="319" spans="1:11" hidden="1" x14ac:dyDescent="0.3">
      <c r="A319" t="s">
        <v>46</v>
      </c>
      <c r="B319" t="s">
        <v>26</v>
      </c>
      <c r="I319"/>
      <c r="J319"/>
      <c r="K319" t="s">
        <v>26</v>
      </c>
    </row>
    <row r="320" spans="1:11" hidden="1" x14ac:dyDescent="0.3">
      <c r="A320" t="s">
        <v>46</v>
      </c>
      <c r="B320" t="s">
        <v>26</v>
      </c>
      <c r="I320"/>
      <c r="J320"/>
      <c r="K320" t="s">
        <v>26</v>
      </c>
    </row>
    <row r="321" spans="1:11" hidden="1" x14ac:dyDescent="0.3">
      <c r="A321" t="s">
        <v>46</v>
      </c>
      <c r="B321" t="s">
        <v>26</v>
      </c>
      <c r="I321"/>
      <c r="J321"/>
      <c r="K321" t="s">
        <v>26</v>
      </c>
    </row>
    <row r="322" spans="1:11" hidden="1" x14ac:dyDescent="0.3">
      <c r="A322" t="s">
        <v>46</v>
      </c>
      <c r="B322" t="s">
        <v>26</v>
      </c>
      <c r="I322"/>
      <c r="J322"/>
      <c r="K322" t="s">
        <v>26</v>
      </c>
    </row>
    <row r="323" spans="1:11" hidden="1" x14ac:dyDescent="0.3">
      <c r="A323" t="s">
        <v>46</v>
      </c>
      <c r="B323" t="s">
        <v>26</v>
      </c>
      <c r="I323"/>
      <c r="J323"/>
      <c r="K323" t="s">
        <v>26</v>
      </c>
    </row>
    <row r="324" spans="1:11" hidden="1" x14ac:dyDescent="0.3">
      <c r="A324" t="s">
        <v>46</v>
      </c>
      <c r="B324" t="s">
        <v>26</v>
      </c>
      <c r="I324"/>
      <c r="J324"/>
      <c r="K324" t="s">
        <v>26</v>
      </c>
    </row>
    <row r="325" spans="1:11" hidden="1" x14ac:dyDescent="0.3">
      <c r="A325" t="s">
        <v>46</v>
      </c>
      <c r="B325" t="s">
        <v>26</v>
      </c>
      <c r="I325"/>
      <c r="J325"/>
      <c r="K325" t="s">
        <v>26</v>
      </c>
    </row>
    <row r="326" spans="1:11" hidden="1" x14ac:dyDescent="0.3">
      <c r="A326" t="s">
        <v>46</v>
      </c>
      <c r="B326" t="s">
        <v>26</v>
      </c>
      <c r="I326"/>
      <c r="J326"/>
      <c r="K326" t="s">
        <v>26</v>
      </c>
    </row>
    <row r="327" spans="1:11" hidden="1" x14ac:dyDescent="0.3">
      <c r="A327" t="s">
        <v>46</v>
      </c>
      <c r="B327" t="s">
        <v>26</v>
      </c>
      <c r="I327"/>
      <c r="J327"/>
      <c r="K327" t="s">
        <v>26</v>
      </c>
    </row>
    <row r="328" spans="1:11" hidden="1" x14ac:dyDescent="0.3">
      <c r="A328" t="s">
        <v>46</v>
      </c>
      <c r="B328" t="s">
        <v>26</v>
      </c>
      <c r="I328"/>
      <c r="J328"/>
      <c r="K328" t="s">
        <v>26</v>
      </c>
    </row>
    <row r="329" spans="1:11" hidden="1" x14ac:dyDescent="0.3">
      <c r="A329" t="s">
        <v>46</v>
      </c>
      <c r="B329" t="s">
        <v>26</v>
      </c>
      <c r="I329"/>
      <c r="J329"/>
      <c r="K329" t="s">
        <v>26</v>
      </c>
    </row>
    <row r="330" spans="1:11" hidden="1" x14ac:dyDescent="0.3">
      <c r="A330" t="s">
        <v>46</v>
      </c>
      <c r="B330" t="s">
        <v>26</v>
      </c>
      <c r="I330"/>
      <c r="J330"/>
      <c r="K330" t="s">
        <v>26</v>
      </c>
    </row>
    <row r="331" spans="1:11" hidden="1" x14ac:dyDescent="0.3">
      <c r="A331" t="s">
        <v>46</v>
      </c>
      <c r="B331" t="s">
        <v>26</v>
      </c>
      <c r="I331"/>
      <c r="J331"/>
      <c r="K331" t="s">
        <v>26</v>
      </c>
    </row>
    <row r="332" spans="1:11" hidden="1" x14ac:dyDescent="0.3">
      <c r="A332" t="s">
        <v>46</v>
      </c>
      <c r="B332" t="s">
        <v>26</v>
      </c>
      <c r="I332"/>
      <c r="J332"/>
      <c r="K332" t="s">
        <v>26</v>
      </c>
    </row>
    <row r="333" spans="1:11" hidden="1" x14ac:dyDescent="0.3">
      <c r="A333" t="s">
        <v>46</v>
      </c>
      <c r="B333" t="s">
        <v>26</v>
      </c>
      <c r="I333"/>
      <c r="J333"/>
      <c r="K333" t="s">
        <v>26</v>
      </c>
    </row>
    <row r="334" spans="1:11" hidden="1" x14ac:dyDescent="0.3">
      <c r="A334" t="s">
        <v>46</v>
      </c>
      <c r="B334" t="s">
        <v>26</v>
      </c>
      <c r="I334"/>
      <c r="J334"/>
      <c r="K334" t="s">
        <v>26</v>
      </c>
    </row>
    <row r="335" spans="1:11" hidden="1" x14ac:dyDescent="0.3">
      <c r="A335" t="s">
        <v>46</v>
      </c>
      <c r="B335" t="s">
        <v>26</v>
      </c>
      <c r="I335"/>
      <c r="J335"/>
      <c r="K335" t="s">
        <v>26</v>
      </c>
    </row>
    <row r="336" spans="1:11" hidden="1" x14ac:dyDescent="0.3">
      <c r="A336" t="s">
        <v>46</v>
      </c>
      <c r="B336" t="s">
        <v>26</v>
      </c>
      <c r="I336"/>
      <c r="J336"/>
      <c r="K336" t="s">
        <v>26</v>
      </c>
    </row>
    <row r="337" spans="1:11" hidden="1" x14ac:dyDescent="0.3">
      <c r="A337" t="s">
        <v>47</v>
      </c>
      <c r="I337"/>
      <c r="J337"/>
      <c r="K337"/>
    </row>
    <row r="338" spans="1:11" hidden="1" x14ac:dyDescent="0.3">
      <c r="A338" t="s">
        <v>47</v>
      </c>
      <c r="I338"/>
      <c r="J338"/>
      <c r="K338"/>
    </row>
    <row r="339" spans="1:11" hidden="1" x14ac:dyDescent="0.3">
      <c r="A339" t="s">
        <v>47</v>
      </c>
      <c r="I339"/>
      <c r="J339"/>
      <c r="K339"/>
    </row>
    <row r="340" spans="1:11" hidden="1" x14ac:dyDescent="0.3">
      <c r="A340" t="s">
        <v>47</v>
      </c>
      <c r="I340"/>
      <c r="J340"/>
      <c r="K340"/>
    </row>
    <row r="341" spans="1:11" hidden="1" x14ac:dyDescent="0.3">
      <c r="A341" t="s">
        <v>47</v>
      </c>
      <c r="I341"/>
      <c r="J341"/>
      <c r="K341"/>
    </row>
    <row r="342" spans="1:11" hidden="1" x14ac:dyDescent="0.3">
      <c r="A342" t="s">
        <v>47</v>
      </c>
      <c r="I342"/>
      <c r="J342"/>
      <c r="K342"/>
    </row>
    <row r="343" spans="1:11" hidden="1" x14ac:dyDescent="0.3">
      <c r="A343" t="s">
        <v>47</v>
      </c>
      <c r="I343"/>
      <c r="J343"/>
      <c r="K343"/>
    </row>
    <row r="344" spans="1:11" hidden="1" x14ac:dyDescent="0.3">
      <c r="A344" t="s">
        <v>47</v>
      </c>
      <c r="I344"/>
      <c r="J344"/>
      <c r="K344"/>
    </row>
    <row r="345" spans="1:11" hidden="1" x14ac:dyDescent="0.3">
      <c r="A345" t="s">
        <v>47</v>
      </c>
      <c r="I345"/>
      <c r="J345"/>
      <c r="K345"/>
    </row>
    <row r="346" spans="1:11" hidden="1" x14ac:dyDescent="0.3">
      <c r="A346" t="s">
        <v>47</v>
      </c>
      <c r="I346"/>
      <c r="J346"/>
      <c r="K346"/>
    </row>
    <row r="347" spans="1:11" hidden="1" x14ac:dyDescent="0.3">
      <c r="A347" t="s">
        <v>47</v>
      </c>
      <c r="I347"/>
      <c r="J347"/>
      <c r="K347"/>
    </row>
    <row r="348" spans="1:11" hidden="1" x14ac:dyDescent="0.3">
      <c r="A348" t="s">
        <v>47</v>
      </c>
      <c r="I348"/>
      <c r="J348"/>
      <c r="K348"/>
    </row>
    <row r="349" spans="1:11" hidden="1" x14ac:dyDescent="0.3">
      <c r="A349" t="s">
        <v>47</v>
      </c>
      <c r="I349"/>
      <c r="J349"/>
      <c r="K349"/>
    </row>
    <row r="350" spans="1:11" hidden="1" x14ac:dyDescent="0.3">
      <c r="A350" t="s">
        <v>47</v>
      </c>
      <c r="I350"/>
      <c r="J350"/>
      <c r="K350"/>
    </row>
    <row r="351" spans="1:11" hidden="1" x14ac:dyDescent="0.3">
      <c r="A351" t="s">
        <v>47</v>
      </c>
      <c r="I351"/>
      <c r="J351"/>
      <c r="K351"/>
    </row>
    <row r="352" spans="1:11" hidden="1" x14ac:dyDescent="0.3">
      <c r="A352" t="s">
        <v>47</v>
      </c>
      <c r="I352"/>
      <c r="J352"/>
      <c r="K352"/>
    </row>
    <row r="353" spans="1:11" hidden="1" x14ac:dyDescent="0.3">
      <c r="I353"/>
      <c r="J353"/>
      <c r="K353"/>
    </row>
    <row r="354" spans="1:11" hidden="1" x14ac:dyDescent="0.3">
      <c r="A354" t="s">
        <v>47</v>
      </c>
      <c r="I354"/>
      <c r="J354"/>
      <c r="K354"/>
    </row>
    <row r="355" spans="1:11" hidden="1" x14ac:dyDescent="0.3">
      <c r="A355" t="s">
        <v>47</v>
      </c>
      <c r="I355"/>
      <c r="J355"/>
      <c r="K355"/>
    </row>
    <row r="356" spans="1:11" hidden="1" x14ac:dyDescent="0.3">
      <c r="A356" t="s">
        <v>47</v>
      </c>
      <c r="I356"/>
      <c r="J356"/>
      <c r="K356"/>
    </row>
    <row r="357" spans="1:11" hidden="1" x14ac:dyDescent="0.3">
      <c r="A357" t="s">
        <v>47</v>
      </c>
      <c r="I357"/>
      <c r="J357"/>
      <c r="K357"/>
    </row>
    <row r="358" spans="1:11" hidden="1" x14ac:dyDescent="0.3">
      <c r="A358" t="s">
        <v>47</v>
      </c>
      <c r="I358"/>
      <c r="J358"/>
      <c r="K358"/>
    </row>
    <row r="359" spans="1:11" hidden="1" x14ac:dyDescent="0.3">
      <c r="A359" t="s">
        <v>47</v>
      </c>
      <c r="I359"/>
      <c r="J359"/>
      <c r="K359"/>
    </row>
    <row r="360" spans="1:11" hidden="1" x14ac:dyDescent="0.3">
      <c r="A360" t="s">
        <v>47</v>
      </c>
      <c r="I360"/>
      <c r="J360"/>
      <c r="K360"/>
    </row>
    <row r="361" spans="1:11" hidden="1" x14ac:dyDescent="0.3">
      <c r="A361" t="s">
        <v>47</v>
      </c>
      <c r="I361"/>
      <c r="J361"/>
      <c r="K361"/>
    </row>
    <row r="362" spans="1:11" hidden="1" x14ac:dyDescent="0.3">
      <c r="A362" t="s">
        <v>47</v>
      </c>
      <c r="I362"/>
      <c r="J362"/>
      <c r="K362"/>
    </row>
    <row r="363" spans="1:11" hidden="1" x14ac:dyDescent="0.3">
      <c r="A363" t="s">
        <v>47</v>
      </c>
      <c r="I363"/>
      <c r="J363"/>
      <c r="K363"/>
    </row>
    <row r="364" spans="1:11" hidden="1" x14ac:dyDescent="0.3">
      <c r="A364" t="s">
        <v>47</v>
      </c>
      <c r="I364"/>
      <c r="J364"/>
      <c r="K364"/>
    </row>
    <row r="365" spans="1:11" hidden="1" x14ac:dyDescent="0.3">
      <c r="A365" t="s">
        <v>47</v>
      </c>
      <c r="I365"/>
      <c r="J365"/>
      <c r="K365"/>
    </row>
    <row r="366" spans="1:11" hidden="1" x14ac:dyDescent="0.3">
      <c r="A366" t="s">
        <v>47</v>
      </c>
      <c r="I366"/>
      <c r="J366"/>
      <c r="K366"/>
    </row>
    <row r="367" spans="1:11" hidden="1" x14ac:dyDescent="0.3">
      <c r="A367" t="s">
        <v>47</v>
      </c>
      <c r="I367"/>
      <c r="J367"/>
      <c r="K367"/>
    </row>
    <row r="368" spans="1:11" hidden="1" x14ac:dyDescent="0.3">
      <c r="A368" t="s">
        <v>47</v>
      </c>
      <c r="I368"/>
      <c r="J368"/>
      <c r="K368"/>
    </row>
    <row r="369" spans="1:11" hidden="1" x14ac:dyDescent="0.3">
      <c r="A369" t="s">
        <v>47</v>
      </c>
      <c r="I369"/>
      <c r="J369"/>
      <c r="K369"/>
    </row>
    <row r="370" spans="1:11" hidden="1" x14ac:dyDescent="0.3">
      <c r="A370" t="s">
        <v>47</v>
      </c>
      <c r="I370"/>
      <c r="J370"/>
      <c r="K370"/>
    </row>
    <row r="371" spans="1:11" hidden="1" x14ac:dyDescent="0.3">
      <c r="A371" t="s">
        <v>47</v>
      </c>
      <c r="I371"/>
      <c r="J371"/>
      <c r="K371"/>
    </row>
    <row r="372" spans="1:11" hidden="1" x14ac:dyDescent="0.3">
      <c r="A372" t="s">
        <v>47</v>
      </c>
      <c r="I372"/>
      <c r="J372"/>
      <c r="K372"/>
    </row>
    <row r="373" spans="1:11" hidden="1" x14ac:dyDescent="0.3">
      <c r="A373" t="s">
        <v>47</v>
      </c>
      <c r="I373"/>
      <c r="J373"/>
      <c r="K373"/>
    </row>
    <row r="374" spans="1:11" hidden="1" x14ac:dyDescent="0.3">
      <c r="A374" t="s">
        <v>47</v>
      </c>
      <c r="I374"/>
      <c r="J374"/>
      <c r="K374"/>
    </row>
    <row r="375" spans="1:11" hidden="1" x14ac:dyDescent="0.3">
      <c r="A375" t="s">
        <v>47</v>
      </c>
      <c r="I375"/>
      <c r="J375"/>
      <c r="K375"/>
    </row>
    <row r="376" spans="1:11" hidden="1" x14ac:dyDescent="0.3">
      <c r="A376" t="s">
        <v>47</v>
      </c>
      <c r="I376"/>
      <c r="J376"/>
      <c r="K376"/>
    </row>
    <row r="377" spans="1:11" hidden="1" x14ac:dyDescent="0.3">
      <c r="A377" t="s">
        <v>47</v>
      </c>
      <c r="I377"/>
      <c r="J377"/>
      <c r="K377"/>
    </row>
    <row r="378" spans="1:11" hidden="1" x14ac:dyDescent="0.3">
      <c r="A378" t="s">
        <v>47</v>
      </c>
      <c r="I378"/>
      <c r="J378"/>
      <c r="K378"/>
    </row>
    <row r="379" spans="1:11" hidden="1" x14ac:dyDescent="0.3">
      <c r="A379" t="s">
        <v>47</v>
      </c>
      <c r="I379"/>
      <c r="J379"/>
      <c r="K379"/>
    </row>
    <row r="380" spans="1:11" hidden="1" x14ac:dyDescent="0.3">
      <c r="A380" t="s">
        <v>47</v>
      </c>
      <c r="I380"/>
      <c r="J380"/>
      <c r="K380"/>
    </row>
    <row r="381" spans="1:11" hidden="1" x14ac:dyDescent="0.3">
      <c r="A381" t="s">
        <v>47</v>
      </c>
      <c r="I381"/>
      <c r="J381"/>
      <c r="K381"/>
    </row>
    <row r="382" spans="1:11" hidden="1" x14ac:dyDescent="0.3">
      <c r="A382" t="s">
        <v>47</v>
      </c>
      <c r="I382"/>
      <c r="J382"/>
      <c r="K382"/>
    </row>
    <row r="383" spans="1:11" hidden="1" x14ac:dyDescent="0.3">
      <c r="A383" t="s">
        <v>47</v>
      </c>
      <c r="I383"/>
      <c r="J383"/>
      <c r="K383"/>
    </row>
    <row r="384" spans="1:11" hidden="1" x14ac:dyDescent="0.3">
      <c r="A384" t="s">
        <v>47</v>
      </c>
      <c r="I384"/>
      <c r="J384"/>
      <c r="K384"/>
    </row>
    <row r="385" spans="1:11" hidden="1" x14ac:dyDescent="0.3">
      <c r="A385" t="s">
        <v>47</v>
      </c>
      <c r="I385"/>
      <c r="J385"/>
      <c r="K385"/>
    </row>
    <row r="386" spans="1:11" hidden="1" x14ac:dyDescent="0.3">
      <c r="A386" t="s">
        <v>47</v>
      </c>
      <c r="I386"/>
      <c r="J386"/>
      <c r="K386"/>
    </row>
    <row r="387" spans="1:11" hidden="1" x14ac:dyDescent="0.3">
      <c r="A387" t="s">
        <v>47</v>
      </c>
      <c r="I387"/>
      <c r="J387"/>
      <c r="K387"/>
    </row>
    <row r="388" spans="1:11" hidden="1" x14ac:dyDescent="0.3">
      <c r="A388" t="s">
        <v>47</v>
      </c>
      <c r="I388"/>
      <c r="J388"/>
      <c r="K388"/>
    </row>
    <row r="389" spans="1:11" hidden="1" x14ac:dyDescent="0.3">
      <c r="A389" t="s">
        <v>47</v>
      </c>
      <c r="I389"/>
      <c r="J389"/>
      <c r="K389"/>
    </row>
    <row r="390" spans="1:11" hidden="1" x14ac:dyDescent="0.3">
      <c r="A390" t="s">
        <v>47</v>
      </c>
      <c r="I390"/>
      <c r="J390"/>
      <c r="K390"/>
    </row>
    <row r="391" spans="1:11" hidden="1" x14ac:dyDescent="0.3">
      <c r="A391" t="s">
        <v>47</v>
      </c>
      <c r="I391"/>
      <c r="J391"/>
      <c r="K391"/>
    </row>
    <row r="392" spans="1:11" hidden="1" x14ac:dyDescent="0.3">
      <c r="A392" t="s">
        <v>47</v>
      </c>
      <c r="I392"/>
      <c r="J392"/>
      <c r="K392"/>
    </row>
    <row r="393" spans="1:11" hidden="1" x14ac:dyDescent="0.3">
      <c r="A393" t="s">
        <v>47</v>
      </c>
      <c r="I393"/>
      <c r="J393"/>
      <c r="K393"/>
    </row>
    <row r="394" spans="1:11" hidden="1" x14ac:dyDescent="0.3">
      <c r="A394" t="s">
        <v>47</v>
      </c>
      <c r="I394"/>
      <c r="J394"/>
      <c r="K394"/>
    </row>
    <row r="395" spans="1:11" hidden="1" x14ac:dyDescent="0.3">
      <c r="A395" t="s">
        <v>47</v>
      </c>
      <c r="I395"/>
      <c r="J395"/>
      <c r="K395"/>
    </row>
    <row r="396" spans="1:11" hidden="1" x14ac:dyDescent="0.3">
      <c r="A396" t="s">
        <v>47</v>
      </c>
      <c r="I396"/>
      <c r="J396"/>
      <c r="K396"/>
    </row>
    <row r="397" spans="1:11" hidden="1" x14ac:dyDescent="0.3">
      <c r="A397" t="s">
        <v>47</v>
      </c>
      <c r="I397"/>
      <c r="J397"/>
      <c r="K397"/>
    </row>
    <row r="398" spans="1:11" hidden="1" x14ac:dyDescent="0.3">
      <c r="A398" t="s">
        <v>47</v>
      </c>
      <c r="I398"/>
      <c r="J398"/>
      <c r="K398"/>
    </row>
    <row r="399" spans="1:11" hidden="1" x14ac:dyDescent="0.3">
      <c r="A399" t="s">
        <v>47</v>
      </c>
      <c r="I399"/>
      <c r="J399"/>
      <c r="K399"/>
    </row>
    <row r="400" spans="1:11" hidden="1" x14ac:dyDescent="0.3">
      <c r="A400" t="s">
        <v>47</v>
      </c>
      <c r="I400"/>
      <c r="J400"/>
      <c r="K400"/>
    </row>
    <row r="401" spans="1:11" hidden="1" x14ac:dyDescent="0.3">
      <c r="A401" t="s">
        <v>47</v>
      </c>
      <c r="I401"/>
      <c r="J401"/>
      <c r="K401"/>
    </row>
    <row r="402" spans="1:11" hidden="1" x14ac:dyDescent="0.3">
      <c r="I402"/>
      <c r="J402"/>
      <c r="K402"/>
    </row>
    <row r="403" spans="1:11" hidden="1" x14ac:dyDescent="0.3">
      <c r="I403"/>
      <c r="J403"/>
      <c r="K403"/>
    </row>
    <row r="404" spans="1:11" hidden="1" x14ac:dyDescent="0.3">
      <c r="I404"/>
      <c r="J404"/>
      <c r="K404"/>
    </row>
    <row r="405" spans="1:11" hidden="1" x14ac:dyDescent="0.3">
      <c r="I405"/>
      <c r="J405"/>
      <c r="K405"/>
    </row>
    <row r="406" spans="1:11" hidden="1" x14ac:dyDescent="0.3">
      <c r="I406"/>
      <c r="J406"/>
      <c r="K406"/>
    </row>
    <row r="407" spans="1:11" hidden="1" x14ac:dyDescent="0.3">
      <c r="B407">
        <v>1</v>
      </c>
      <c r="C407" s="17">
        <v>44411</v>
      </c>
      <c r="I407"/>
      <c r="J407"/>
      <c r="K407"/>
    </row>
    <row r="408" spans="1:11" hidden="1" x14ac:dyDescent="0.3">
      <c r="B408">
        <v>1</v>
      </c>
      <c r="C408" s="17">
        <v>44411</v>
      </c>
      <c r="I408"/>
      <c r="J408"/>
      <c r="K408"/>
    </row>
    <row r="409" spans="1:11" hidden="1" x14ac:dyDescent="0.3">
      <c r="B409">
        <v>1</v>
      </c>
      <c r="C409" s="17">
        <v>44412</v>
      </c>
      <c r="I409"/>
      <c r="J409"/>
      <c r="K409"/>
    </row>
    <row r="410" spans="1:11" hidden="1" x14ac:dyDescent="0.3">
      <c r="B410">
        <v>1</v>
      </c>
      <c r="C410" s="17">
        <v>44412</v>
      </c>
      <c r="I410"/>
      <c r="J410"/>
      <c r="K410"/>
    </row>
    <row r="411" spans="1:11" hidden="1" x14ac:dyDescent="0.3">
      <c r="B411">
        <v>1</v>
      </c>
      <c r="C411" s="17">
        <v>44413</v>
      </c>
      <c r="I411"/>
      <c r="J411"/>
      <c r="K411"/>
    </row>
    <row r="412" spans="1:11" hidden="1" x14ac:dyDescent="0.3">
      <c r="B412">
        <v>1</v>
      </c>
      <c r="C412" s="17">
        <v>44413</v>
      </c>
      <c r="I412"/>
      <c r="J412"/>
      <c r="K412"/>
    </row>
    <row r="413" spans="1:11" hidden="1" x14ac:dyDescent="0.3">
      <c r="B413">
        <v>2</v>
      </c>
      <c r="C413" s="17">
        <v>44417</v>
      </c>
      <c r="I413"/>
      <c r="J413"/>
      <c r="K413"/>
    </row>
    <row r="414" spans="1:11" hidden="1" x14ac:dyDescent="0.3">
      <c r="B414">
        <v>2</v>
      </c>
      <c r="C414" s="17">
        <v>44417</v>
      </c>
      <c r="I414"/>
      <c r="J414"/>
      <c r="K414"/>
    </row>
    <row r="415" spans="1:11" hidden="1" x14ac:dyDescent="0.3">
      <c r="B415">
        <v>2</v>
      </c>
      <c r="C415" s="17">
        <v>44419</v>
      </c>
      <c r="I415"/>
      <c r="J415"/>
      <c r="K415"/>
    </row>
    <row r="416" spans="1:11" hidden="1" x14ac:dyDescent="0.3">
      <c r="B416">
        <v>2</v>
      </c>
      <c r="C416" s="17">
        <v>44419</v>
      </c>
      <c r="I416"/>
      <c r="J416"/>
      <c r="K416"/>
    </row>
    <row r="417" spans="2:11" hidden="1" x14ac:dyDescent="0.3">
      <c r="B417">
        <v>2</v>
      </c>
      <c r="C417" s="17">
        <v>44419</v>
      </c>
      <c r="I417"/>
      <c r="J417"/>
      <c r="K417"/>
    </row>
    <row r="418" spans="2:11" hidden="1" x14ac:dyDescent="0.3">
      <c r="B418">
        <v>2</v>
      </c>
      <c r="C418" s="17">
        <v>44419</v>
      </c>
      <c r="I418"/>
      <c r="J418"/>
      <c r="K418"/>
    </row>
    <row r="419" spans="2:11" hidden="1" x14ac:dyDescent="0.3">
      <c r="B419">
        <v>2</v>
      </c>
      <c r="C419" s="17">
        <v>44419</v>
      </c>
      <c r="I419"/>
      <c r="J419"/>
      <c r="K419"/>
    </row>
    <row r="420" spans="2:11" hidden="1" x14ac:dyDescent="0.3">
      <c r="B420">
        <v>2</v>
      </c>
      <c r="C420" s="17">
        <v>44419</v>
      </c>
      <c r="I420"/>
      <c r="J420"/>
      <c r="K420"/>
    </row>
    <row r="421" spans="2:11" hidden="1" x14ac:dyDescent="0.3">
      <c r="B421">
        <v>2</v>
      </c>
      <c r="C421" s="17">
        <v>44420</v>
      </c>
      <c r="I421"/>
      <c r="J421"/>
      <c r="K421"/>
    </row>
    <row r="422" spans="2:11" hidden="1" x14ac:dyDescent="0.3">
      <c r="B422">
        <v>2</v>
      </c>
      <c r="C422" s="17">
        <v>44420</v>
      </c>
      <c r="I422"/>
      <c r="J422"/>
      <c r="K422"/>
    </row>
    <row r="423" spans="2:11" hidden="1" x14ac:dyDescent="0.3">
      <c r="B423">
        <v>3</v>
      </c>
      <c r="C423" s="17">
        <v>44424</v>
      </c>
      <c r="I423"/>
      <c r="J423"/>
      <c r="K423"/>
    </row>
    <row r="424" spans="2:11" hidden="1" x14ac:dyDescent="0.3">
      <c r="B424">
        <v>3</v>
      </c>
      <c r="C424" s="17">
        <v>44424</v>
      </c>
      <c r="I424"/>
      <c r="J424"/>
      <c r="K424"/>
    </row>
    <row r="425" spans="2:11" hidden="1" x14ac:dyDescent="0.3">
      <c r="B425" t="s">
        <v>26</v>
      </c>
      <c r="I425"/>
      <c r="J425"/>
      <c r="K425"/>
    </row>
    <row r="426" spans="2:11" hidden="1" x14ac:dyDescent="0.3">
      <c r="B426">
        <v>4</v>
      </c>
      <c r="C426" s="17">
        <v>44432</v>
      </c>
      <c r="I426"/>
      <c r="J426"/>
      <c r="K426"/>
    </row>
    <row r="427" spans="2:11" hidden="1" x14ac:dyDescent="0.3">
      <c r="B427">
        <v>4</v>
      </c>
      <c r="C427" s="17">
        <v>44432</v>
      </c>
      <c r="I427"/>
      <c r="J427"/>
      <c r="K427"/>
    </row>
    <row r="428" spans="2:11" hidden="1" x14ac:dyDescent="0.3">
      <c r="B428">
        <v>4</v>
      </c>
      <c r="C428" s="17">
        <v>44435</v>
      </c>
      <c r="I428"/>
      <c r="J428"/>
      <c r="K428"/>
    </row>
    <row r="429" spans="2:11" hidden="1" x14ac:dyDescent="0.3">
      <c r="B429">
        <v>4</v>
      </c>
      <c r="C429" s="17">
        <v>44435</v>
      </c>
      <c r="I429"/>
      <c r="J429"/>
      <c r="K429"/>
    </row>
    <row r="430" spans="2:11" hidden="1" x14ac:dyDescent="0.3">
      <c r="B430">
        <v>4</v>
      </c>
      <c r="C430" s="17">
        <v>44435</v>
      </c>
      <c r="I430"/>
      <c r="J430"/>
      <c r="K430"/>
    </row>
    <row r="431" spans="2:11" hidden="1" x14ac:dyDescent="0.3">
      <c r="B431">
        <v>4</v>
      </c>
      <c r="C431" s="17">
        <v>44435</v>
      </c>
      <c r="I431"/>
      <c r="J431"/>
      <c r="K431"/>
    </row>
    <row r="432" spans="2:11" hidden="1" x14ac:dyDescent="0.3">
      <c r="B432">
        <v>4</v>
      </c>
      <c r="C432" s="17">
        <v>44435</v>
      </c>
      <c r="I432"/>
      <c r="J432"/>
      <c r="K432"/>
    </row>
    <row r="433" spans="2:11" hidden="1" x14ac:dyDescent="0.3">
      <c r="B433">
        <v>4</v>
      </c>
      <c r="C433" s="17">
        <v>44435</v>
      </c>
      <c r="I433"/>
      <c r="J433"/>
      <c r="K433"/>
    </row>
    <row r="434" spans="2:11" hidden="1" x14ac:dyDescent="0.3">
      <c r="B434">
        <v>4</v>
      </c>
      <c r="C434" s="17">
        <v>44435</v>
      </c>
      <c r="I434"/>
      <c r="J434"/>
      <c r="K434"/>
    </row>
    <row r="435" spans="2:11" hidden="1" x14ac:dyDescent="0.3">
      <c r="B435">
        <v>4</v>
      </c>
      <c r="C435" s="17">
        <v>44435</v>
      </c>
      <c r="I435"/>
      <c r="J435"/>
      <c r="K435"/>
    </row>
    <row r="436" spans="2:11" hidden="1" x14ac:dyDescent="0.3">
      <c r="B436">
        <v>4</v>
      </c>
      <c r="C436" s="17">
        <v>44435</v>
      </c>
      <c r="I436"/>
      <c r="J436"/>
      <c r="K436"/>
    </row>
    <row r="437" spans="2:11" hidden="1" x14ac:dyDescent="0.3">
      <c r="B437">
        <v>4</v>
      </c>
      <c r="C437" s="17">
        <v>44435</v>
      </c>
      <c r="I437"/>
      <c r="J437"/>
      <c r="K437"/>
    </row>
    <row r="438" spans="2:11" hidden="1" x14ac:dyDescent="0.3">
      <c r="B438" t="s">
        <v>26</v>
      </c>
      <c r="I438"/>
      <c r="J438"/>
      <c r="K438"/>
    </row>
    <row r="439" spans="2:11" hidden="1" x14ac:dyDescent="0.3">
      <c r="B439" t="s">
        <v>26</v>
      </c>
      <c r="I439"/>
      <c r="J439"/>
      <c r="K439"/>
    </row>
    <row r="440" spans="2:11" hidden="1" x14ac:dyDescent="0.3">
      <c r="B440" t="s">
        <v>26</v>
      </c>
      <c r="I440"/>
      <c r="J440"/>
      <c r="K440"/>
    </row>
    <row r="441" spans="2:11" hidden="1" x14ac:dyDescent="0.3">
      <c r="B441" t="s">
        <v>26</v>
      </c>
      <c r="I441"/>
      <c r="J441"/>
      <c r="K441"/>
    </row>
    <row r="442" spans="2:11" hidden="1" x14ac:dyDescent="0.3">
      <c r="B442" t="s">
        <v>26</v>
      </c>
      <c r="I442"/>
      <c r="J442"/>
      <c r="K442"/>
    </row>
    <row r="443" spans="2:11" hidden="1" x14ac:dyDescent="0.3">
      <c r="B443" t="s">
        <v>26</v>
      </c>
      <c r="I443"/>
      <c r="J443"/>
      <c r="K443"/>
    </row>
    <row r="444" spans="2:11" hidden="1" x14ac:dyDescent="0.3">
      <c r="B444" t="s">
        <v>26</v>
      </c>
      <c r="I444"/>
      <c r="J444"/>
      <c r="K444"/>
    </row>
    <row r="445" spans="2:11" hidden="1" x14ac:dyDescent="0.3">
      <c r="B445" t="s">
        <v>26</v>
      </c>
      <c r="I445"/>
      <c r="J445"/>
      <c r="K445"/>
    </row>
    <row r="446" spans="2:11" hidden="1" x14ac:dyDescent="0.3">
      <c r="B446" t="s">
        <v>26</v>
      </c>
      <c r="I446"/>
      <c r="J446"/>
      <c r="K446"/>
    </row>
    <row r="447" spans="2:11" hidden="1" x14ac:dyDescent="0.3">
      <c r="B447" t="s">
        <v>26</v>
      </c>
      <c r="I447"/>
      <c r="J447"/>
      <c r="K447"/>
    </row>
    <row r="448" spans="2:11" hidden="1" x14ac:dyDescent="0.3">
      <c r="B448" t="s">
        <v>26</v>
      </c>
      <c r="I448"/>
      <c r="J448"/>
      <c r="K448"/>
    </row>
    <row r="449" spans="2:11" hidden="1" x14ac:dyDescent="0.3">
      <c r="B449" t="s">
        <v>26</v>
      </c>
      <c r="I449"/>
      <c r="J449"/>
      <c r="K449"/>
    </row>
    <row r="450" spans="2:11" hidden="1" x14ac:dyDescent="0.3">
      <c r="B450" t="s">
        <v>26</v>
      </c>
      <c r="I450"/>
      <c r="J450"/>
      <c r="K450"/>
    </row>
    <row r="451" spans="2:11" hidden="1" x14ac:dyDescent="0.3">
      <c r="B451" t="s">
        <v>26</v>
      </c>
      <c r="I451"/>
      <c r="J451"/>
      <c r="K451"/>
    </row>
    <row r="452" spans="2:11" hidden="1" x14ac:dyDescent="0.3">
      <c r="B452" t="s">
        <v>26</v>
      </c>
      <c r="I452"/>
      <c r="J452"/>
      <c r="K452"/>
    </row>
    <row r="453" spans="2:11" hidden="1" x14ac:dyDescent="0.3">
      <c r="B453" t="s">
        <v>26</v>
      </c>
      <c r="I453"/>
      <c r="J453"/>
      <c r="K453"/>
    </row>
    <row r="454" spans="2:11" hidden="1" x14ac:dyDescent="0.3">
      <c r="B454" t="s">
        <v>26</v>
      </c>
      <c r="I454"/>
      <c r="J454"/>
      <c r="K454"/>
    </row>
    <row r="455" spans="2:11" hidden="1" x14ac:dyDescent="0.3">
      <c r="B455" t="s">
        <v>26</v>
      </c>
      <c r="I455"/>
      <c r="J455"/>
      <c r="K455"/>
    </row>
    <row r="456" spans="2:11" hidden="1" x14ac:dyDescent="0.3">
      <c r="B456" t="s">
        <v>26</v>
      </c>
      <c r="I456"/>
      <c r="J456"/>
      <c r="K456"/>
    </row>
    <row r="457" spans="2:11" hidden="1" x14ac:dyDescent="0.3">
      <c r="B457" t="s">
        <v>26</v>
      </c>
      <c r="I457"/>
      <c r="J457"/>
      <c r="K457"/>
    </row>
    <row r="458" spans="2:11" hidden="1" x14ac:dyDescent="0.3">
      <c r="B458" t="s">
        <v>26</v>
      </c>
      <c r="I458"/>
      <c r="J458"/>
      <c r="K458"/>
    </row>
    <row r="459" spans="2:11" hidden="1" x14ac:dyDescent="0.3">
      <c r="B459" t="s">
        <v>26</v>
      </c>
      <c r="I459"/>
      <c r="J459"/>
      <c r="K459"/>
    </row>
    <row r="460" spans="2:11" hidden="1" x14ac:dyDescent="0.3">
      <c r="B460" t="s">
        <v>26</v>
      </c>
      <c r="I460"/>
      <c r="J460"/>
      <c r="K460"/>
    </row>
    <row r="461" spans="2:11" hidden="1" x14ac:dyDescent="0.3">
      <c r="B461" t="s">
        <v>26</v>
      </c>
      <c r="I461"/>
      <c r="J461"/>
      <c r="K461"/>
    </row>
    <row r="462" spans="2:11" hidden="1" x14ac:dyDescent="0.3">
      <c r="B462" t="s">
        <v>26</v>
      </c>
      <c r="I462"/>
      <c r="J462"/>
      <c r="K462"/>
    </row>
    <row r="463" spans="2:11" hidden="1" x14ac:dyDescent="0.3">
      <c r="B463" t="s">
        <v>26</v>
      </c>
      <c r="I463"/>
      <c r="J463"/>
      <c r="K463"/>
    </row>
    <row r="464" spans="2:11" hidden="1" x14ac:dyDescent="0.3">
      <c r="B464" t="s">
        <v>26</v>
      </c>
      <c r="I464"/>
      <c r="J464"/>
      <c r="K464"/>
    </row>
    <row r="465" spans="1:11" hidden="1" x14ac:dyDescent="0.3">
      <c r="B465" t="s">
        <v>26</v>
      </c>
      <c r="I465"/>
      <c r="J465"/>
      <c r="K465"/>
    </row>
    <row r="466" spans="1:11" hidden="1" x14ac:dyDescent="0.3">
      <c r="B466" t="s">
        <v>26</v>
      </c>
      <c r="I466"/>
      <c r="J466"/>
      <c r="K466"/>
    </row>
    <row r="467" spans="1:11" hidden="1" x14ac:dyDescent="0.3">
      <c r="B467" t="s">
        <v>26</v>
      </c>
      <c r="I467"/>
      <c r="J467"/>
      <c r="K467"/>
    </row>
    <row r="468" spans="1:11" hidden="1" x14ac:dyDescent="0.3">
      <c r="B468" t="s">
        <v>26</v>
      </c>
      <c r="I468"/>
      <c r="J468"/>
      <c r="K468"/>
    </row>
    <row r="469" spans="1:11" hidden="1" x14ac:dyDescent="0.3">
      <c r="B469" t="s">
        <v>26</v>
      </c>
      <c r="I469"/>
      <c r="J469"/>
      <c r="K469"/>
    </row>
    <row r="470" spans="1:11" hidden="1" x14ac:dyDescent="0.3">
      <c r="B470" t="s">
        <v>26</v>
      </c>
      <c r="I470"/>
      <c r="J470"/>
      <c r="K470"/>
    </row>
    <row r="471" spans="1:11" hidden="1" x14ac:dyDescent="0.3">
      <c r="B471" t="s">
        <v>26</v>
      </c>
      <c r="I471"/>
      <c r="J471"/>
      <c r="K471"/>
    </row>
    <row r="472" spans="1:11" hidden="1" x14ac:dyDescent="0.3">
      <c r="B472" t="s">
        <v>26</v>
      </c>
      <c r="I472"/>
      <c r="J472"/>
      <c r="K472"/>
    </row>
    <row r="473" spans="1:11" hidden="1" x14ac:dyDescent="0.3">
      <c r="B473" t="s">
        <v>26</v>
      </c>
      <c r="I473"/>
      <c r="J473"/>
      <c r="K473" t="s">
        <v>26</v>
      </c>
    </row>
    <row r="474" spans="1:11" hidden="1" x14ac:dyDescent="0.3">
      <c r="A474" t="s">
        <v>40</v>
      </c>
      <c r="I474"/>
      <c r="J474"/>
      <c r="K474"/>
    </row>
    <row r="475" spans="1:11" hidden="1" x14ac:dyDescent="0.3">
      <c r="A475" t="s">
        <v>40</v>
      </c>
      <c r="I475"/>
      <c r="J475"/>
      <c r="K475"/>
    </row>
    <row r="476" spans="1:11" hidden="1" x14ac:dyDescent="0.3">
      <c r="A476" t="s">
        <v>40</v>
      </c>
      <c r="I476"/>
      <c r="J476"/>
      <c r="K476"/>
    </row>
    <row r="477" spans="1:11" hidden="1" x14ac:dyDescent="0.3">
      <c r="A477" t="s">
        <v>40</v>
      </c>
      <c r="I477"/>
      <c r="J477"/>
      <c r="K477"/>
    </row>
    <row r="478" spans="1:11" hidden="1" x14ac:dyDescent="0.3">
      <c r="A478" t="s">
        <v>40</v>
      </c>
      <c r="I478"/>
      <c r="J478"/>
      <c r="K478"/>
    </row>
    <row r="479" spans="1:11" hidden="1" x14ac:dyDescent="0.3">
      <c r="A479" t="s">
        <v>40</v>
      </c>
      <c r="I479"/>
      <c r="J479"/>
      <c r="K479"/>
    </row>
    <row r="480" spans="1:11" hidden="1" x14ac:dyDescent="0.3">
      <c r="A480" t="s">
        <v>40</v>
      </c>
      <c r="I480"/>
      <c r="J480"/>
      <c r="K480"/>
    </row>
    <row r="481" spans="1:11" hidden="1" x14ac:dyDescent="0.3">
      <c r="A481" t="s">
        <v>40</v>
      </c>
      <c r="I481"/>
      <c r="J481"/>
      <c r="K481"/>
    </row>
    <row r="482" spans="1:11" hidden="1" x14ac:dyDescent="0.3">
      <c r="A482" t="s">
        <v>40</v>
      </c>
      <c r="I482"/>
      <c r="J482"/>
      <c r="K482"/>
    </row>
    <row r="483" spans="1:11" hidden="1" x14ac:dyDescent="0.3">
      <c r="A483" t="s">
        <v>40</v>
      </c>
      <c r="I483"/>
      <c r="J483"/>
      <c r="K483"/>
    </row>
    <row r="484" spans="1:11" hidden="1" x14ac:dyDescent="0.3">
      <c r="A484" t="s">
        <v>40</v>
      </c>
      <c r="I484"/>
      <c r="J484"/>
      <c r="K484"/>
    </row>
    <row r="485" spans="1:11" hidden="1" x14ac:dyDescent="0.3">
      <c r="A485" t="s">
        <v>40</v>
      </c>
      <c r="I485"/>
      <c r="J485"/>
      <c r="K485"/>
    </row>
    <row r="486" spans="1:11" hidden="1" x14ac:dyDescent="0.3">
      <c r="A486" t="s">
        <v>40</v>
      </c>
      <c r="I486"/>
      <c r="J486"/>
      <c r="K486"/>
    </row>
    <row r="487" spans="1:11" hidden="1" x14ac:dyDescent="0.3">
      <c r="A487" t="s">
        <v>40</v>
      </c>
      <c r="I487"/>
      <c r="J487"/>
      <c r="K487"/>
    </row>
    <row r="488" spans="1:11" hidden="1" x14ac:dyDescent="0.3">
      <c r="A488" t="s">
        <v>40</v>
      </c>
      <c r="I488"/>
      <c r="J488"/>
      <c r="K488"/>
    </row>
    <row r="489" spans="1:11" hidden="1" x14ac:dyDescent="0.3">
      <c r="A489" t="s">
        <v>40</v>
      </c>
      <c r="I489"/>
      <c r="J489"/>
      <c r="K489"/>
    </row>
    <row r="490" spans="1:11" hidden="1" x14ac:dyDescent="0.3">
      <c r="A490" t="s">
        <v>40</v>
      </c>
      <c r="I490"/>
      <c r="J490"/>
      <c r="K490"/>
    </row>
    <row r="491" spans="1:11" hidden="1" x14ac:dyDescent="0.3">
      <c r="A491" t="s">
        <v>40</v>
      </c>
      <c r="I491"/>
      <c r="J491"/>
      <c r="K491"/>
    </row>
    <row r="492" spans="1:11" hidden="1" x14ac:dyDescent="0.3">
      <c r="A492" t="s">
        <v>40</v>
      </c>
      <c r="I492"/>
      <c r="J492"/>
      <c r="K492"/>
    </row>
    <row r="493" spans="1:11" hidden="1" x14ac:dyDescent="0.3">
      <c r="A493" t="s">
        <v>40</v>
      </c>
      <c r="I493"/>
      <c r="J493"/>
      <c r="K493"/>
    </row>
    <row r="494" spans="1:11" hidden="1" x14ac:dyDescent="0.3">
      <c r="A494" t="s">
        <v>40</v>
      </c>
      <c r="I494"/>
      <c r="J494"/>
      <c r="K494"/>
    </row>
    <row r="495" spans="1:11" hidden="1" x14ac:dyDescent="0.3">
      <c r="A495" t="s">
        <v>40</v>
      </c>
      <c r="I495"/>
      <c r="J495"/>
      <c r="K495"/>
    </row>
    <row r="496" spans="1:11" hidden="1" x14ac:dyDescent="0.3">
      <c r="A496" t="s">
        <v>40</v>
      </c>
      <c r="I496"/>
      <c r="J496"/>
      <c r="K496"/>
    </row>
    <row r="497" spans="1:11" hidden="1" x14ac:dyDescent="0.3">
      <c r="A497" t="s">
        <v>40</v>
      </c>
      <c r="I497"/>
      <c r="J497"/>
      <c r="K497"/>
    </row>
    <row r="498" spans="1:11" hidden="1" x14ac:dyDescent="0.3">
      <c r="A498" t="s">
        <v>40</v>
      </c>
      <c r="I498"/>
      <c r="J498"/>
      <c r="K498"/>
    </row>
    <row r="499" spans="1:11" hidden="1" x14ac:dyDescent="0.3">
      <c r="A499" t="s">
        <v>40</v>
      </c>
      <c r="I499"/>
      <c r="J499"/>
      <c r="K499"/>
    </row>
    <row r="500" spans="1:11" hidden="1" x14ac:dyDescent="0.3">
      <c r="A500" t="s">
        <v>40</v>
      </c>
      <c r="I500"/>
      <c r="J500"/>
      <c r="K500"/>
    </row>
    <row r="501" spans="1:11" hidden="1" x14ac:dyDescent="0.3">
      <c r="A501" t="s">
        <v>40</v>
      </c>
      <c r="I501"/>
      <c r="J501"/>
      <c r="K501"/>
    </row>
    <row r="502" spans="1:11" hidden="1" x14ac:dyDescent="0.3">
      <c r="A502" t="s">
        <v>40</v>
      </c>
      <c r="I502"/>
      <c r="J502"/>
      <c r="K502"/>
    </row>
    <row r="503" spans="1:11" hidden="1" x14ac:dyDescent="0.3">
      <c r="A503" t="s">
        <v>40</v>
      </c>
      <c r="I503"/>
      <c r="J503"/>
      <c r="K503"/>
    </row>
    <row r="504" spans="1:11" hidden="1" x14ac:dyDescent="0.3">
      <c r="A504" t="s">
        <v>40</v>
      </c>
      <c r="I504"/>
      <c r="J504"/>
      <c r="K504"/>
    </row>
    <row r="505" spans="1:11" hidden="1" x14ac:dyDescent="0.3">
      <c r="A505" t="s">
        <v>40</v>
      </c>
      <c r="I505"/>
      <c r="J505"/>
      <c r="K505"/>
    </row>
    <row r="506" spans="1:11" hidden="1" x14ac:dyDescent="0.3">
      <c r="A506" t="s">
        <v>40</v>
      </c>
      <c r="I506"/>
      <c r="J506"/>
      <c r="K506"/>
    </row>
    <row r="507" spans="1:11" hidden="1" x14ac:dyDescent="0.3">
      <c r="A507" t="s">
        <v>40</v>
      </c>
      <c r="I507"/>
      <c r="J507"/>
      <c r="K507"/>
    </row>
    <row r="508" spans="1:11" hidden="1" x14ac:dyDescent="0.3">
      <c r="A508" t="s">
        <v>40</v>
      </c>
      <c r="I508"/>
      <c r="J508"/>
      <c r="K508"/>
    </row>
    <row r="509" spans="1:11" hidden="1" x14ac:dyDescent="0.3">
      <c r="A509" t="s">
        <v>40</v>
      </c>
      <c r="I509"/>
      <c r="J509"/>
      <c r="K509"/>
    </row>
    <row r="510" spans="1:11" hidden="1" x14ac:dyDescent="0.3">
      <c r="A510" t="s">
        <v>40</v>
      </c>
      <c r="I510"/>
      <c r="J510"/>
      <c r="K510"/>
    </row>
    <row r="511" spans="1:11" hidden="1" x14ac:dyDescent="0.3">
      <c r="A511" t="s">
        <v>40</v>
      </c>
      <c r="I511"/>
      <c r="J511"/>
      <c r="K511"/>
    </row>
    <row r="512" spans="1:11" hidden="1" x14ac:dyDescent="0.3">
      <c r="A512" t="s">
        <v>40</v>
      </c>
      <c r="I512"/>
      <c r="J512"/>
      <c r="K512"/>
    </row>
    <row r="513" spans="1:11" hidden="1" x14ac:dyDescent="0.3">
      <c r="A513" t="s">
        <v>40</v>
      </c>
      <c r="I513"/>
      <c r="J513"/>
      <c r="K513"/>
    </row>
    <row r="514" spans="1:11" hidden="1" x14ac:dyDescent="0.3">
      <c r="A514" t="s">
        <v>40</v>
      </c>
      <c r="I514"/>
      <c r="J514"/>
      <c r="K514"/>
    </row>
    <row r="515" spans="1:11" hidden="1" x14ac:dyDescent="0.3">
      <c r="A515" t="s">
        <v>40</v>
      </c>
      <c r="I515"/>
      <c r="J515"/>
      <c r="K515"/>
    </row>
    <row r="516" spans="1:11" hidden="1" x14ac:dyDescent="0.3">
      <c r="A516" t="s">
        <v>40</v>
      </c>
      <c r="I516"/>
      <c r="J516"/>
      <c r="K516"/>
    </row>
    <row r="517" spans="1:11" hidden="1" x14ac:dyDescent="0.3">
      <c r="A517" t="s">
        <v>40</v>
      </c>
      <c r="I517"/>
      <c r="J517"/>
      <c r="K517"/>
    </row>
    <row r="518" spans="1:11" hidden="1" x14ac:dyDescent="0.3">
      <c r="A518" t="s">
        <v>40</v>
      </c>
      <c r="I518"/>
      <c r="J518"/>
      <c r="K518"/>
    </row>
    <row r="519" spans="1:11" hidden="1" x14ac:dyDescent="0.3">
      <c r="A519" t="s">
        <v>40</v>
      </c>
      <c r="I519"/>
      <c r="J519"/>
      <c r="K519"/>
    </row>
    <row r="520" spans="1:11" hidden="1" x14ac:dyDescent="0.3">
      <c r="A520" t="s">
        <v>40</v>
      </c>
      <c r="I520"/>
      <c r="J520"/>
      <c r="K520"/>
    </row>
    <row r="521" spans="1:11" hidden="1" x14ac:dyDescent="0.3">
      <c r="A521" t="s">
        <v>40</v>
      </c>
      <c r="I521"/>
      <c r="J521"/>
      <c r="K521"/>
    </row>
    <row r="522" spans="1:11" hidden="1" x14ac:dyDescent="0.3">
      <c r="A522" t="s">
        <v>40</v>
      </c>
      <c r="I522"/>
      <c r="J522"/>
      <c r="K522"/>
    </row>
    <row r="523" spans="1:11" hidden="1" x14ac:dyDescent="0.3">
      <c r="A523" t="s">
        <v>40</v>
      </c>
      <c r="I523"/>
      <c r="J523"/>
      <c r="K523"/>
    </row>
    <row r="524" spans="1:11" hidden="1" x14ac:dyDescent="0.3">
      <c r="A524" t="s">
        <v>40</v>
      </c>
      <c r="I524"/>
      <c r="J524"/>
      <c r="K524"/>
    </row>
    <row r="525" spans="1:11" hidden="1" x14ac:dyDescent="0.3">
      <c r="A525" t="s">
        <v>40</v>
      </c>
      <c r="I525"/>
      <c r="J525"/>
      <c r="K525"/>
    </row>
    <row r="526" spans="1:11" hidden="1" x14ac:dyDescent="0.3">
      <c r="A526" t="s">
        <v>40</v>
      </c>
      <c r="I526"/>
      <c r="J526"/>
      <c r="K526"/>
    </row>
    <row r="527" spans="1:11" hidden="1" x14ac:dyDescent="0.3">
      <c r="A527" t="s">
        <v>40</v>
      </c>
      <c r="I527"/>
      <c r="J527"/>
      <c r="K527"/>
    </row>
    <row r="528" spans="1:11" hidden="1" x14ac:dyDescent="0.3">
      <c r="A528" t="s">
        <v>40</v>
      </c>
      <c r="I528"/>
      <c r="J528"/>
      <c r="K528"/>
    </row>
    <row r="529" spans="1:11" hidden="1" x14ac:dyDescent="0.3">
      <c r="A529" t="s">
        <v>40</v>
      </c>
      <c r="I529"/>
      <c r="J529"/>
      <c r="K529"/>
    </row>
    <row r="530" spans="1:11" hidden="1" x14ac:dyDescent="0.3">
      <c r="A530" t="s">
        <v>40</v>
      </c>
      <c r="I530"/>
      <c r="J530"/>
      <c r="K530"/>
    </row>
    <row r="531" spans="1:11" hidden="1" x14ac:dyDescent="0.3">
      <c r="A531" t="s">
        <v>40</v>
      </c>
      <c r="I531"/>
      <c r="J531"/>
      <c r="K531"/>
    </row>
    <row r="532" spans="1:11" hidden="1" x14ac:dyDescent="0.3">
      <c r="A532" t="s">
        <v>40</v>
      </c>
      <c r="I532"/>
      <c r="J532"/>
      <c r="K532"/>
    </row>
    <row r="533" spans="1:11" hidden="1" x14ac:dyDescent="0.3">
      <c r="A533" t="s">
        <v>40</v>
      </c>
      <c r="I533"/>
      <c r="J533"/>
      <c r="K533"/>
    </row>
    <row r="534" spans="1:11" hidden="1" x14ac:dyDescent="0.3">
      <c r="A534" t="s">
        <v>40</v>
      </c>
      <c r="I534"/>
      <c r="J534"/>
      <c r="K534"/>
    </row>
    <row r="535" spans="1:11" hidden="1" x14ac:dyDescent="0.3">
      <c r="A535" t="s">
        <v>40</v>
      </c>
      <c r="I535"/>
      <c r="J535"/>
      <c r="K535"/>
    </row>
    <row r="536" spans="1:11" hidden="1" x14ac:dyDescent="0.3">
      <c r="A536" t="s">
        <v>40</v>
      </c>
      <c r="I536"/>
      <c r="J536"/>
      <c r="K536"/>
    </row>
    <row r="537" spans="1:11" hidden="1" x14ac:dyDescent="0.3">
      <c r="A537" t="s">
        <v>40</v>
      </c>
      <c r="I537"/>
      <c r="J537"/>
      <c r="K537"/>
    </row>
    <row r="538" spans="1:11" hidden="1" x14ac:dyDescent="0.3">
      <c r="A538" t="s">
        <v>40</v>
      </c>
      <c r="I538"/>
      <c r="J538"/>
      <c r="K538"/>
    </row>
    <row r="539" spans="1:11" hidden="1" x14ac:dyDescent="0.3">
      <c r="A539" t="s">
        <v>40</v>
      </c>
      <c r="I539"/>
      <c r="J539"/>
      <c r="K539"/>
    </row>
    <row r="540" spans="1:11" hidden="1" x14ac:dyDescent="0.3">
      <c r="A540" t="s">
        <v>40</v>
      </c>
      <c r="I540"/>
      <c r="J540"/>
      <c r="K540"/>
    </row>
    <row r="541" spans="1:11" hidden="1" x14ac:dyDescent="0.3">
      <c r="A541" t="s">
        <v>40</v>
      </c>
      <c r="I541"/>
      <c r="J541"/>
      <c r="K541"/>
    </row>
    <row r="542" spans="1:11" hidden="1" x14ac:dyDescent="0.3">
      <c r="A542" t="s">
        <v>40</v>
      </c>
      <c r="I542"/>
      <c r="J542"/>
      <c r="K542"/>
    </row>
    <row r="543" spans="1:11" hidden="1" x14ac:dyDescent="0.3">
      <c r="A543" t="s">
        <v>49</v>
      </c>
      <c r="I543"/>
      <c r="J543"/>
      <c r="K543"/>
    </row>
    <row r="544" spans="1:11" hidden="1" x14ac:dyDescent="0.3">
      <c r="A544" t="s">
        <v>49</v>
      </c>
      <c r="I544"/>
      <c r="J544"/>
      <c r="K544"/>
    </row>
    <row r="545" spans="1:11" hidden="1" x14ac:dyDescent="0.3">
      <c r="A545" t="s">
        <v>49</v>
      </c>
      <c r="I545"/>
      <c r="J545"/>
      <c r="K545"/>
    </row>
    <row r="546" spans="1:11" hidden="1" x14ac:dyDescent="0.3">
      <c r="A546" t="s">
        <v>49</v>
      </c>
      <c r="I546"/>
      <c r="J546"/>
      <c r="K546"/>
    </row>
    <row r="547" spans="1:11" hidden="1" x14ac:dyDescent="0.3">
      <c r="A547" t="s">
        <v>49</v>
      </c>
      <c r="I547"/>
      <c r="J547"/>
      <c r="K547"/>
    </row>
    <row r="548" spans="1:11" hidden="1" x14ac:dyDescent="0.3">
      <c r="A548" t="s">
        <v>49</v>
      </c>
      <c r="I548"/>
      <c r="J548"/>
      <c r="K548"/>
    </row>
    <row r="549" spans="1:11" hidden="1" x14ac:dyDescent="0.3">
      <c r="A549" t="s">
        <v>49</v>
      </c>
      <c r="I549"/>
      <c r="J549"/>
      <c r="K549"/>
    </row>
    <row r="550" spans="1:11" hidden="1" x14ac:dyDescent="0.3">
      <c r="A550" t="s">
        <v>49</v>
      </c>
      <c r="I550"/>
      <c r="J550"/>
      <c r="K550"/>
    </row>
    <row r="551" spans="1:11" hidden="1" x14ac:dyDescent="0.3">
      <c r="A551" t="s">
        <v>49</v>
      </c>
      <c r="I551"/>
      <c r="J551"/>
      <c r="K551"/>
    </row>
    <row r="552" spans="1:11" hidden="1" x14ac:dyDescent="0.3">
      <c r="A552" t="s">
        <v>49</v>
      </c>
      <c r="I552"/>
      <c r="J552"/>
      <c r="K552"/>
    </row>
    <row r="553" spans="1:11" hidden="1" x14ac:dyDescent="0.3">
      <c r="A553" t="s">
        <v>49</v>
      </c>
      <c r="I553"/>
      <c r="J553"/>
      <c r="K553"/>
    </row>
    <row r="554" spans="1:11" hidden="1" x14ac:dyDescent="0.3">
      <c r="A554" t="s">
        <v>49</v>
      </c>
      <c r="I554"/>
      <c r="J554"/>
      <c r="K554"/>
    </row>
    <row r="555" spans="1:11" hidden="1" x14ac:dyDescent="0.3">
      <c r="A555" t="s">
        <v>49</v>
      </c>
      <c r="I555"/>
      <c r="J555"/>
      <c r="K555"/>
    </row>
    <row r="556" spans="1:11" hidden="1" x14ac:dyDescent="0.3">
      <c r="A556" t="s">
        <v>49</v>
      </c>
      <c r="I556"/>
      <c r="J556"/>
      <c r="K556"/>
    </row>
    <row r="557" spans="1:11" hidden="1" x14ac:dyDescent="0.3">
      <c r="A557" t="s">
        <v>49</v>
      </c>
      <c r="I557"/>
      <c r="J557"/>
      <c r="K557"/>
    </row>
    <row r="558" spans="1:11" hidden="1" x14ac:dyDescent="0.3">
      <c r="A558" t="s">
        <v>49</v>
      </c>
      <c r="I558"/>
      <c r="J558"/>
      <c r="K558"/>
    </row>
    <row r="559" spans="1:11" hidden="1" x14ac:dyDescent="0.3">
      <c r="A559" t="s">
        <v>49</v>
      </c>
      <c r="I559"/>
      <c r="J559"/>
      <c r="K559"/>
    </row>
    <row r="560" spans="1:11" hidden="1" x14ac:dyDescent="0.3">
      <c r="A560" t="s">
        <v>49</v>
      </c>
      <c r="I560"/>
      <c r="J560"/>
      <c r="K560"/>
    </row>
    <row r="561" spans="1:11" hidden="1" x14ac:dyDescent="0.3">
      <c r="A561" t="s">
        <v>49</v>
      </c>
      <c r="I561"/>
      <c r="J561"/>
      <c r="K561"/>
    </row>
    <row r="562" spans="1:11" hidden="1" x14ac:dyDescent="0.3">
      <c r="A562" t="s">
        <v>49</v>
      </c>
      <c r="I562"/>
      <c r="J562"/>
      <c r="K562"/>
    </row>
    <row r="563" spans="1:11" hidden="1" x14ac:dyDescent="0.3">
      <c r="A563" t="s">
        <v>49</v>
      </c>
      <c r="I563"/>
      <c r="J563"/>
      <c r="K563"/>
    </row>
    <row r="564" spans="1:11" hidden="1" x14ac:dyDescent="0.3">
      <c r="A564" t="s">
        <v>49</v>
      </c>
      <c r="I564"/>
      <c r="J564"/>
      <c r="K564"/>
    </row>
    <row r="565" spans="1:11" hidden="1" x14ac:dyDescent="0.3">
      <c r="A565" t="s">
        <v>49</v>
      </c>
      <c r="I565"/>
      <c r="J565"/>
      <c r="K565"/>
    </row>
    <row r="566" spans="1:11" hidden="1" x14ac:dyDescent="0.3">
      <c r="A566" t="s">
        <v>49</v>
      </c>
      <c r="I566"/>
      <c r="J566"/>
      <c r="K566"/>
    </row>
    <row r="567" spans="1:11" hidden="1" x14ac:dyDescent="0.3">
      <c r="A567" t="s">
        <v>49</v>
      </c>
      <c r="I567"/>
      <c r="J567"/>
      <c r="K567"/>
    </row>
    <row r="568" spans="1:11" hidden="1" x14ac:dyDescent="0.3">
      <c r="A568" t="s">
        <v>49</v>
      </c>
      <c r="I568"/>
      <c r="J568"/>
      <c r="K568"/>
    </row>
    <row r="569" spans="1:11" hidden="1" x14ac:dyDescent="0.3">
      <c r="A569" t="s">
        <v>49</v>
      </c>
      <c r="I569"/>
      <c r="J569"/>
      <c r="K569"/>
    </row>
    <row r="570" spans="1:11" hidden="1" x14ac:dyDescent="0.3">
      <c r="A570" t="s">
        <v>49</v>
      </c>
      <c r="I570"/>
      <c r="J570"/>
      <c r="K570"/>
    </row>
    <row r="571" spans="1:11" hidden="1" x14ac:dyDescent="0.3">
      <c r="A571" t="s">
        <v>49</v>
      </c>
      <c r="I571"/>
      <c r="J571"/>
      <c r="K571"/>
    </row>
    <row r="572" spans="1:11" hidden="1" x14ac:dyDescent="0.3">
      <c r="A572" t="s">
        <v>49</v>
      </c>
      <c r="I572"/>
      <c r="J572"/>
      <c r="K572"/>
    </row>
    <row r="573" spans="1:11" hidden="1" x14ac:dyDescent="0.3">
      <c r="A573" t="s">
        <v>49</v>
      </c>
      <c r="I573"/>
      <c r="J573"/>
      <c r="K573"/>
    </row>
    <row r="574" spans="1:11" hidden="1" x14ac:dyDescent="0.3">
      <c r="A574" t="s">
        <v>49</v>
      </c>
      <c r="I574"/>
      <c r="J574"/>
      <c r="K574"/>
    </row>
    <row r="575" spans="1:11" hidden="1" x14ac:dyDescent="0.3">
      <c r="A575" t="s">
        <v>49</v>
      </c>
      <c r="I575"/>
      <c r="J575"/>
      <c r="K575"/>
    </row>
    <row r="576" spans="1:11" hidden="1" x14ac:dyDescent="0.3">
      <c r="A576" t="s">
        <v>49</v>
      </c>
      <c r="I576"/>
      <c r="J576"/>
      <c r="K576"/>
    </row>
    <row r="577" spans="1:11" hidden="1" x14ac:dyDescent="0.3">
      <c r="A577" t="s">
        <v>49</v>
      </c>
      <c r="I577"/>
      <c r="J577"/>
      <c r="K577"/>
    </row>
    <row r="578" spans="1:11" hidden="1" x14ac:dyDescent="0.3">
      <c r="A578" t="s">
        <v>49</v>
      </c>
      <c r="I578"/>
      <c r="J578"/>
      <c r="K578"/>
    </row>
    <row r="579" spans="1:11" hidden="1" x14ac:dyDescent="0.3">
      <c r="A579" t="s">
        <v>49</v>
      </c>
      <c r="I579"/>
      <c r="J579"/>
      <c r="K579"/>
    </row>
    <row r="580" spans="1:11" hidden="1" x14ac:dyDescent="0.3">
      <c r="A580" t="s">
        <v>49</v>
      </c>
      <c r="I580"/>
      <c r="J580"/>
      <c r="K580"/>
    </row>
    <row r="581" spans="1:11" hidden="1" x14ac:dyDescent="0.3">
      <c r="A581" t="s">
        <v>49</v>
      </c>
      <c r="I581"/>
      <c r="J581"/>
      <c r="K581"/>
    </row>
    <row r="582" spans="1:11" hidden="1" x14ac:dyDescent="0.3">
      <c r="A582" t="s">
        <v>49</v>
      </c>
      <c r="I582"/>
      <c r="J582"/>
      <c r="K582"/>
    </row>
    <row r="583" spans="1:11" hidden="1" x14ac:dyDescent="0.3">
      <c r="A583" t="s">
        <v>49</v>
      </c>
      <c r="I583"/>
      <c r="J583"/>
      <c r="K583"/>
    </row>
    <row r="584" spans="1:11" hidden="1" x14ac:dyDescent="0.3">
      <c r="A584" t="s">
        <v>49</v>
      </c>
      <c r="I584"/>
      <c r="J584"/>
      <c r="K584"/>
    </row>
    <row r="585" spans="1:11" hidden="1" x14ac:dyDescent="0.3">
      <c r="A585" t="s">
        <v>49</v>
      </c>
      <c r="I585"/>
      <c r="J585"/>
      <c r="K585"/>
    </row>
    <row r="586" spans="1:11" hidden="1" x14ac:dyDescent="0.3">
      <c r="A586" t="s">
        <v>49</v>
      </c>
      <c r="I586"/>
      <c r="J586"/>
      <c r="K586"/>
    </row>
    <row r="587" spans="1:11" hidden="1" x14ac:dyDescent="0.3">
      <c r="A587" t="s">
        <v>49</v>
      </c>
      <c r="I587"/>
      <c r="J587"/>
      <c r="K587"/>
    </row>
    <row r="588" spans="1:11" hidden="1" x14ac:dyDescent="0.3">
      <c r="A588" t="s">
        <v>49</v>
      </c>
      <c r="I588"/>
      <c r="J588"/>
      <c r="K588"/>
    </row>
    <row r="589" spans="1:11" hidden="1" x14ac:dyDescent="0.3">
      <c r="A589" t="s">
        <v>49</v>
      </c>
      <c r="I589"/>
      <c r="J589"/>
      <c r="K589"/>
    </row>
    <row r="590" spans="1:11" hidden="1" x14ac:dyDescent="0.3">
      <c r="A590" t="s">
        <v>49</v>
      </c>
      <c r="I590"/>
      <c r="J590"/>
      <c r="K590"/>
    </row>
    <row r="591" spans="1:11" hidden="1" x14ac:dyDescent="0.3">
      <c r="A591" t="s">
        <v>49</v>
      </c>
      <c r="I591"/>
      <c r="J591"/>
      <c r="K591"/>
    </row>
    <row r="592" spans="1:11" hidden="1" x14ac:dyDescent="0.3">
      <c r="A592" t="s">
        <v>49</v>
      </c>
      <c r="I592"/>
      <c r="J592"/>
      <c r="K592"/>
    </row>
    <row r="593" spans="1:11" hidden="1" x14ac:dyDescent="0.3">
      <c r="A593" t="s">
        <v>49</v>
      </c>
      <c r="I593"/>
      <c r="J593"/>
      <c r="K593"/>
    </row>
    <row r="594" spans="1:11" hidden="1" x14ac:dyDescent="0.3">
      <c r="A594" t="s">
        <v>49</v>
      </c>
      <c r="I594"/>
      <c r="J594"/>
      <c r="K594"/>
    </row>
    <row r="595" spans="1:11" hidden="1" x14ac:dyDescent="0.3">
      <c r="A595" t="s">
        <v>49</v>
      </c>
      <c r="I595"/>
      <c r="J595"/>
      <c r="K595"/>
    </row>
    <row r="596" spans="1:11" hidden="1" x14ac:dyDescent="0.3">
      <c r="A596" t="s">
        <v>49</v>
      </c>
      <c r="I596"/>
      <c r="J596"/>
      <c r="K596"/>
    </row>
    <row r="597" spans="1:11" hidden="1" x14ac:dyDescent="0.3">
      <c r="A597" t="s">
        <v>49</v>
      </c>
      <c r="I597"/>
      <c r="J597"/>
      <c r="K597"/>
    </row>
    <row r="598" spans="1:11" hidden="1" x14ac:dyDescent="0.3">
      <c r="A598" t="s">
        <v>49</v>
      </c>
      <c r="I598"/>
      <c r="J598"/>
      <c r="K598"/>
    </row>
    <row r="599" spans="1:11" hidden="1" x14ac:dyDescent="0.3">
      <c r="A599" t="s">
        <v>49</v>
      </c>
      <c r="I599"/>
      <c r="J599"/>
      <c r="K599"/>
    </row>
    <row r="600" spans="1:11" hidden="1" x14ac:dyDescent="0.3">
      <c r="A600" t="s">
        <v>49</v>
      </c>
      <c r="I600"/>
      <c r="J600"/>
      <c r="K600"/>
    </row>
    <row r="601" spans="1:11" hidden="1" x14ac:dyDescent="0.3">
      <c r="A601" t="s">
        <v>49</v>
      </c>
      <c r="I601"/>
      <c r="J601"/>
      <c r="K601"/>
    </row>
    <row r="602" spans="1:11" hidden="1" x14ac:dyDescent="0.3">
      <c r="A602" t="s">
        <v>49</v>
      </c>
      <c r="I602"/>
      <c r="J602"/>
      <c r="K602"/>
    </row>
    <row r="603" spans="1:11" hidden="1" x14ac:dyDescent="0.3">
      <c r="A603" t="s">
        <v>49</v>
      </c>
      <c r="I603"/>
      <c r="J603"/>
      <c r="K603"/>
    </row>
    <row r="604" spans="1:11" hidden="1" x14ac:dyDescent="0.3">
      <c r="A604" t="s">
        <v>49</v>
      </c>
      <c r="I604"/>
      <c r="J604"/>
      <c r="K604"/>
    </row>
    <row r="605" spans="1:11" hidden="1" x14ac:dyDescent="0.3">
      <c r="A605" t="s">
        <v>49</v>
      </c>
      <c r="I605"/>
      <c r="J605"/>
      <c r="K605"/>
    </row>
    <row r="606" spans="1:11" hidden="1" x14ac:dyDescent="0.3">
      <c r="A606" t="s">
        <v>49</v>
      </c>
      <c r="I606"/>
      <c r="J606"/>
      <c r="K606"/>
    </row>
    <row r="607" spans="1:11" hidden="1" x14ac:dyDescent="0.3">
      <c r="I607"/>
      <c r="J607"/>
      <c r="K607"/>
    </row>
    <row r="608" spans="1:11" hidden="1" x14ac:dyDescent="0.3">
      <c r="I608"/>
      <c r="J608"/>
      <c r="K608"/>
    </row>
    <row r="609" spans="1:11" hidden="1" x14ac:dyDescent="0.3">
      <c r="I609"/>
      <c r="J609"/>
      <c r="K609"/>
    </row>
    <row r="610" spans="1:11" hidden="1" x14ac:dyDescent="0.3">
      <c r="I610"/>
      <c r="J610"/>
      <c r="K610"/>
    </row>
    <row r="611" spans="1:11" hidden="1" x14ac:dyDescent="0.3">
      <c r="I611"/>
      <c r="J611"/>
      <c r="K611"/>
    </row>
    <row r="612" spans="1:11" hidden="1" x14ac:dyDescent="0.3">
      <c r="I612"/>
      <c r="J612"/>
      <c r="K612"/>
    </row>
    <row r="613" spans="1:11" hidden="1" x14ac:dyDescent="0.3">
      <c r="A613" t="s">
        <v>50</v>
      </c>
      <c r="I613"/>
      <c r="J613"/>
      <c r="K613"/>
    </row>
    <row r="614" spans="1:11" hidden="1" x14ac:dyDescent="0.3">
      <c r="A614" t="s">
        <v>50</v>
      </c>
      <c r="I614"/>
      <c r="J614"/>
      <c r="K614"/>
    </row>
    <row r="615" spans="1:11" hidden="1" x14ac:dyDescent="0.3">
      <c r="A615" t="s">
        <v>50</v>
      </c>
      <c r="I615"/>
      <c r="J615"/>
      <c r="K615"/>
    </row>
    <row r="616" spans="1:11" hidden="1" x14ac:dyDescent="0.3">
      <c r="A616" t="s">
        <v>50</v>
      </c>
      <c r="I616"/>
      <c r="J616"/>
      <c r="K616"/>
    </row>
    <row r="617" spans="1:11" hidden="1" x14ac:dyDescent="0.3">
      <c r="A617" t="s">
        <v>50</v>
      </c>
      <c r="I617"/>
      <c r="J617"/>
      <c r="K617"/>
    </row>
    <row r="618" spans="1:11" hidden="1" x14ac:dyDescent="0.3">
      <c r="A618" t="s">
        <v>50</v>
      </c>
      <c r="I618"/>
      <c r="J618"/>
      <c r="K618"/>
    </row>
    <row r="619" spans="1:11" hidden="1" x14ac:dyDescent="0.3">
      <c r="A619" t="s">
        <v>50</v>
      </c>
      <c r="I619"/>
      <c r="J619"/>
      <c r="K619"/>
    </row>
    <row r="620" spans="1:11" hidden="1" x14ac:dyDescent="0.3">
      <c r="A620" t="s">
        <v>50</v>
      </c>
      <c r="I620"/>
      <c r="J620"/>
      <c r="K620"/>
    </row>
    <row r="621" spans="1:11" hidden="1" x14ac:dyDescent="0.3">
      <c r="A621" t="s">
        <v>50</v>
      </c>
      <c r="I621"/>
      <c r="J621"/>
      <c r="K621"/>
    </row>
    <row r="622" spans="1:11" hidden="1" x14ac:dyDescent="0.3">
      <c r="A622" t="s">
        <v>50</v>
      </c>
      <c r="I622"/>
      <c r="J622"/>
      <c r="K622"/>
    </row>
    <row r="623" spans="1:11" hidden="1" x14ac:dyDescent="0.3">
      <c r="A623" t="s">
        <v>50</v>
      </c>
      <c r="I623"/>
      <c r="J623"/>
      <c r="K623"/>
    </row>
    <row r="624" spans="1:11" hidden="1" x14ac:dyDescent="0.3">
      <c r="A624" t="s">
        <v>50</v>
      </c>
      <c r="I624"/>
      <c r="J624"/>
      <c r="K624"/>
    </row>
    <row r="625" spans="1:11" hidden="1" x14ac:dyDescent="0.3">
      <c r="A625" t="s">
        <v>50</v>
      </c>
      <c r="I625"/>
      <c r="J625"/>
      <c r="K625"/>
    </row>
    <row r="626" spans="1:11" hidden="1" x14ac:dyDescent="0.3">
      <c r="A626" t="s">
        <v>50</v>
      </c>
      <c r="I626"/>
      <c r="J626"/>
      <c r="K626"/>
    </row>
    <row r="627" spans="1:11" hidden="1" x14ac:dyDescent="0.3">
      <c r="A627" t="s">
        <v>50</v>
      </c>
      <c r="I627"/>
      <c r="J627"/>
      <c r="K627"/>
    </row>
    <row r="628" spans="1:11" hidden="1" x14ac:dyDescent="0.3">
      <c r="A628" t="s">
        <v>50</v>
      </c>
      <c r="I628"/>
      <c r="J628"/>
      <c r="K628"/>
    </row>
    <row r="629" spans="1:11" hidden="1" x14ac:dyDescent="0.3">
      <c r="A629" t="s">
        <v>50</v>
      </c>
      <c r="I629"/>
      <c r="J629"/>
      <c r="K629"/>
    </row>
    <row r="630" spans="1:11" hidden="1" x14ac:dyDescent="0.3">
      <c r="A630" t="s">
        <v>50</v>
      </c>
      <c r="I630"/>
      <c r="J630"/>
      <c r="K630"/>
    </row>
    <row r="631" spans="1:11" hidden="1" x14ac:dyDescent="0.3">
      <c r="A631" t="s">
        <v>50</v>
      </c>
      <c r="I631"/>
      <c r="J631"/>
      <c r="K631"/>
    </row>
    <row r="632" spans="1:11" hidden="1" x14ac:dyDescent="0.3">
      <c r="A632" t="s">
        <v>50</v>
      </c>
      <c r="I632"/>
      <c r="J632"/>
      <c r="K632"/>
    </row>
    <row r="633" spans="1:11" hidden="1" x14ac:dyDescent="0.3">
      <c r="A633" t="s">
        <v>50</v>
      </c>
      <c r="I633"/>
      <c r="J633"/>
      <c r="K633"/>
    </row>
    <row r="634" spans="1:11" hidden="1" x14ac:dyDescent="0.3">
      <c r="A634" t="s">
        <v>50</v>
      </c>
      <c r="I634"/>
      <c r="J634"/>
      <c r="K634"/>
    </row>
    <row r="635" spans="1:11" hidden="1" x14ac:dyDescent="0.3">
      <c r="A635" t="s">
        <v>50</v>
      </c>
      <c r="I635"/>
      <c r="J635"/>
      <c r="K635"/>
    </row>
    <row r="636" spans="1:11" hidden="1" x14ac:dyDescent="0.3">
      <c r="A636" t="s">
        <v>50</v>
      </c>
      <c r="I636"/>
      <c r="J636"/>
      <c r="K636"/>
    </row>
    <row r="637" spans="1:11" hidden="1" x14ac:dyDescent="0.3">
      <c r="A637" t="s">
        <v>50</v>
      </c>
      <c r="I637"/>
      <c r="J637"/>
      <c r="K637"/>
    </row>
    <row r="638" spans="1:11" hidden="1" x14ac:dyDescent="0.3">
      <c r="A638" t="s">
        <v>50</v>
      </c>
      <c r="I638"/>
      <c r="J638"/>
      <c r="K638"/>
    </row>
    <row r="639" spans="1:11" hidden="1" x14ac:dyDescent="0.3">
      <c r="A639" t="s">
        <v>50</v>
      </c>
      <c r="I639"/>
      <c r="J639"/>
      <c r="K639"/>
    </row>
    <row r="640" spans="1:11" hidden="1" x14ac:dyDescent="0.3">
      <c r="A640" t="s">
        <v>50</v>
      </c>
      <c r="I640"/>
      <c r="J640"/>
      <c r="K640"/>
    </row>
    <row r="641" spans="1:11" hidden="1" x14ac:dyDescent="0.3">
      <c r="A641" t="s">
        <v>50</v>
      </c>
      <c r="I641"/>
      <c r="J641"/>
      <c r="K641"/>
    </row>
    <row r="642" spans="1:11" hidden="1" x14ac:dyDescent="0.3">
      <c r="A642" t="s">
        <v>50</v>
      </c>
      <c r="I642"/>
      <c r="J642"/>
      <c r="K642"/>
    </row>
    <row r="643" spans="1:11" hidden="1" x14ac:dyDescent="0.3">
      <c r="A643" t="s">
        <v>50</v>
      </c>
      <c r="I643"/>
      <c r="J643"/>
      <c r="K643"/>
    </row>
    <row r="644" spans="1:11" hidden="1" x14ac:dyDescent="0.3">
      <c r="A644" t="s">
        <v>50</v>
      </c>
      <c r="I644"/>
      <c r="J644"/>
      <c r="K644"/>
    </row>
    <row r="645" spans="1:11" hidden="1" x14ac:dyDescent="0.3">
      <c r="A645" t="s">
        <v>50</v>
      </c>
      <c r="I645"/>
      <c r="J645"/>
      <c r="K645"/>
    </row>
    <row r="646" spans="1:11" hidden="1" x14ac:dyDescent="0.3">
      <c r="A646" t="s">
        <v>50</v>
      </c>
      <c r="I646"/>
      <c r="J646"/>
      <c r="K646"/>
    </row>
    <row r="647" spans="1:11" hidden="1" x14ac:dyDescent="0.3">
      <c r="A647" t="s">
        <v>50</v>
      </c>
      <c r="I647"/>
      <c r="J647"/>
      <c r="K647"/>
    </row>
    <row r="648" spans="1:11" hidden="1" x14ac:dyDescent="0.3">
      <c r="A648" t="s">
        <v>50</v>
      </c>
      <c r="I648"/>
      <c r="J648"/>
      <c r="K648"/>
    </row>
    <row r="649" spans="1:11" hidden="1" x14ac:dyDescent="0.3">
      <c r="A649" t="s">
        <v>50</v>
      </c>
      <c r="I649"/>
      <c r="J649"/>
      <c r="K649"/>
    </row>
    <row r="650" spans="1:11" hidden="1" x14ac:dyDescent="0.3">
      <c r="A650" t="s">
        <v>50</v>
      </c>
      <c r="I650"/>
      <c r="J650"/>
      <c r="K650"/>
    </row>
    <row r="651" spans="1:11" hidden="1" x14ac:dyDescent="0.3">
      <c r="A651" t="s">
        <v>50</v>
      </c>
      <c r="I651"/>
      <c r="J651"/>
      <c r="K651"/>
    </row>
    <row r="652" spans="1:11" hidden="1" x14ac:dyDescent="0.3">
      <c r="A652" t="s">
        <v>50</v>
      </c>
      <c r="I652"/>
      <c r="J652"/>
      <c r="K652"/>
    </row>
    <row r="653" spans="1:11" hidden="1" x14ac:dyDescent="0.3">
      <c r="A653" t="s">
        <v>50</v>
      </c>
      <c r="I653"/>
      <c r="J653"/>
      <c r="K653"/>
    </row>
    <row r="654" spans="1:11" hidden="1" x14ac:dyDescent="0.3">
      <c r="A654" t="s">
        <v>50</v>
      </c>
      <c r="I654"/>
      <c r="J654"/>
      <c r="K654"/>
    </row>
    <row r="655" spans="1:11" hidden="1" x14ac:dyDescent="0.3">
      <c r="A655" t="s">
        <v>50</v>
      </c>
      <c r="I655"/>
      <c r="J655"/>
      <c r="K655"/>
    </row>
    <row r="656" spans="1:11" hidden="1" x14ac:dyDescent="0.3">
      <c r="A656" t="s">
        <v>50</v>
      </c>
      <c r="I656"/>
      <c r="J656"/>
      <c r="K656"/>
    </row>
    <row r="657" spans="1:11" hidden="1" x14ac:dyDescent="0.3">
      <c r="A657" t="s">
        <v>50</v>
      </c>
      <c r="I657"/>
      <c r="J657"/>
      <c r="K657"/>
    </row>
    <row r="658" spans="1:11" hidden="1" x14ac:dyDescent="0.3">
      <c r="A658" t="s">
        <v>50</v>
      </c>
      <c r="I658"/>
      <c r="J658"/>
      <c r="K658"/>
    </row>
    <row r="659" spans="1:11" hidden="1" x14ac:dyDescent="0.3">
      <c r="A659" t="s">
        <v>50</v>
      </c>
      <c r="I659"/>
      <c r="J659"/>
      <c r="K659"/>
    </row>
    <row r="660" spans="1:11" hidden="1" x14ac:dyDescent="0.3">
      <c r="A660" t="s">
        <v>50</v>
      </c>
      <c r="I660"/>
      <c r="J660"/>
      <c r="K660"/>
    </row>
    <row r="661" spans="1:11" hidden="1" x14ac:dyDescent="0.3">
      <c r="A661" t="s">
        <v>50</v>
      </c>
      <c r="I661"/>
      <c r="J661"/>
      <c r="K661"/>
    </row>
    <row r="662" spans="1:11" hidden="1" x14ac:dyDescent="0.3">
      <c r="A662" t="s">
        <v>50</v>
      </c>
      <c r="I662"/>
      <c r="J662"/>
      <c r="K662"/>
    </row>
    <row r="663" spans="1:11" hidden="1" x14ac:dyDescent="0.3">
      <c r="A663" t="s">
        <v>50</v>
      </c>
      <c r="I663"/>
      <c r="J663"/>
      <c r="K663"/>
    </row>
    <row r="664" spans="1:11" hidden="1" x14ac:dyDescent="0.3">
      <c r="A664" t="s">
        <v>50</v>
      </c>
      <c r="I664"/>
      <c r="J664"/>
      <c r="K664"/>
    </row>
    <row r="665" spans="1:11" hidden="1" x14ac:dyDescent="0.3">
      <c r="A665" t="s">
        <v>50</v>
      </c>
      <c r="I665"/>
      <c r="J665"/>
      <c r="K665"/>
    </row>
    <row r="666" spans="1:11" hidden="1" x14ac:dyDescent="0.3">
      <c r="A666" t="s">
        <v>50</v>
      </c>
      <c r="I666"/>
      <c r="J666"/>
      <c r="K666"/>
    </row>
    <row r="667" spans="1:11" hidden="1" x14ac:dyDescent="0.3">
      <c r="A667" t="s">
        <v>50</v>
      </c>
      <c r="I667"/>
      <c r="J667"/>
      <c r="K667"/>
    </row>
    <row r="668" spans="1:11" hidden="1" x14ac:dyDescent="0.3">
      <c r="A668" t="s">
        <v>50</v>
      </c>
      <c r="I668"/>
      <c r="J668"/>
      <c r="K668"/>
    </row>
    <row r="669" spans="1:11" hidden="1" x14ac:dyDescent="0.3">
      <c r="A669" t="s">
        <v>50</v>
      </c>
      <c r="I669"/>
      <c r="J669"/>
      <c r="K669"/>
    </row>
    <row r="670" spans="1:11" hidden="1" x14ac:dyDescent="0.3">
      <c r="A670" t="s">
        <v>50</v>
      </c>
      <c r="I670"/>
      <c r="J670"/>
      <c r="K670"/>
    </row>
    <row r="671" spans="1:11" hidden="1" x14ac:dyDescent="0.3">
      <c r="A671" t="s">
        <v>50</v>
      </c>
      <c r="I671"/>
      <c r="J671"/>
      <c r="K671"/>
    </row>
    <row r="672" spans="1:11" hidden="1" x14ac:dyDescent="0.3">
      <c r="A672" t="s">
        <v>50</v>
      </c>
      <c r="I672"/>
      <c r="J672"/>
      <c r="K672"/>
    </row>
    <row r="673" spans="1:11" hidden="1" x14ac:dyDescent="0.3">
      <c r="A673" t="s">
        <v>50</v>
      </c>
      <c r="I673"/>
      <c r="J673"/>
      <c r="K673"/>
    </row>
    <row r="674" spans="1:11" hidden="1" x14ac:dyDescent="0.3">
      <c r="A674" t="s">
        <v>50</v>
      </c>
      <c r="I674"/>
      <c r="J674"/>
      <c r="K674"/>
    </row>
    <row r="675" spans="1:11" hidden="1" x14ac:dyDescent="0.3">
      <c r="A675" t="s">
        <v>50</v>
      </c>
      <c r="I675"/>
      <c r="J675"/>
      <c r="K675"/>
    </row>
    <row r="676" spans="1:11" hidden="1" x14ac:dyDescent="0.3">
      <c r="A676" t="s">
        <v>50</v>
      </c>
      <c r="I676"/>
      <c r="J676"/>
      <c r="K676"/>
    </row>
    <row r="677" spans="1:11" hidden="1" x14ac:dyDescent="0.3">
      <c r="I677"/>
      <c r="J677"/>
      <c r="K677"/>
    </row>
    <row r="678" spans="1:11" hidden="1" x14ac:dyDescent="0.3">
      <c r="I678"/>
      <c r="J678"/>
      <c r="K678"/>
    </row>
    <row r="679" spans="1:11" hidden="1" x14ac:dyDescent="0.3">
      <c r="I679"/>
      <c r="J679"/>
      <c r="K679"/>
    </row>
    <row r="680" spans="1:11" hidden="1" x14ac:dyDescent="0.3">
      <c r="I680"/>
      <c r="J680"/>
      <c r="K680"/>
    </row>
    <row r="681" spans="1:11" hidden="1" x14ac:dyDescent="0.3">
      <c r="I681"/>
      <c r="J681"/>
      <c r="K681"/>
    </row>
    <row r="682" spans="1:11" hidden="1" x14ac:dyDescent="0.3">
      <c r="I682"/>
      <c r="J682"/>
      <c r="K682"/>
    </row>
    <row r="683" spans="1:11" hidden="1" x14ac:dyDescent="0.3">
      <c r="A683" t="s">
        <v>51</v>
      </c>
      <c r="I683"/>
      <c r="J683"/>
      <c r="K683"/>
    </row>
    <row r="684" spans="1:11" hidden="1" x14ac:dyDescent="0.3">
      <c r="A684" t="s">
        <v>51</v>
      </c>
      <c r="I684"/>
      <c r="J684"/>
      <c r="K684"/>
    </row>
    <row r="685" spans="1:11" hidden="1" x14ac:dyDescent="0.3">
      <c r="A685" t="s">
        <v>51</v>
      </c>
      <c r="I685"/>
      <c r="J685"/>
      <c r="K685"/>
    </row>
    <row r="686" spans="1:11" hidden="1" x14ac:dyDescent="0.3">
      <c r="A686" t="s">
        <v>51</v>
      </c>
      <c r="I686"/>
      <c r="J686"/>
      <c r="K686"/>
    </row>
    <row r="687" spans="1:11" hidden="1" x14ac:dyDescent="0.3">
      <c r="A687" t="s">
        <v>51</v>
      </c>
      <c r="I687"/>
      <c r="J687"/>
      <c r="K687"/>
    </row>
    <row r="688" spans="1:11" hidden="1" x14ac:dyDescent="0.3">
      <c r="A688" t="s">
        <v>51</v>
      </c>
      <c r="I688"/>
      <c r="J688"/>
      <c r="K688"/>
    </row>
    <row r="689" spans="1:11" hidden="1" x14ac:dyDescent="0.3">
      <c r="A689" t="s">
        <v>51</v>
      </c>
      <c r="I689"/>
      <c r="J689"/>
      <c r="K689"/>
    </row>
    <row r="690" spans="1:11" hidden="1" x14ac:dyDescent="0.3">
      <c r="A690" t="s">
        <v>51</v>
      </c>
      <c r="I690"/>
      <c r="J690"/>
      <c r="K690"/>
    </row>
    <row r="691" spans="1:11" hidden="1" x14ac:dyDescent="0.3">
      <c r="A691" t="s">
        <v>51</v>
      </c>
      <c r="I691"/>
      <c r="J691"/>
      <c r="K691"/>
    </row>
    <row r="692" spans="1:11" hidden="1" x14ac:dyDescent="0.3">
      <c r="A692" t="s">
        <v>51</v>
      </c>
      <c r="I692"/>
      <c r="J692"/>
      <c r="K692"/>
    </row>
    <row r="693" spans="1:11" hidden="1" x14ac:dyDescent="0.3">
      <c r="A693" t="s">
        <v>51</v>
      </c>
      <c r="I693"/>
      <c r="J693"/>
      <c r="K693"/>
    </row>
    <row r="694" spans="1:11" hidden="1" x14ac:dyDescent="0.3">
      <c r="A694" t="s">
        <v>51</v>
      </c>
      <c r="I694"/>
      <c r="J694"/>
      <c r="K694"/>
    </row>
    <row r="695" spans="1:11" hidden="1" x14ac:dyDescent="0.3">
      <c r="A695" t="s">
        <v>51</v>
      </c>
      <c r="I695"/>
      <c r="J695"/>
      <c r="K695"/>
    </row>
    <row r="696" spans="1:11" hidden="1" x14ac:dyDescent="0.3">
      <c r="A696" t="s">
        <v>51</v>
      </c>
      <c r="I696"/>
      <c r="J696"/>
      <c r="K696"/>
    </row>
    <row r="697" spans="1:11" hidden="1" x14ac:dyDescent="0.3">
      <c r="A697" t="s">
        <v>51</v>
      </c>
      <c r="I697"/>
      <c r="J697"/>
      <c r="K697"/>
    </row>
    <row r="698" spans="1:11" hidden="1" x14ac:dyDescent="0.3">
      <c r="A698" t="s">
        <v>51</v>
      </c>
      <c r="I698"/>
      <c r="J698"/>
      <c r="K698"/>
    </row>
    <row r="699" spans="1:11" hidden="1" x14ac:dyDescent="0.3">
      <c r="A699" t="s">
        <v>51</v>
      </c>
      <c r="I699"/>
      <c r="J699"/>
      <c r="K699"/>
    </row>
    <row r="700" spans="1:11" hidden="1" x14ac:dyDescent="0.3">
      <c r="A700" t="s">
        <v>51</v>
      </c>
      <c r="I700"/>
      <c r="J700"/>
      <c r="K700"/>
    </row>
    <row r="701" spans="1:11" hidden="1" x14ac:dyDescent="0.3">
      <c r="A701" t="s">
        <v>51</v>
      </c>
      <c r="I701"/>
      <c r="J701"/>
      <c r="K701"/>
    </row>
    <row r="702" spans="1:11" hidden="1" x14ac:dyDescent="0.3">
      <c r="A702" t="s">
        <v>51</v>
      </c>
      <c r="I702"/>
      <c r="J702"/>
      <c r="K702"/>
    </row>
    <row r="703" spans="1:11" hidden="1" x14ac:dyDescent="0.3">
      <c r="A703" t="s">
        <v>51</v>
      </c>
      <c r="I703"/>
      <c r="J703"/>
      <c r="K703"/>
    </row>
    <row r="704" spans="1:11" hidden="1" x14ac:dyDescent="0.3">
      <c r="A704" t="s">
        <v>51</v>
      </c>
      <c r="I704"/>
      <c r="J704"/>
      <c r="K704"/>
    </row>
    <row r="705" spans="1:11" hidden="1" x14ac:dyDescent="0.3">
      <c r="A705" t="s">
        <v>51</v>
      </c>
      <c r="I705"/>
      <c r="J705"/>
      <c r="K705"/>
    </row>
    <row r="706" spans="1:11" hidden="1" x14ac:dyDescent="0.3">
      <c r="A706" t="s">
        <v>51</v>
      </c>
      <c r="I706"/>
      <c r="J706"/>
      <c r="K706"/>
    </row>
    <row r="707" spans="1:11" hidden="1" x14ac:dyDescent="0.3">
      <c r="A707" t="s">
        <v>51</v>
      </c>
      <c r="I707"/>
      <c r="J707"/>
      <c r="K707"/>
    </row>
    <row r="708" spans="1:11" hidden="1" x14ac:dyDescent="0.3">
      <c r="A708" t="s">
        <v>51</v>
      </c>
      <c r="I708"/>
      <c r="J708"/>
      <c r="K708"/>
    </row>
    <row r="709" spans="1:11" hidden="1" x14ac:dyDescent="0.3">
      <c r="A709" t="s">
        <v>51</v>
      </c>
      <c r="I709"/>
      <c r="J709"/>
      <c r="K709"/>
    </row>
    <row r="710" spans="1:11" hidden="1" x14ac:dyDescent="0.3">
      <c r="A710" t="s">
        <v>51</v>
      </c>
      <c r="I710"/>
      <c r="J710"/>
      <c r="K710"/>
    </row>
    <row r="711" spans="1:11" hidden="1" x14ac:dyDescent="0.3">
      <c r="A711" t="s">
        <v>51</v>
      </c>
      <c r="I711"/>
      <c r="J711"/>
      <c r="K711"/>
    </row>
    <row r="712" spans="1:11" hidden="1" x14ac:dyDescent="0.3">
      <c r="A712" t="s">
        <v>51</v>
      </c>
      <c r="I712"/>
      <c r="J712"/>
      <c r="K712"/>
    </row>
    <row r="713" spans="1:11" hidden="1" x14ac:dyDescent="0.3">
      <c r="A713" t="s">
        <v>51</v>
      </c>
      <c r="I713"/>
      <c r="J713"/>
      <c r="K713"/>
    </row>
    <row r="714" spans="1:11" hidden="1" x14ac:dyDescent="0.3">
      <c r="A714" t="s">
        <v>51</v>
      </c>
      <c r="I714"/>
      <c r="J714"/>
      <c r="K714"/>
    </row>
    <row r="715" spans="1:11" hidden="1" x14ac:dyDescent="0.3">
      <c r="A715" t="s">
        <v>51</v>
      </c>
      <c r="I715"/>
      <c r="J715"/>
      <c r="K715"/>
    </row>
    <row r="716" spans="1:11" hidden="1" x14ac:dyDescent="0.3">
      <c r="A716" t="s">
        <v>51</v>
      </c>
      <c r="I716"/>
      <c r="J716"/>
      <c r="K716"/>
    </row>
    <row r="717" spans="1:11" hidden="1" x14ac:dyDescent="0.3">
      <c r="A717" t="s">
        <v>51</v>
      </c>
      <c r="I717"/>
      <c r="J717"/>
      <c r="K717"/>
    </row>
    <row r="718" spans="1:11" hidden="1" x14ac:dyDescent="0.3">
      <c r="A718" t="s">
        <v>51</v>
      </c>
      <c r="I718"/>
      <c r="J718"/>
      <c r="K718"/>
    </row>
    <row r="719" spans="1:11" hidden="1" x14ac:dyDescent="0.3">
      <c r="A719" t="s">
        <v>51</v>
      </c>
      <c r="I719"/>
      <c r="J719"/>
      <c r="K719"/>
    </row>
    <row r="720" spans="1:11" hidden="1" x14ac:dyDescent="0.3">
      <c r="A720" t="s">
        <v>51</v>
      </c>
      <c r="I720"/>
      <c r="J720"/>
      <c r="K720"/>
    </row>
    <row r="721" spans="1:11" hidden="1" x14ac:dyDescent="0.3">
      <c r="A721" t="s">
        <v>51</v>
      </c>
      <c r="I721"/>
      <c r="J721"/>
      <c r="K721"/>
    </row>
    <row r="722" spans="1:11" hidden="1" x14ac:dyDescent="0.3">
      <c r="A722" t="s">
        <v>51</v>
      </c>
      <c r="I722"/>
      <c r="J722"/>
      <c r="K722"/>
    </row>
    <row r="723" spans="1:11" hidden="1" x14ac:dyDescent="0.3">
      <c r="A723" t="s">
        <v>51</v>
      </c>
      <c r="I723"/>
      <c r="J723"/>
      <c r="K723"/>
    </row>
    <row r="724" spans="1:11" hidden="1" x14ac:dyDescent="0.3">
      <c r="A724" t="s">
        <v>51</v>
      </c>
      <c r="I724"/>
      <c r="J724"/>
      <c r="K724"/>
    </row>
    <row r="725" spans="1:11" hidden="1" x14ac:dyDescent="0.3">
      <c r="A725" t="s">
        <v>51</v>
      </c>
      <c r="I725"/>
      <c r="J725"/>
      <c r="K725"/>
    </row>
    <row r="726" spans="1:11" hidden="1" x14ac:dyDescent="0.3">
      <c r="A726" t="s">
        <v>51</v>
      </c>
      <c r="I726"/>
      <c r="J726"/>
      <c r="K726"/>
    </row>
    <row r="727" spans="1:11" hidden="1" x14ac:dyDescent="0.3">
      <c r="A727" t="s">
        <v>51</v>
      </c>
      <c r="I727"/>
      <c r="J727"/>
      <c r="K727"/>
    </row>
    <row r="728" spans="1:11" hidden="1" x14ac:dyDescent="0.3">
      <c r="A728" t="s">
        <v>51</v>
      </c>
      <c r="I728"/>
      <c r="J728"/>
      <c r="K728"/>
    </row>
    <row r="729" spans="1:11" hidden="1" x14ac:dyDescent="0.3">
      <c r="A729" t="s">
        <v>51</v>
      </c>
      <c r="I729"/>
      <c r="J729"/>
      <c r="K729"/>
    </row>
    <row r="730" spans="1:11" hidden="1" x14ac:dyDescent="0.3">
      <c r="A730" t="s">
        <v>51</v>
      </c>
      <c r="I730"/>
      <c r="J730"/>
      <c r="K730"/>
    </row>
    <row r="731" spans="1:11" hidden="1" x14ac:dyDescent="0.3">
      <c r="A731" t="s">
        <v>51</v>
      </c>
      <c r="I731"/>
      <c r="J731"/>
      <c r="K731"/>
    </row>
    <row r="732" spans="1:11" hidden="1" x14ac:dyDescent="0.3">
      <c r="A732" t="s">
        <v>51</v>
      </c>
      <c r="I732"/>
      <c r="J732"/>
      <c r="K732"/>
    </row>
    <row r="733" spans="1:11" hidden="1" x14ac:dyDescent="0.3">
      <c r="A733" t="s">
        <v>51</v>
      </c>
      <c r="I733"/>
      <c r="J733"/>
      <c r="K733"/>
    </row>
    <row r="734" spans="1:11" hidden="1" x14ac:dyDescent="0.3">
      <c r="A734" t="s">
        <v>51</v>
      </c>
      <c r="I734"/>
      <c r="J734"/>
      <c r="K734"/>
    </row>
    <row r="735" spans="1:11" hidden="1" x14ac:dyDescent="0.3">
      <c r="A735" t="s">
        <v>51</v>
      </c>
      <c r="I735"/>
      <c r="J735"/>
      <c r="K735"/>
    </row>
    <row r="736" spans="1:11" hidden="1" x14ac:dyDescent="0.3">
      <c r="A736" t="s">
        <v>51</v>
      </c>
      <c r="I736"/>
      <c r="J736"/>
      <c r="K736"/>
    </row>
    <row r="737" spans="1:11" hidden="1" x14ac:dyDescent="0.3">
      <c r="A737" t="s">
        <v>51</v>
      </c>
      <c r="I737"/>
      <c r="J737"/>
      <c r="K737"/>
    </row>
    <row r="738" spans="1:11" hidden="1" x14ac:dyDescent="0.3">
      <c r="A738" t="s">
        <v>51</v>
      </c>
      <c r="I738"/>
      <c r="J738"/>
      <c r="K738"/>
    </row>
    <row r="739" spans="1:11" hidden="1" x14ac:dyDescent="0.3">
      <c r="A739" t="s">
        <v>51</v>
      </c>
      <c r="I739"/>
      <c r="J739"/>
      <c r="K739"/>
    </row>
    <row r="740" spans="1:11" hidden="1" x14ac:dyDescent="0.3">
      <c r="A740" t="s">
        <v>51</v>
      </c>
      <c r="I740"/>
      <c r="J740"/>
      <c r="K740"/>
    </row>
    <row r="741" spans="1:11" hidden="1" x14ac:dyDescent="0.3">
      <c r="A741" t="s">
        <v>51</v>
      </c>
      <c r="I741"/>
      <c r="J741"/>
      <c r="K741"/>
    </row>
    <row r="742" spans="1:11" hidden="1" x14ac:dyDescent="0.3">
      <c r="A742" t="s">
        <v>51</v>
      </c>
      <c r="I742"/>
      <c r="J742"/>
      <c r="K742"/>
    </row>
    <row r="743" spans="1:11" hidden="1" x14ac:dyDescent="0.3">
      <c r="A743" t="s">
        <v>51</v>
      </c>
      <c r="I743"/>
      <c r="J743"/>
      <c r="K743"/>
    </row>
    <row r="744" spans="1:11" hidden="1" x14ac:dyDescent="0.3">
      <c r="A744" t="s">
        <v>51</v>
      </c>
      <c r="I744"/>
      <c r="J744"/>
      <c r="K744"/>
    </row>
    <row r="745" spans="1:11" hidden="1" x14ac:dyDescent="0.3">
      <c r="A745" t="s">
        <v>51</v>
      </c>
      <c r="I745"/>
      <c r="J745"/>
      <c r="K745"/>
    </row>
    <row r="746" spans="1:11" hidden="1" x14ac:dyDescent="0.3">
      <c r="A746" t="s">
        <v>51</v>
      </c>
      <c r="I746"/>
      <c r="J746"/>
      <c r="K746"/>
    </row>
    <row r="747" spans="1:11" hidden="1" x14ac:dyDescent="0.3">
      <c r="I747"/>
      <c r="J747"/>
      <c r="K747"/>
    </row>
    <row r="748" spans="1:11" hidden="1" x14ac:dyDescent="0.3">
      <c r="I748"/>
      <c r="J748"/>
      <c r="K748"/>
    </row>
    <row r="749" spans="1:11" hidden="1" x14ac:dyDescent="0.3">
      <c r="I749"/>
      <c r="J749"/>
      <c r="K749"/>
    </row>
    <row r="750" spans="1:11" hidden="1" x14ac:dyDescent="0.3">
      <c r="I750"/>
      <c r="J750"/>
      <c r="K750"/>
    </row>
    <row r="751" spans="1:11" hidden="1" x14ac:dyDescent="0.3">
      <c r="I751"/>
      <c r="J751"/>
      <c r="K751"/>
    </row>
    <row r="752" spans="1:11" hidden="1" x14ac:dyDescent="0.3">
      <c r="I752"/>
      <c r="J752"/>
      <c r="K752"/>
    </row>
    <row r="753" spans="1:11" hidden="1" x14ac:dyDescent="0.3">
      <c r="A753" t="s">
        <v>52</v>
      </c>
      <c r="I753"/>
      <c r="J753"/>
      <c r="K753"/>
    </row>
    <row r="754" spans="1:11" hidden="1" x14ac:dyDescent="0.3">
      <c r="A754" t="s">
        <v>52</v>
      </c>
      <c r="I754"/>
      <c r="J754"/>
      <c r="K754"/>
    </row>
    <row r="755" spans="1:11" hidden="1" x14ac:dyDescent="0.3">
      <c r="A755" t="s">
        <v>52</v>
      </c>
      <c r="I755"/>
      <c r="J755"/>
      <c r="K755"/>
    </row>
    <row r="756" spans="1:11" hidden="1" x14ac:dyDescent="0.3">
      <c r="A756" t="s">
        <v>52</v>
      </c>
      <c r="I756"/>
      <c r="J756"/>
      <c r="K756"/>
    </row>
    <row r="757" spans="1:11" hidden="1" x14ac:dyDescent="0.3">
      <c r="A757" t="s">
        <v>52</v>
      </c>
      <c r="I757"/>
      <c r="J757"/>
      <c r="K757"/>
    </row>
    <row r="758" spans="1:11" hidden="1" x14ac:dyDescent="0.3">
      <c r="A758" t="s">
        <v>52</v>
      </c>
      <c r="I758"/>
      <c r="J758"/>
      <c r="K758"/>
    </row>
    <row r="759" spans="1:11" hidden="1" x14ac:dyDescent="0.3">
      <c r="A759" t="s">
        <v>52</v>
      </c>
      <c r="I759"/>
      <c r="J759"/>
      <c r="K759"/>
    </row>
    <row r="760" spans="1:11" hidden="1" x14ac:dyDescent="0.3">
      <c r="A760" t="s">
        <v>52</v>
      </c>
      <c r="I760"/>
      <c r="J760"/>
      <c r="K760"/>
    </row>
    <row r="761" spans="1:11" hidden="1" x14ac:dyDescent="0.3">
      <c r="A761" t="s">
        <v>52</v>
      </c>
      <c r="I761"/>
      <c r="J761"/>
      <c r="K761"/>
    </row>
    <row r="762" spans="1:11" hidden="1" x14ac:dyDescent="0.3">
      <c r="A762" t="s">
        <v>52</v>
      </c>
      <c r="I762"/>
      <c r="J762"/>
      <c r="K762"/>
    </row>
    <row r="763" spans="1:11" hidden="1" x14ac:dyDescent="0.3">
      <c r="A763" t="s">
        <v>52</v>
      </c>
      <c r="I763"/>
      <c r="J763"/>
      <c r="K763"/>
    </row>
    <row r="764" spans="1:11" hidden="1" x14ac:dyDescent="0.3">
      <c r="A764" t="s">
        <v>52</v>
      </c>
      <c r="I764"/>
      <c r="J764"/>
      <c r="K764"/>
    </row>
    <row r="765" spans="1:11" hidden="1" x14ac:dyDescent="0.3">
      <c r="A765" t="s">
        <v>52</v>
      </c>
      <c r="I765"/>
      <c r="J765"/>
      <c r="K765"/>
    </row>
    <row r="766" spans="1:11" hidden="1" x14ac:dyDescent="0.3">
      <c r="A766" t="s">
        <v>52</v>
      </c>
      <c r="I766"/>
      <c r="J766"/>
      <c r="K766"/>
    </row>
    <row r="767" spans="1:11" hidden="1" x14ac:dyDescent="0.3">
      <c r="A767" t="s">
        <v>52</v>
      </c>
      <c r="I767"/>
      <c r="J767"/>
      <c r="K767"/>
    </row>
    <row r="768" spans="1:11" hidden="1" x14ac:dyDescent="0.3">
      <c r="A768" t="s">
        <v>52</v>
      </c>
      <c r="I768"/>
      <c r="J768"/>
      <c r="K768"/>
    </row>
    <row r="769" spans="1:11" hidden="1" x14ac:dyDescent="0.3">
      <c r="A769" t="s">
        <v>52</v>
      </c>
      <c r="I769"/>
      <c r="J769"/>
      <c r="K769"/>
    </row>
    <row r="770" spans="1:11" hidden="1" x14ac:dyDescent="0.3">
      <c r="A770" t="s">
        <v>52</v>
      </c>
      <c r="I770"/>
      <c r="J770"/>
      <c r="K770"/>
    </row>
    <row r="771" spans="1:11" hidden="1" x14ac:dyDescent="0.3">
      <c r="A771" t="s">
        <v>52</v>
      </c>
      <c r="I771"/>
      <c r="J771"/>
      <c r="K771"/>
    </row>
    <row r="772" spans="1:11" hidden="1" x14ac:dyDescent="0.3">
      <c r="A772" t="s">
        <v>52</v>
      </c>
      <c r="I772"/>
      <c r="J772"/>
      <c r="K772"/>
    </row>
    <row r="773" spans="1:11" hidden="1" x14ac:dyDescent="0.3">
      <c r="A773" t="s">
        <v>52</v>
      </c>
      <c r="I773"/>
      <c r="J773"/>
      <c r="K773"/>
    </row>
    <row r="774" spans="1:11" hidden="1" x14ac:dyDescent="0.3">
      <c r="A774" t="s">
        <v>52</v>
      </c>
      <c r="I774"/>
      <c r="J774"/>
      <c r="K774"/>
    </row>
    <row r="775" spans="1:11" hidden="1" x14ac:dyDescent="0.3">
      <c r="A775" t="s">
        <v>52</v>
      </c>
      <c r="I775"/>
      <c r="J775"/>
      <c r="K775"/>
    </row>
    <row r="776" spans="1:11" hidden="1" x14ac:dyDescent="0.3">
      <c r="A776" t="s">
        <v>52</v>
      </c>
      <c r="I776"/>
      <c r="J776"/>
      <c r="K776"/>
    </row>
    <row r="777" spans="1:11" hidden="1" x14ac:dyDescent="0.3">
      <c r="A777" t="s">
        <v>52</v>
      </c>
      <c r="I777"/>
      <c r="J777"/>
      <c r="K777"/>
    </row>
    <row r="778" spans="1:11" hidden="1" x14ac:dyDescent="0.3">
      <c r="A778" t="s">
        <v>52</v>
      </c>
      <c r="I778"/>
      <c r="J778"/>
      <c r="K778"/>
    </row>
    <row r="779" spans="1:11" hidden="1" x14ac:dyDescent="0.3">
      <c r="A779" t="s">
        <v>52</v>
      </c>
      <c r="I779"/>
      <c r="J779"/>
      <c r="K779"/>
    </row>
    <row r="780" spans="1:11" hidden="1" x14ac:dyDescent="0.3">
      <c r="A780" t="s">
        <v>52</v>
      </c>
      <c r="I780"/>
      <c r="J780"/>
      <c r="K780"/>
    </row>
    <row r="781" spans="1:11" hidden="1" x14ac:dyDescent="0.3">
      <c r="A781" t="s">
        <v>52</v>
      </c>
      <c r="I781"/>
      <c r="J781"/>
      <c r="K781"/>
    </row>
    <row r="782" spans="1:11" hidden="1" x14ac:dyDescent="0.3">
      <c r="A782" t="s">
        <v>52</v>
      </c>
      <c r="I782"/>
      <c r="J782"/>
      <c r="K782"/>
    </row>
    <row r="783" spans="1:11" hidden="1" x14ac:dyDescent="0.3">
      <c r="A783" t="s">
        <v>52</v>
      </c>
      <c r="I783"/>
      <c r="J783"/>
      <c r="K783"/>
    </row>
    <row r="784" spans="1:11" hidden="1" x14ac:dyDescent="0.3">
      <c r="A784" t="s">
        <v>52</v>
      </c>
      <c r="I784"/>
      <c r="J784"/>
      <c r="K784"/>
    </row>
    <row r="785" spans="1:11" hidden="1" x14ac:dyDescent="0.3">
      <c r="A785" t="s">
        <v>52</v>
      </c>
      <c r="I785"/>
      <c r="J785"/>
      <c r="K785"/>
    </row>
    <row r="786" spans="1:11" hidden="1" x14ac:dyDescent="0.3">
      <c r="A786" t="s">
        <v>52</v>
      </c>
      <c r="I786"/>
      <c r="J786"/>
      <c r="K786"/>
    </row>
    <row r="787" spans="1:11" hidden="1" x14ac:dyDescent="0.3">
      <c r="A787" t="s">
        <v>52</v>
      </c>
      <c r="I787"/>
      <c r="J787"/>
      <c r="K787"/>
    </row>
    <row r="788" spans="1:11" hidden="1" x14ac:dyDescent="0.3">
      <c r="A788" t="s">
        <v>52</v>
      </c>
      <c r="I788"/>
      <c r="J788"/>
      <c r="K788"/>
    </row>
    <row r="789" spans="1:11" hidden="1" x14ac:dyDescent="0.3">
      <c r="A789" t="s">
        <v>52</v>
      </c>
      <c r="I789"/>
      <c r="J789"/>
      <c r="K789"/>
    </row>
    <row r="790" spans="1:11" hidden="1" x14ac:dyDescent="0.3">
      <c r="A790" t="s">
        <v>52</v>
      </c>
      <c r="I790"/>
      <c r="J790"/>
      <c r="K790"/>
    </row>
    <row r="791" spans="1:11" hidden="1" x14ac:dyDescent="0.3">
      <c r="A791" t="s">
        <v>52</v>
      </c>
      <c r="I791"/>
      <c r="J791"/>
      <c r="K791"/>
    </row>
    <row r="792" spans="1:11" hidden="1" x14ac:dyDescent="0.3">
      <c r="A792" t="s">
        <v>52</v>
      </c>
      <c r="I792"/>
      <c r="J792"/>
      <c r="K792"/>
    </row>
    <row r="793" spans="1:11" hidden="1" x14ac:dyDescent="0.3">
      <c r="A793" t="s">
        <v>52</v>
      </c>
      <c r="I793"/>
      <c r="J793"/>
      <c r="K793"/>
    </row>
    <row r="794" spans="1:11" hidden="1" x14ac:dyDescent="0.3">
      <c r="A794" t="s">
        <v>52</v>
      </c>
      <c r="I794"/>
      <c r="J794"/>
      <c r="K794"/>
    </row>
    <row r="795" spans="1:11" hidden="1" x14ac:dyDescent="0.3">
      <c r="A795" t="s">
        <v>52</v>
      </c>
      <c r="I795"/>
      <c r="J795"/>
      <c r="K795"/>
    </row>
    <row r="796" spans="1:11" hidden="1" x14ac:dyDescent="0.3">
      <c r="A796" t="s">
        <v>52</v>
      </c>
      <c r="I796"/>
      <c r="J796"/>
      <c r="K796"/>
    </row>
    <row r="797" spans="1:11" hidden="1" x14ac:dyDescent="0.3">
      <c r="A797" t="s">
        <v>52</v>
      </c>
      <c r="I797"/>
      <c r="J797"/>
      <c r="K797"/>
    </row>
    <row r="798" spans="1:11" hidden="1" x14ac:dyDescent="0.3">
      <c r="A798" t="s">
        <v>52</v>
      </c>
      <c r="I798"/>
      <c r="J798"/>
      <c r="K798"/>
    </row>
    <row r="799" spans="1:11" hidden="1" x14ac:dyDescent="0.3">
      <c r="A799" t="s">
        <v>52</v>
      </c>
      <c r="I799"/>
      <c r="J799"/>
      <c r="K799"/>
    </row>
    <row r="800" spans="1:11" hidden="1" x14ac:dyDescent="0.3">
      <c r="A800" t="s">
        <v>52</v>
      </c>
      <c r="I800"/>
      <c r="J800"/>
      <c r="K800"/>
    </row>
    <row r="801" spans="1:11" hidden="1" x14ac:dyDescent="0.3">
      <c r="A801" t="s">
        <v>52</v>
      </c>
      <c r="I801"/>
      <c r="J801"/>
      <c r="K801"/>
    </row>
    <row r="802" spans="1:11" hidden="1" x14ac:dyDescent="0.3">
      <c r="A802" t="s">
        <v>52</v>
      </c>
      <c r="I802"/>
      <c r="J802"/>
      <c r="K802"/>
    </row>
    <row r="803" spans="1:11" hidden="1" x14ac:dyDescent="0.3">
      <c r="A803" t="s">
        <v>52</v>
      </c>
      <c r="I803"/>
      <c r="J803"/>
      <c r="K803"/>
    </row>
    <row r="804" spans="1:11" hidden="1" x14ac:dyDescent="0.3">
      <c r="A804" t="s">
        <v>52</v>
      </c>
      <c r="I804"/>
      <c r="J804"/>
      <c r="K804"/>
    </row>
    <row r="805" spans="1:11" hidden="1" x14ac:dyDescent="0.3">
      <c r="A805" t="s">
        <v>52</v>
      </c>
      <c r="I805"/>
      <c r="J805"/>
      <c r="K805"/>
    </row>
    <row r="806" spans="1:11" hidden="1" x14ac:dyDescent="0.3">
      <c r="A806" t="s">
        <v>52</v>
      </c>
      <c r="I806"/>
      <c r="J806"/>
      <c r="K806"/>
    </row>
    <row r="807" spans="1:11" hidden="1" x14ac:dyDescent="0.3">
      <c r="A807" t="s">
        <v>52</v>
      </c>
      <c r="I807"/>
      <c r="J807"/>
      <c r="K807"/>
    </row>
    <row r="808" spans="1:11" hidden="1" x14ac:dyDescent="0.3">
      <c r="A808" t="s">
        <v>52</v>
      </c>
      <c r="I808"/>
      <c r="J808"/>
      <c r="K808"/>
    </row>
    <row r="809" spans="1:11" hidden="1" x14ac:dyDescent="0.3">
      <c r="A809" t="s">
        <v>52</v>
      </c>
      <c r="I809"/>
      <c r="J809"/>
      <c r="K809"/>
    </row>
    <row r="810" spans="1:11" hidden="1" x14ac:dyDescent="0.3">
      <c r="A810" t="s">
        <v>52</v>
      </c>
      <c r="I810"/>
      <c r="J810"/>
      <c r="K810"/>
    </row>
    <row r="811" spans="1:11" hidden="1" x14ac:dyDescent="0.3">
      <c r="A811" t="s">
        <v>52</v>
      </c>
      <c r="I811"/>
      <c r="J811"/>
      <c r="K811"/>
    </row>
    <row r="812" spans="1:11" hidden="1" x14ac:dyDescent="0.3">
      <c r="A812" t="s">
        <v>52</v>
      </c>
      <c r="I812"/>
      <c r="J812"/>
      <c r="K812"/>
    </row>
    <row r="813" spans="1:11" hidden="1" x14ac:dyDescent="0.3">
      <c r="A813" t="s">
        <v>52</v>
      </c>
      <c r="I813"/>
      <c r="J813"/>
      <c r="K813"/>
    </row>
    <row r="814" spans="1:11" hidden="1" x14ac:dyDescent="0.3">
      <c r="A814" t="s">
        <v>52</v>
      </c>
      <c r="I814"/>
      <c r="J814"/>
      <c r="K814"/>
    </row>
    <row r="815" spans="1:11" hidden="1" x14ac:dyDescent="0.3">
      <c r="A815" t="s">
        <v>52</v>
      </c>
      <c r="I815"/>
      <c r="J815"/>
      <c r="K815"/>
    </row>
    <row r="816" spans="1:11" hidden="1" x14ac:dyDescent="0.3">
      <c r="A816" t="s">
        <v>52</v>
      </c>
      <c r="I816"/>
      <c r="J816"/>
      <c r="K816"/>
    </row>
    <row r="817" spans="1:11" hidden="1" x14ac:dyDescent="0.3">
      <c r="I817"/>
      <c r="J817"/>
      <c r="K817"/>
    </row>
    <row r="818" spans="1:11" hidden="1" x14ac:dyDescent="0.3">
      <c r="I818"/>
      <c r="J818"/>
      <c r="K818"/>
    </row>
    <row r="819" spans="1:11" hidden="1" x14ac:dyDescent="0.3">
      <c r="I819"/>
      <c r="J819"/>
      <c r="K819"/>
    </row>
    <row r="820" spans="1:11" hidden="1" x14ac:dyDescent="0.3">
      <c r="I820"/>
      <c r="J820"/>
      <c r="K820"/>
    </row>
    <row r="821" spans="1:11" hidden="1" x14ac:dyDescent="0.3">
      <c r="I821"/>
      <c r="J821"/>
      <c r="K821"/>
    </row>
    <row r="822" spans="1:11" hidden="1" x14ac:dyDescent="0.3">
      <c r="I822"/>
      <c r="J822"/>
      <c r="K822"/>
    </row>
    <row r="823" spans="1:11" hidden="1" x14ac:dyDescent="0.3">
      <c r="A823" t="s">
        <v>53</v>
      </c>
      <c r="I823"/>
      <c r="J823"/>
      <c r="K823"/>
    </row>
    <row r="824" spans="1:11" hidden="1" x14ac:dyDescent="0.3">
      <c r="A824" t="s">
        <v>53</v>
      </c>
      <c r="I824"/>
      <c r="J824"/>
      <c r="K824"/>
    </row>
    <row r="825" spans="1:11" hidden="1" x14ac:dyDescent="0.3">
      <c r="A825" t="s">
        <v>53</v>
      </c>
      <c r="I825"/>
      <c r="J825"/>
      <c r="K825"/>
    </row>
    <row r="826" spans="1:11" hidden="1" x14ac:dyDescent="0.3">
      <c r="A826" t="s">
        <v>53</v>
      </c>
      <c r="I826"/>
      <c r="J826"/>
      <c r="K826"/>
    </row>
    <row r="827" spans="1:11" hidden="1" x14ac:dyDescent="0.3">
      <c r="A827" t="s">
        <v>53</v>
      </c>
      <c r="I827"/>
      <c r="J827"/>
      <c r="K827"/>
    </row>
    <row r="828" spans="1:11" hidden="1" x14ac:dyDescent="0.3">
      <c r="A828" t="s">
        <v>53</v>
      </c>
      <c r="I828"/>
      <c r="J828"/>
      <c r="K828"/>
    </row>
    <row r="829" spans="1:11" hidden="1" x14ac:dyDescent="0.3">
      <c r="A829" t="s">
        <v>53</v>
      </c>
      <c r="I829"/>
      <c r="J829"/>
      <c r="K829"/>
    </row>
    <row r="830" spans="1:11" hidden="1" x14ac:dyDescent="0.3">
      <c r="A830" t="s">
        <v>53</v>
      </c>
      <c r="I830"/>
      <c r="J830"/>
      <c r="K830"/>
    </row>
    <row r="831" spans="1:11" hidden="1" x14ac:dyDescent="0.3">
      <c r="A831" t="s">
        <v>53</v>
      </c>
      <c r="I831"/>
      <c r="J831"/>
      <c r="K831"/>
    </row>
    <row r="832" spans="1:11" hidden="1" x14ac:dyDescent="0.3">
      <c r="A832" t="s">
        <v>53</v>
      </c>
      <c r="I832"/>
      <c r="J832"/>
      <c r="K832"/>
    </row>
    <row r="833" spans="1:11" hidden="1" x14ac:dyDescent="0.3">
      <c r="A833" t="s">
        <v>53</v>
      </c>
      <c r="I833"/>
      <c r="J833"/>
      <c r="K833"/>
    </row>
    <row r="834" spans="1:11" hidden="1" x14ac:dyDescent="0.3">
      <c r="A834" t="s">
        <v>53</v>
      </c>
      <c r="I834"/>
      <c r="J834"/>
      <c r="K834"/>
    </row>
    <row r="835" spans="1:11" hidden="1" x14ac:dyDescent="0.3">
      <c r="A835" t="s">
        <v>53</v>
      </c>
      <c r="I835"/>
      <c r="J835"/>
      <c r="K835"/>
    </row>
    <row r="836" spans="1:11" hidden="1" x14ac:dyDescent="0.3">
      <c r="A836" t="s">
        <v>53</v>
      </c>
      <c r="I836"/>
      <c r="J836"/>
      <c r="K836"/>
    </row>
    <row r="837" spans="1:11" hidden="1" x14ac:dyDescent="0.3">
      <c r="A837" t="s">
        <v>53</v>
      </c>
      <c r="I837"/>
      <c r="J837"/>
      <c r="K837"/>
    </row>
    <row r="838" spans="1:11" hidden="1" x14ac:dyDescent="0.3">
      <c r="A838" t="s">
        <v>53</v>
      </c>
      <c r="I838"/>
      <c r="J838"/>
      <c r="K838"/>
    </row>
    <row r="839" spans="1:11" hidden="1" x14ac:dyDescent="0.3">
      <c r="A839" t="s">
        <v>53</v>
      </c>
      <c r="I839"/>
      <c r="J839"/>
      <c r="K839"/>
    </row>
    <row r="840" spans="1:11" hidden="1" x14ac:dyDescent="0.3">
      <c r="A840" t="s">
        <v>53</v>
      </c>
      <c r="I840"/>
      <c r="J840"/>
      <c r="K840"/>
    </row>
    <row r="841" spans="1:11" hidden="1" x14ac:dyDescent="0.3">
      <c r="A841" t="s">
        <v>53</v>
      </c>
      <c r="I841"/>
      <c r="J841"/>
      <c r="K841"/>
    </row>
    <row r="842" spans="1:11" hidden="1" x14ac:dyDescent="0.3">
      <c r="A842" t="s">
        <v>53</v>
      </c>
      <c r="I842"/>
      <c r="J842"/>
      <c r="K842"/>
    </row>
    <row r="843" spans="1:11" hidden="1" x14ac:dyDescent="0.3">
      <c r="A843" t="s">
        <v>53</v>
      </c>
      <c r="I843"/>
      <c r="J843"/>
      <c r="K843"/>
    </row>
    <row r="844" spans="1:11" hidden="1" x14ac:dyDescent="0.3">
      <c r="A844" t="s">
        <v>53</v>
      </c>
      <c r="I844"/>
      <c r="J844"/>
      <c r="K844"/>
    </row>
    <row r="845" spans="1:11" hidden="1" x14ac:dyDescent="0.3">
      <c r="A845" t="s">
        <v>53</v>
      </c>
      <c r="I845"/>
      <c r="J845"/>
      <c r="K845"/>
    </row>
    <row r="846" spans="1:11" hidden="1" x14ac:dyDescent="0.3">
      <c r="A846" t="s">
        <v>53</v>
      </c>
      <c r="I846"/>
      <c r="J846"/>
      <c r="K846"/>
    </row>
    <row r="847" spans="1:11" hidden="1" x14ac:dyDescent="0.3">
      <c r="A847" t="s">
        <v>53</v>
      </c>
      <c r="I847"/>
      <c r="J847"/>
      <c r="K847"/>
    </row>
    <row r="848" spans="1:11" hidden="1" x14ac:dyDescent="0.3">
      <c r="A848" t="s">
        <v>53</v>
      </c>
      <c r="I848"/>
      <c r="J848"/>
      <c r="K848"/>
    </row>
    <row r="849" spans="1:11" hidden="1" x14ac:dyDescent="0.3">
      <c r="A849" t="s">
        <v>53</v>
      </c>
      <c r="I849"/>
      <c r="J849"/>
      <c r="K849"/>
    </row>
    <row r="850" spans="1:11" hidden="1" x14ac:dyDescent="0.3">
      <c r="A850" t="s">
        <v>53</v>
      </c>
      <c r="I850"/>
      <c r="J850"/>
      <c r="K850"/>
    </row>
    <row r="851" spans="1:11" hidden="1" x14ac:dyDescent="0.3">
      <c r="A851" t="s">
        <v>53</v>
      </c>
      <c r="I851"/>
      <c r="J851"/>
      <c r="K851"/>
    </row>
    <row r="852" spans="1:11" hidden="1" x14ac:dyDescent="0.3">
      <c r="A852" t="s">
        <v>53</v>
      </c>
      <c r="I852"/>
      <c r="J852"/>
      <c r="K852"/>
    </row>
    <row r="853" spans="1:11" hidden="1" x14ac:dyDescent="0.3">
      <c r="A853" t="s">
        <v>53</v>
      </c>
      <c r="I853"/>
      <c r="J853"/>
      <c r="K853"/>
    </row>
    <row r="854" spans="1:11" hidden="1" x14ac:dyDescent="0.3">
      <c r="A854" t="s">
        <v>53</v>
      </c>
      <c r="I854"/>
      <c r="J854"/>
      <c r="K854"/>
    </row>
    <row r="855" spans="1:11" hidden="1" x14ac:dyDescent="0.3">
      <c r="A855" t="s">
        <v>53</v>
      </c>
      <c r="I855"/>
      <c r="J855"/>
      <c r="K855"/>
    </row>
    <row r="856" spans="1:11" hidden="1" x14ac:dyDescent="0.3">
      <c r="A856" t="s">
        <v>53</v>
      </c>
      <c r="I856"/>
      <c r="J856"/>
      <c r="K856"/>
    </row>
    <row r="857" spans="1:11" hidden="1" x14ac:dyDescent="0.3">
      <c r="A857" t="s">
        <v>53</v>
      </c>
      <c r="I857"/>
      <c r="J857"/>
      <c r="K857"/>
    </row>
    <row r="858" spans="1:11" hidden="1" x14ac:dyDescent="0.3">
      <c r="A858" t="s">
        <v>53</v>
      </c>
      <c r="I858"/>
      <c r="J858"/>
      <c r="K858"/>
    </row>
    <row r="859" spans="1:11" hidden="1" x14ac:dyDescent="0.3">
      <c r="A859" t="s">
        <v>53</v>
      </c>
      <c r="I859"/>
      <c r="J859"/>
      <c r="K859"/>
    </row>
    <row r="860" spans="1:11" hidden="1" x14ac:dyDescent="0.3">
      <c r="A860" t="s">
        <v>53</v>
      </c>
      <c r="I860"/>
      <c r="J860"/>
      <c r="K860"/>
    </row>
    <row r="861" spans="1:11" hidden="1" x14ac:dyDescent="0.3">
      <c r="A861" t="s">
        <v>53</v>
      </c>
      <c r="I861"/>
      <c r="J861"/>
      <c r="K861"/>
    </row>
    <row r="862" spans="1:11" hidden="1" x14ac:dyDescent="0.3">
      <c r="A862" t="s">
        <v>53</v>
      </c>
      <c r="I862"/>
      <c r="J862"/>
      <c r="K862"/>
    </row>
    <row r="863" spans="1:11" hidden="1" x14ac:dyDescent="0.3">
      <c r="A863" t="s">
        <v>53</v>
      </c>
      <c r="I863"/>
      <c r="J863"/>
      <c r="K863"/>
    </row>
    <row r="864" spans="1:11" hidden="1" x14ac:dyDescent="0.3">
      <c r="A864" t="s">
        <v>53</v>
      </c>
      <c r="I864"/>
      <c r="J864"/>
      <c r="K864"/>
    </row>
    <row r="865" spans="1:11" hidden="1" x14ac:dyDescent="0.3">
      <c r="A865" t="s">
        <v>53</v>
      </c>
      <c r="I865"/>
      <c r="J865"/>
      <c r="K865"/>
    </row>
    <row r="866" spans="1:11" hidden="1" x14ac:dyDescent="0.3">
      <c r="A866" t="s">
        <v>53</v>
      </c>
      <c r="I866"/>
      <c r="J866"/>
      <c r="K866"/>
    </row>
    <row r="867" spans="1:11" hidden="1" x14ac:dyDescent="0.3">
      <c r="A867" t="s">
        <v>53</v>
      </c>
      <c r="I867"/>
      <c r="J867"/>
      <c r="K867"/>
    </row>
    <row r="868" spans="1:11" hidden="1" x14ac:dyDescent="0.3">
      <c r="A868" t="s">
        <v>53</v>
      </c>
      <c r="I868"/>
      <c r="J868"/>
      <c r="K868"/>
    </row>
    <row r="869" spans="1:11" hidden="1" x14ac:dyDescent="0.3">
      <c r="A869" t="s">
        <v>53</v>
      </c>
      <c r="I869"/>
      <c r="J869"/>
      <c r="K869"/>
    </row>
    <row r="870" spans="1:11" hidden="1" x14ac:dyDescent="0.3">
      <c r="A870" t="s">
        <v>53</v>
      </c>
      <c r="I870"/>
      <c r="J870"/>
      <c r="K870"/>
    </row>
    <row r="871" spans="1:11" hidden="1" x14ac:dyDescent="0.3">
      <c r="A871" t="s">
        <v>53</v>
      </c>
      <c r="I871"/>
      <c r="J871"/>
      <c r="K871"/>
    </row>
    <row r="872" spans="1:11" hidden="1" x14ac:dyDescent="0.3">
      <c r="A872" t="s">
        <v>53</v>
      </c>
      <c r="I872"/>
      <c r="J872"/>
      <c r="K872"/>
    </row>
    <row r="873" spans="1:11" hidden="1" x14ac:dyDescent="0.3">
      <c r="A873" t="s">
        <v>53</v>
      </c>
      <c r="I873"/>
      <c r="J873"/>
      <c r="K873"/>
    </row>
    <row r="874" spans="1:11" hidden="1" x14ac:dyDescent="0.3">
      <c r="A874" t="s">
        <v>53</v>
      </c>
      <c r="I874"/>
      <c r="J874"/>
      <c r="K874"/>
    </row>
    <row r="875" spans="1:11" hidden="1" x14ac:dyDescent="0.3">
      <c r="A875" t="s">
        <v>53</v>
      </c>
      <c r="I875"/>
      <c r="J875"/>
      <c r="K875"/>
    </row>
    <row r="876" spans="1:11" hidden="1" x14ac:dyDescent="0.3">
      <c r="A876" t="s">
        <v>53</v>
      </c>
      <c r="I876"/>
      <c r="J876"/>
      <c r="K876"/>
    </row>
    <row r="877" spans="1:11" hidden="1" x14ac:dyDescent="0.3">
      <c r="A877" t="s">
        <v>53</v>
      </c>
      <c r="I877"/>
      <c r="J877"/>
      <c r="K877"/>
    </row>
    <row r="878" spans="1:11" hidden="1" x14ac:dyDescent="0.3">
      <c r="A878" t="s">
        <v>53</v>
      </c>
      <c r="I878"/>
      <c r="J878"/>
      <c r="K878"/>
    </row>
    <row r="879" spans="1:11" hidden="1" x14ac:dyDescent="0.3">
      <c r="A879" t="s">
        <v>53</v>
      </c>
      <c r="I879"/>
      <c r="J879"/>
      <c r="K879"/>
    </row>
    <row r="880" spans="1:11" hidden="1" x14ac:dyDescent="0.3">
      <c r="A880" t="s">
        <v>53</v>
      </c>
      <c r="I880"/>
      <c r="J880"/>
      <c r="K880"/>
    </row>
    <row r="881" spans="1:11" hidden="1" x14ac:dyDescent="0.3">
      <c r="A881" t="s">
        <v>53</v>
      </c>
      <c r="I881"/>
      <c r="J881"/>
      <c r="K881"/>
    </row>
    <row r="882" spans="1:11" hidden="1" x14ac:dyDescent="0.3">
      <c r="A882" t="s">
        <v>53</v>
      </c>
      <c r="I882"/>
      <c r="J882"/>
      <c r="K882"/>
    </row>
    <row r="883" spans="1:11" hidden="1" x14ac:dyDescent="0.3">
      <c r="A883" t="s">
        <v>53</v>
      </c>
      <c r="I883"/>
      <c r="J883"/>
      <c r="K883"/>
    </row>
    <row r="884" spans="1:11" hidden="1" x14ac:dyDescent="0.3">
      <c r="A884" t="s">
        <v>53</v>
      </c>
      <c r="I884"/>
      <c r="J884"/>
      <c r="K884"/>
    </row>
    <row r="885" spans="1:11" hidden="1" x14ac:dyDescent="0.3">
      <c r="A885" t="s">
        <v>53</v>
      </c>
      <c r="I885"/>
      <c r="J885"/>
      <c r="K885"/>
    </row>
    <row r="886" spans="1:11" hidden="1" x14ac:dyDescent="0.3">
      <c r="A886" t="s">
        <v>53</v>
      </c>
      <c r="I886"/>
      <c r="J886"/>
      <c r="K886"/>
    </row>
    <row r="887" spans="1:11" hidden="1" x14ac:dyDescent="0.3">
      <c r="I887"/>
      <c r="J887"/>
      <c r="K887"/>
    </row>
    <row r="888" spans="1:11" hidden="1" x14ac:dyDescent="0.3">
      <c r="I888"/>
      <c r="J888"/>
      <c r="K888"/>
    </row>
    <row r="889" spans="1:11" hidden="1" x14ac:dyDescent="0.3">
      <c r="I889"/>
      <c r="J889"/>
      <c r="K889"/>
    </row>
    <row r="890" spans="1:11" hidden="1" x14ac:dyDescent="0.3">
      <c r="I890"/>
      <c r="J890"/>
      <c r="K890"/>
    </row>
    <row r="891" spans="1:11" hidden="1" x14ac:dyDescent="0.3">
      <c r="I891"/>
      <c r="J891"/>
      <c r="K891"/>
    </row>
    <row r="892" spans="1:11" hidden="1" x14ac:dyDescent="0.3">
      <c r="I892"/>
      <c r="J892"/>
      <c r="K892"/>
    </row>
    <row r="893" spans="1:11" hidden="1" x14ac:dyDescent="0.3">
      <c r="A893" t="s">
        <v>54</v>
      </c>
      <c r="I893"/>
      <c r="J893"/>
      <c r="K893"/>
    </row>
    <row r="894" spans="1:11" hidden="1" x14ac:dyDescent="0.3">
      <c r="A894" t="s">
        <v>54</v>
      </c>
      <c r="I894"/>
      <c r="J894"/>
      <c r="K894"/>
    </row>
    <row r="895" spans="1:11" hidden="1" x14ac:dyDescent="0.3">
      <c r="A895" t="s">
        <v>54</v>
      </c>
      <c r="I895"/>
      <c r="J895"/>
      <c r="K895"/>
    </row>
    <row r="896" spans="1:11" hidden="1" x14ac:dyDescent="0.3">
      <c r="A896" t="s">
        <v>54</v>
      </c>
      <c r="I896"/>
      <c r="J896"/>
      <c r="K896"/>
    </row>
    <row r="897" spans="1:11" hidden="1" x14ac:dyDescent="0.3">
      <c r="A897" t="s">
        <v>54</v>
      </c>
      <c r="I897"/>
      <c r="J897"/>
      <c r="K897"/>
    </row>
    <row r="898" spans="1:11" hidden="1" x14ac:dyDescent="0.3">
      <c r="A898" t="s">
        <v>54</v>
      </c>
      <c r="I898"/>
      <c r="J898"/>
      <c r="K898"/>
    </row>
    <row r="899" spans="1:11" hidden="1" x14ac:dyDescent="0.3">
      <c r="A899" t="s">
        <v>54</v>
      </c>
      <c r="I899"/>
      <c r="J899"/>
      <c r="K899"/>
    </row>
    <row r="900" spans="1:11" hidden="1" x14ac:dyDescent="0.3">
      <c r="A900" t="s">
        <v>54</v>
      </c>
      <c r="I900"/>
      <c r="J900"/>
      <c r="K900"/>
    </row>
    <row r="901" spans="1:11" hidden="1" x14ac:dyDescent="0.3">
      <c r="A901" t="s">
        <v>54</v>
      </c>
      <c r="I901"/>
      <c r="J901"/>
      <c r="K901"/>
    </row>
    <row r="902" spans="1:11" hidden="1" x14ac:dyDescent="0.3">
      <c r="A902" t="s">
        <v>54</v>
      </c>
      <c r="I902"/>
      <c r="J902"/>
      <c r="K902"/>
    </row>
    <row r="903" spans="1:11" hidden="1" x14ac:dyDescent="0.3">
      <c r="A903" t="s">
        <v>54</v>
      </c>
      <c r="I903"/>
      <c r="J903"/>
      <c r="K903"/>
    </row>
    <row r="904" spans="1:11" hidden="1" x14ac:dyDescent="0.3">
      <c r="A904" t="s">
        <v>54</v>
      </c>
      <c r="I904"/>
      <c r="J904"/>
      <c r="K904"/>
    </row>
    <row r="905" spans="1:11" hidden="1" x14ac:dyDescent="0.3">
      <c r="A905" t="s">
        <v>54</v>
      </c>
      <c r="I905"/>
      <c r="J905"/>
      <c r="K905"/>
    </row>
    <row r="906" spans="1:11" hidden="1" x14ac:dyDescent="0.3">
      <c r="A906" t="s">
        <v>54</v>
      </c>
      <c r="I906"/>
      <c r="J906"/>
      <c r="K906"/>
    </row>
    <row r="907" spans="1:11" hidden="1" x14ac:dyDescent="0.3">
      <c r="A907" t="s">
        <v>54</v>
      </c>
      <c r="I907"/>
      <c r="J907"/>
      <c r="K907"/>
    </row>
    <row r="908" spans="1:11" hidden="1" x14ac:dyDescent="0.3">
      <c r="A908" t="s">
        <v>54</v>
      </c>
      <c r="I908"/>
      <c r="J908"/>
      <c r="K908"/>
    </row>
    <row r="909" spans="1:11" hidden="1" x14ac:dyDescent="0.3">
      <c r="A909" t="s">
        <v>54</v>
      </c>
      <c r="I909"/>
      <c r="J909"/>
      <c r="K909"/>
    </row>
    <row r="910" spans="1:11" hidden="1" x14ac:dyDescent="0.3">
      <c r="A910" t="s">
        <v>54</v>
      </c>
      <c r="I910"/>
      <c r="J910"/>
      <c r="K910"/>
    </row>
    <row r="911" spans="1:11" hidden="1" x14ac:dyDescent="0.3">
      <c r="A911" t="s">
        <v>54</v>
      </c>
      <c r="I911"/>
      <c r="J911"/>
      <c r="K911"/>
    </row>
    <row r="912" spans="1:11" hidden="1" x14ac:dyDescent="0.3">
      <c r="A912" t="s">
        <v>54</v>
      </c>
      <c r="I912"/>
      <c r="J912"/>
      <c r="K912"/>
    </row>
    <row r="913" spans="1:11" hidden="1" x14ac:dyDescent="0.3">
      <c r="A913" t="s">
        <v>54</v>
      </c>
      <c r="I913"/>
      <c r="J913"/>
      <c r="K913"/>
    </row>
    <row r="914" spans="1:11" hidden="1" x14ac:dyDescent="0.3">
      <c r="A914" t="s">
        <v>54</v>
      </c>
      <c r="I914"/>
      <c r="J914"/>
      <c r="K914"/>
    </row>
    <row r="915" spans="1:11" hidden="1" x14ac:dyDescent="0.3">
      <c r="A915" t="s">
        <v>54</v>
      </c>
      <c r="I915"/>
      <c r="J915"/>
      <c r="K915"/>
    </row>
    <row r="916" spans="1:11" hidden="1" x14ac:dyDescent="0.3">
      <c r="A916" t="s">
        <v>54</v>
      </c>
      <c r="I916"/>
      <c r="J916"/>
      <c r="K916"/>
    </row>
    <row r="917" spans="1:11" hidden="1" x14ac:dyDescent="0.3">
      <c r="A917" t="s">
        <v>54</v>
      </c>
      <c r="I917"/>
      <c r="J917"/>
      <c r="K917"/>
    </row>
    <row r="918" spans="1:11" hidden="1" x14ac:dyDescent="0.3">
      <c r="A918" t="s">
        <v>54</v>
      </c>
      <c r="I918"/>
      <c r="J918"/>
      <c r="K918"/>
    </row>
    <row r="919" spans="1:11" hidden="1" x14ac:dyDescent="0.3">
      <c r="A919" t="s">
        <v>54</v>
      </c>
      <c r="I919"/>
      <c r="J919"/>
      <c r="K919"/>
    </row>
    <row r="920" spans="1:11" hidden="1" x14ac:dyDescent="0.3">
      <c r="A920" t="s">
        <v>54</v>
      </c>
      <c r="I920"/>
      <c r="J920"/>
      <c r="K920"/>
    </row>
    <row r="921" spans="1:11" hidden="1" x14ac:dyDescent="0.3">
      <c r="A921" t="s">
        <v>54</v>
      </c>
      <c r="I921"/>
      <c r="J921"/>
      <c r="K921"/>
    </row>
    <row r="922" spans="1:11" hidden="1" x14ac:dyDescent="0.3">
      <c r="A922" t="s">
        <v>54</v>
      </c>
      <c r="I922"/>
      <c r="J922"/>
      <c r="K922"/>
    </row>
    <row r="923" spans="1:11" hidden="1" x14ac:dyDescent="0.3">
      <c r="A923" t="s">
        <v>54</v>
      </c>
      <c r="I923"/>
      <c r="J923"/>
      <c r="K923"/>
    </row>
    <row r="924" spans="1:11" hidden="1" x14ac:dyDescent="0.3">
      <c r="A924" t="s">
        <v>54</v>
      </c>
      <c r="I924"/>
      <c r="J924"/>
      <c r="K924"/>
    </row>
    <row r="925" spans="1:11" hidden="1" x14ac:dyDescent="0.3">
      <c r="A925" t="s">
        <v>54</v>
      </c>
      <c r="I925"/>
      <c r="J925"/>
      <c r="K925"/>
    </row>
    <row r="926" spans="1:11" hidden="1" x14ac:dyDescent="0.3">
      <c r="A926" t="s">
        <v>54</v>
      </c>
      <c r="I926"/>
      <c r="J926"/>
      <c r="K926"/>
    </row>
    <row r="927" spans="1:11" hidden="1" x14ac:dyDescent="0.3">
      <c r="A927" t="s">
        <v>54</v>
      </c>
      <c r="I927"/>
      <c r="J927"/>
      <c r="K927"/>
    </row>
    <row r="928" spans="1:11" hidden="1" x14ac:dyDescent="0.3">
      <c r="A928" t="s">
        <v>54</v>
      </c>
      <c r="I928"/>
      <c r="J928"/>
      <c r="K928"/>
    </row>
    <row r="929" spans="1:11" hidden="1" x14ac:dyDescent="0.3">
      <c r="A929" t="s">
        <v>54</v>
      </c>
      <c r="I929"/>
      <c r="J929"/>
      <c r="K929"/>
    </row>
    <row r="930" spans="1:11" hidden="1" x14ac:dyDescent="0.3">
      <c r="A930" t="s">
        <v>54</v>
      </c>
      <c r="I930"/>
      <c r="J930"/>
      <c r="K930"/>
    </row>
    <row r="931" spans="1:11" hidden="1" x14ac:dyDescent="0.3">
      <c r="A931" t="s">
        <v>54</v>
      </c>
      <c r="I931"/>
      <c r="J931"/>
      <c r="K931"/>
    </row>
    <row r="932" spans="1:11" hidden="1" x14ac:dyDescent="0.3">
      <c r="A932" t="s">
        <v>54</v>
      </c>
      <c r="I932"/>
      <c r="J932"/>
      <c r="K932"/>
    </row>
    <row r="933" spans="1:11" hidden="1" x14ac:dyDescent="0.3">
      <c r="A933" t="s">
        <v>54</v>
      </c>
      <c r="I933"/>
      <c r="J933"/>
      <c r="K933"/>
    </row>
    <row r="934" spans="1:11" hidden="1" x14ac:dyDescent="0.3">
      <c r="A934" t="s">
        <v>54</v>
      </c>
      <c r="I934"/>
      <c r="J934"/>
      <c r="K934"/>
    </row>
    <row r="935" spans="1:11" hidden="1" x14ac:dyDescent="0.3">
      <c r="A935" t="s">
        <v>54</v>
      </c>
      <c r="I935"/>
      <c r="J935"/>
      <c r="K935"/>
    </row>
    <row r="936" spans="1:11" hidden="1" x14ac:dyDescent="0.3">
      <c r="A936" t="s">
        <v>54</v>
      </c>
      <c r="I936"/>
      <c r="J936"/>
      <c r="K936"/>
    </row>
    <row r="937" spans="1:11" hidden="1" x14ac:dyDescent="0.3">
      <c r="A937" t="s">
        <v>54</v>
      </c>
      <c r="I937"/>
      <c r="J937"/>
      <c r="K937"/>
    </row>
    <row r="938" spans="1:11" hidden="1" x14ac:dyDescent="0.3">
      <c r="A938" t="s">
        <v>54</v>
      </c>
      <c r="I938"/>
      <c r="J938"/>
      <c r="K938"/>
    </row>
    <row r="939" spans="1:11" hidden="1" x14ac:dyDescent="0.3">
      <c r="A939" t="s">
        <v>54</v>
      </c>
      <c r="I939"/>
      <c r="J939"/>
      <c r="K939"/>
    </row>
    <row r="940" spans="1:11" hidden="1" x14ac:dyDescent="0.3">
      <c r="A940" t="s">
        <v>54</v>
      </c>
      <c r="I940"/>
      <c r="J940"/>
      <c r="K940"/>
    </row>
    <row r="941" spans="1:11" hidden="1" x14ac:dyDescent="0.3">
      <c r="A941" t="s">
        <v>54</v>
      </c>
      <c r="I941"/>
      <c r="J941"/>
      <c r="K941"/>
    </row>
    <row r="942" spans="1:11" hidden="1" x14ac:dyDescent="0.3">
      <c r="A942" t="s">
        <v>54</v>
      </c>
      <c r="I942"/>
      <c r="J942"/>
      <c r="K942"/>
    </row>
    <row r="943" spans="1:11" hidden="1" x14ac:dyDescent="0.3">
      <c r="A943" t="s">
        <v>54</v>
      </c>
      <c r="I943"/>
      <c r="J943"/>
      <c r="K943"/>
    </row>
    <row r="944" spans="1:11" hidden="1" x14ac:dyDescent="0.3">
      <c r="A944" t="s">
        <v>54</v>
      </c>
      <c r="I944"/>
      <c r="J944"/>
      <c r="K944"/>
    </row>
    <row r="945" spans="1:11" hidden="1" x14ac:dyDescent="0.3">
      <c r="A945" t="s">
        <v>54</v>
      </c>
      <c r="I945"/>
      <c r="J945"/>
      <c r="K945"/>
    </row>
    <row r="946" spans="1:11" hidden="1" x14ac:dyDescent="0.3">
      <c r="A946" t="s">
        <v>54</v>
      </c>
      <c r="I946"/>
      <c r="J946"/>
      <c r="K946"/>
    </row>
    <row r="947" spans="1:11" hidden="1" x14ac:dyDescent="0.3">
      <c r="A947" t="s">
        <v>54</v>
      </c>
      <c r="I947"/>
      <c r="J947"/>
      <c r="K947"/>
    </row>
    <row r="948" spans="1:11" hidden="1" x14ac:dyDescent="0.3">
      <c r="A948" t="s">
        <v>54</v>
      </c>
      <c r="I948"/>
      <c r="J948"/>
      <c r="K948"/>
    </row>
    <row r="949" spans="1:11" hidden="1" x14ac:dyDescent="0.3">
      <c r="A949" t="s">
        <v>54</v>
      </c>
      <c r="I949"/>
      <c r="J949"/>
      <c r="K949"/>
    </row>
    <row r="950" spans="1:11" hidden="1" x14ac:dyDescent="0.3">
      <c r="A950" t="s">
        <v>54</v>
      </c>
      <c r="I950"/>
      <c r="J950"/>
      <c r="K950"/>
    </row>
    <row r="951" spans="1:11" hidden="1" x14ac:dyDescent="0.3">
      <c r="A951" t="s">
        <v>54</v>
      </c>
      <c r="I951"/>
      <c r="J951"/>
      <c r="K951"/>
    </row>
    <row r="952" spans="1:11" hidden="1" x14ac:dyDescent="0.3">
      <c r="A952" t="s">
        <v>54</v>
      </c>
      <c r="I952"/>
      <c r="J952"/>
      <c r="K952"/>
    </row>
    <row r="953" spans="1:11" hidden="1" x14ac:dyDescent="0.3">
      <c r="A953" t="s">
        <v>54</v>
      </c>
      <c r="I953"/>
      <c r="J953"/>
      <c r="K953"/>
    </row>
    <row r="954" spans="1:11" hidden="1" x14ac:dyDescent="0.3">
      <c r="A954" t="s">
        <v>54</v>
      </c>
      <c r="I954"/>
      <c r="J954"/>
      <c r="K954"/>
    </row>
    <row r="955" spans="1:11" hidden="1" x14ac:dyDescent="0.3">
      <c r="A955" t="s">
        <v>54</v>
      </c>
      <c r="I955"/>
      <c r="J955"/>
      <c r="K955"/>
    </row>
    <row r="956" spans="1:11" hidden="1" x14ac:dyDescent="0.3">
      <c r="A956" t="s">
        <v>54</v>
      </c>
      <c r="I956"/>
      <c r="J956"/>
      <c r="K956"/>
    </row>
    <row r="957" spans="1:11" hidden="1" x14ac:dyDescent="0.3">
      <c r="I957"/>
      <c r="J957"/>
      <c r="K957"/>
    </row>
    <row r="958" spans="1:11" hidden="1" x14ac:dyDescent="0.3">
      <c r="I958"/>
      <c r="J958"/>
      <c r="K958"/>
    </row>
    <row r="959" spans="1:11" hidden="1" x14ac:dyDescent="0.3">
      <c r="I959"/>
      <c r="J959"/>
      <c r="K959"/>
    </row>
    <row r="960" spans="1:11" hidden="1" x14ac:dyDescent="0.3">
      <c r="I960"/>
      <c r="J960"/>
      <c r="K960"/>
    </row>
    <row r="961" spans="9:11" hidden="1" x14ac:dyDescent="0.3">
      <c r="I961"/>
      <c r="J961"/>
      <c r="K961"/>
    </row>
    <row r="962" spans="9:11" hidden="1" x14ac:dyDescent="0.3">
      <c r="I962"/>
      <c r="J962"/>
      <c r="K96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0E5EB-0F84-4CC3-A132-4119E9BEACBD}">
  <sheetPr codeName="Planilha20"/>
  <dimension ref="A1:U33"/>
  <sheetViews>
    <sheetView topLeftCell="B1" workbookViewId="0">
      <selection activeCell="N8" sqref="N8"/>
    </sheetView>
  </sheetViews>
  <sheetFormatPr defaultColWidth="9.109375" defaultRowHeight="14.4" x14ac:dyDescent="0.3"/>
  <cols>
    <col min="1" max="1" width="17.21875" style="3" bestFit="1" customWidth="1"/>
    <col min="2" max="2" width="20.77734375" style="3" bestFit="1" customWidth="1"/>
    <col min="3" max="3" width="3.6640625" style="3" bestFit="1" customWidth="1"/>
    <col min="4" max="4" width="9.6640625" style="3" bestFit="1" customWidth="1"/>
    <col min="5" max="5" width="16.5546875" style="3" bestFit="1" customWidth="1"/>
    <col min="6" max="7" width="10" style="3" bestFit="1" customWidth="1"/>
    <col min="8" max="8" width="14.33203125" style="3" bestFit="1" customWidth="1"/>
    <col min="9" max="9" width="17.33203125" style="3" bestFit="1" customWidth="1"/>
    <col min="10" max="10" width="10.6640625" style="3" bestFit="1" customWidth="1"/>
    <col min="11" max="12" width="10" style="3" customWidth="1"/>
    <col min="13" max="13" width="19.109375" style="3" bestFit="1" customWidth="1"/>
    <col min="14" max="14" width="18.5546875" style="3" bestFit="1" customWidth="1"/>
    <col min="15" max="15" width="4.109375" style="3" bestFit="1" customWidth="1"/>
    <col min="16" max="16" width="10" style="3" bestFit="1" customWidth="1"/>
    <col min="17" max="17" width="17.33203125" style="3" bestFit="1" customWidth="1"/>
    <col min="18" max="18" width="16.44140625" style="3" bestFit="1" customWidth="1"/>
    <col min="19" max="19" width="15.44140625" style="3" bestFit="1" customWidth="1"/>
    <col min="20" max="20" width="38.33203125" style="3" bestFit="1" customWidth="1"/>
    <col min="21" max="21" width="14" style="3" bestFit="1" customWidth="1"/>
    <col min="22" max="16384" width="9.109375" style="3"/>
  </cols>
  <sheetData>
    <row r="1" spans="1:21" x14ac:dyDescent="0.3">
      <c r="A1" s="91" t="s">
        <v>10</v>
      </c>
      <c r="B1" s="3" t="s">
        <v>1327</v>
      </c>
      <c r="M1" s="99" t="s">
        <v>2</v>
      </c>
      <c r="N1" s="28" t="s">
        <v>55</v>
      </c>
    </row>
    <row r="2" spans="1:21" x14ac:dyDescent="0.3">
      <c r="M2" s="99" t="s">
        <v>10</v>
      </c>
      <c r="N2" s="28" t="s">
        <v>1327</v>
      </c>
      <c r="O2" s="100"/>
      <c r="P2" s="100"/>
      <c r="Q2" s="115"/>
      <c r="R2" s="115"/>
    </row>
    <row r="3" spans="1:21" x14ac:dyDescent="0.3">
      <c r="A3" s="91" t="s">
        <v>56</v>
      </c>
      <c r="B3" s="92" t="s">
        <v>57</v>
      </c>
      <c r="C3"/>
      <c r="D3"/>
      <c r="E3"/>
      <c r="F3"/>
      <c r="G3"/>
      <c r="H3"/>
      <c r="I3"/>
      <c r="J3"/>
      <c r="K3"/>
      <c r="L3"/>
      <c r="M3" s="28"/>
      <c r="N3" s="28"/>
      <c r="O3" s="28"/>
      <c r="P3" s="28"/>
      <c r="Q3" s="116"/>
      <c r="R3" s="116"/>
      <c r="S3"/>
      <c r="T3"/>
      <c r="U3"/>
    </row>
    <row r="4" spans="1:21" x14ac:dyDescent="0.3">
      <c r="A4" s="91" t="s">
        <v>58</v>
      </c>
      <c r="B4" s="93" t="s">
        <v>59</v>
      </c>
      <c r="C4"/>
      <c r="D4"/>
      <c r="E4"/>
      <c r="F4"/>
      <c r="G4"/>
      <c r="H4"/>
      <c r="I4"/>
      <c r="J4"/>
      <c r="K4"/>
      <c r="L4"/>
      <c r="M4" s="99" t="s">
        <v>60</v>
      </c>
      <c r="N4" s="99" t="s">
        <v>57</v>
      </c>
      <c r="O4"/>
      <c r="P4"/>
      <c r="Q4"/>
      <c r="R4"/>
      <c r="S4"/>
      <c r="T4"/>
      <c r="U4"/>
    </row>
    <row r="5" spans="1:21" x14ac:dyDescent="0.3">
      <c r="A5" s="3" t="s">
        <v>59</v>
      </c>
      <c r="B5" s="109"/>
      <c r="C5"/>
      <c r="D5"/>
      <c r="E5"/>
      <c r="F5"/>
      <c r="G5"/>
      <c r="H5"/>
      <c r="I5"/>
      <c r="J5"/>
      <c r="K5"/>
      <c r="L5"/>
      <c r="M5" s="99" t="s">
        <v>61</v>
      </c>
      <c r="N5" s="28" t="s">
        <v>59</v>
      </c>
      <c r="O5"/>
      <c r="P5"/>
      <c r="Q5" s="116"/>
      <c r="R5" s="116"/>
      <c r="S5" s="116"/>
      <c r="T5"/>
      <c r="U5"/>
    </row>
    <row r="6" spans="1:21" x14ac:dyDescent="0.3">
      <c r="A6"/>
      <c r="B6"/>
      <c r="C6"/>
      <c r="D6"/>
      <c r="E6"/>
      <c r="F6"/>
      <c r="G6"/>
      <c r="H6"/>
      <c r="I6"/>
      <c r="J6"/>
      <c r="K6"/>
      <c r="L6"/>
      <c r="M6" s="101" t="s">
        <v>59</v>
      </c>
      <c r="N6" s="108"/>
      <c r="O6"/>
      <c r="P6"/>
      <c r="Q6"/>
      <c r="R6"/>
      <c r="S6" s="102"/>
      <c r="T6"/>
      <c r="U6"/>
    </row>
    <row r="7" spans="1:2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</row>
    <row r="8" spans="1:21" x14ac:dyDescent="0.3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</row>
    <row r="9" spans="1:21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</row>
    <row r="10" spans="1:2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</row>
    <row r="11" spans="1:21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</row>
    <row r="12" spans="1:2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</row>
    <row r="13" spans="1:2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</row>
    <row r="14" spans="1:2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</row>
    <row r="15" spans="1:2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</row>
    <row r="16" spans="1:2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</row>
    <row r="17" spans="1:2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</row>
    <row r="18" spans="1:2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spans="1:2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2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2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</row>
    <row r="22" spans="1:2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23" spans="1:2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1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21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21" x14ac:dyDescent="0.3">
      <c r="M26"/>
      <c r="N26"/>
      <c r="O26"/>
      <c r="P26"/>
    </row>
    <row r="27" spans="1:21" x14ac:dyDescent="0.3">
      <c r="M27"/>
      <c r="N27"/>
      <c r="O27"/>
      <c r="P27"/>
    </row>
    <row r="28" spans="1:21" x14ac:dyDescent="0.3">
      <c r="M28"/>
      <c r="N28"/>
      <c r="O28"/>
      <c r="P28"/>
    </row>
    <row r="29" spans="1:21" x14ac:dyDescent="0.3">
      <c r="M29"/>
      <c r="N29"/>
      <c r="O29"/>
      <c r="P29"/>
    </row>
    <row r="30" spans="1:21" x14ac:dyDescent="0.3">
      <c r="M30"/>
      <c r="N30"/>
      <c r="O30"/>
      <c r="P30"/>
    </row>
    <row r="31" spans="1:21" x14ac:dyDescent="0.3">
      <c r="M31"/>
      <c r="N31"/>
      <c r="O31"/>
      <c r="P31"/>
    </row>
    <row r="32" spans="1:21" x14ac:dyDescent="0.3">
      <c r="M32"/>
      <c r="N32"/>
      <c r="O32"/>
      <c r="P32"/>
    </row>
    <row r="33" spans="13:16" x14ac:dyDescent="0.3">
      <c r="M33"/>
      <c r="N33"/>
      <c r="O33"/>
      <c r="P33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07085-D58A-40F2-A019-9F23C850E3B6}">
  <sheetPr codeName="Planilha4"/>
  <dimension ref="A5:W73"/>
  <sheetViews>
    <sheetView showGridLines="0" zoomScaleNormal="100" workbookViewId="0">
      <selection activeCell="AP22" sqref="AP22"/>
    </sheetView>
  </sheetViews>
  <sheetFormatPr defaultRowHeight="14.4" x14ac:dyDescent="0.3"/>
  <cols>
    <col min="1" max="1" width="22.88671875" style="18" bestFit="1" customWidth="1"/>
    <col min="2" max="2" width="21.5546875" style="17" bestFit="1" customWidth="1"/>
    <col min="3" max="3" width="27.33203125" bestFit="1" customWidth="1"/>
    <col min="4" max="4" width="15.109375" customWidth="1"/>
    <col min="5" max="5" width="59.33203125" style="2" bestFit="1" customWidth="1"/>
    <col min="6" max="6" width="18.109375" style="68" bestFit="1" customWidth="1"/>
    <col min="7" max="7" width="17.44140625" style="2" customWidth="1"/>
    <col min="8" max="8" width="38.88671875" bestFit="1" customWidth="1"/>
    <col min="9" max="9" width="15" customWidth="1"/>
    <col min="10" max="10" width="15.33203125" bestFit="1" customWidth="1"/>
    <col min="11" max="11" width="21" bestFit="1" customWidth="1"/>
    <col min="12" max="12" width="11.5546875" bestFit="1" customWidth="1"/>
    <col min="13" max="13" width="13.44140625" bestFit="1" customWidth="1"/>
    <col min="14" max="14" width="13.44140625" customWidth="1"/>
    <col min="15" max="15" width="47.88671875" bestFit="1" customWidth="1"/>
    <col min="16" max="16" width="36.44140625" bestFit="1" customWidth="1"/>
    <col min="17" max="17" width="18.33203125" bestFit="1" customWidth="1"/>
    <col min="18" max="18" width="23" bestFit="1" customWidth="1"/>
    <col min="19" max="19" width="30" style="17" bestFit="1" customWidth="1"/>
    <col min="20" max="20" width="26" bestFit="1" customWidth="1"/>
    <col min="21" max="21" width="15" bestFit="1" customWidth="1"/>
    <col min="22" max="22" width="30" bestFit="1" customWidth="1"/>
    <col min="23" max="23" width="8.6640625" bestFit="1" customWidth="1"/>
  </cols>
  <sheetData>
    <row r="5" spans="1:23" x14ac:dyDescent="0.3">
      <c r="T5" s="66"/>
    </row>
    <row r="6" spans="1:23" x14ac:dyDescent="0.3">
      <c r="D6" s="104"/>
      <c r="U6" s="17">
        <f ca="1">TODAY()</f>
        <v>44543</v>
      </c>
    </row>
    <row r="7" spans="1:23" s="8" customFormat="1" ht="3.75" customHeight="1" thickBot="1" x14ac:dyDescent="0.35">
      <c r="A7" s="20"/>
      <c r="B7" s="19"/>
      <c r="E7" s="9"/>
      <c r="F7" s="69"/>
      <c r="G7" s="9"/>
      <c r="S7" s="19"/>
    </row>
    <row r="8" spans="1:23" ht="15" thickBot="1" x14ac:dyDescent="0.35">
      <c r="A8" s="123" t="s">
        <v>62</v>
      </c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4"/>
      <c r="Q8" s="125" t="s">
        <v>63</v>
      </c>
      <c r="R8" s="126"/>
      <c r="S8" s="126"/>
      <c r="T8" s="126"/>
      <c r="U8" s="126"/>
      <c r="V8" s="126"/>
      <c r="W8" s="126"/>
    </row>
    <row r="9" spans="1:23" ht="28.8" x14ac:dyDescent="0.3">
      <c r="A9" s="77" t="s">
        <v>1</v>
      </c>
      <c r="B9" s="78" t="s">
        <v>2</v>
      </c>
      <c r="C9" s="79" t="s">
        <v>3</v>
      </c>
      <c r="D9" s="79" t="s">
        <v>4</v>
      </c>
      <c r="E9" s="80" t="s">
        <v>5</v>
      </c>
      <c r="F9" s="81" t="s">
        <v>64</v>
      </c>
      <c r="G9" s="80" t="s">
        <v>6</v>
      </c>
      <c r="H9" s="82" t="s">
        <v>7</v>
      </c>
      <c r="I9" s="83" t="s">
        <v>8</v>
      </c>
      <c r="J9" s="84" t="s">
        <v>9</v>
      </c>
      <c r="K9" s="85" t="s">
        <v>10</v>
      </c>
      <c r="L9" s="79" t="s">
        <v>11</v>
      </c>
      <c r="M9" s="79" t="s">
        <v>12</v>
      </c>
      <c r="N9" s="79" t="s">
        <v>13</v>
      </c>
      <c r="O9" s="79" t="s">
        <v>14</v>
      </c>
      <c r="P9" s="79" t="s">
        <v>15</v>
      </c>
      <c r="Q9" s="79" t="s">
        <v>16</v>
      </c>
      <c r="R9" s="79" t="s">
        <v>17</v>
      </c>
      <c r="S9" s="105" t="s">
        <v>18</v>
      </c>
      <c r="T9" s="81" t="s">
        <v>19</v>
      </c>
      <c r="U9" s="86" t="s">
        <v>20</v>
      </c>
      <c r="V9" s="79" t="s">
        <v>21</v>
      </c>
      <c r="W9" s="77" t="s">
        <v>0</v>
      </c>
    </row>
    <row r="10" spans="1:23" x14ac:dyDescent="0.3">
      <c r="A10" s="75"/>
      <c r="B10" s="12"/>
      <c r="C10" s="75"/>
      <c r="D10" s="13"/>
      <c r="E10" s="38"/>
      <c r="F10" s="40"/>
      <c r="G10" s="51"/>
      <c r="H10" s="13"/>
      <c r="I10" s="15"/>
      <c r="J10" s="15"/>
      <c r="K10" s="13"/>
      <c r="L10" s="13"/>
      <c r="M10" s="13"/>
      <c r="N10" s="13"/>
      <c r="O10" s="13"/>
      <c r="P10" s="13"/>
      <c r="Q10" s="13"/>
      <c r="R10" s="13"/>
      <c r="S10" s="113"/>
      <c r="T10" s="64"/>
      <c r="U10" s="103"/>
      <c r="V10" s="13"/>
      <c r="W10" s="75" t="s">
        <v>22</v>
      </c>
    </row>
    <row r="11" spans="1:23" x14ac:dyDescent="0.3">
      <c r="A11" s="75"/>
      <c r="B11" s="12"/>
      <c r="C11" s="75"/>
      <c r="D11" s="13"/>
      <c r="E11" s="38"/>
      <c r="F11" s="40"/>
      <c r="G11" s="51"/>
      <c r="H11" s="13"/>
      <c r="I11" s="15"/>
      <c r="J11" s="15"/>
      <c r="K11" s="13"/>
      <c r="L11" s="13"/>
      <c r="M11" s="13"/>
      <c r="N11" s="13"/>
      <c r="O11" s="13"/>
      <c r="P11" s="13"/>
      <c r="Q11" s="13"/>
      <c r="R11" s="13"/>
      <c r="S11" s="113"/>
      <c r="T11" s="64"/>
      <c r="U11" s="103"/>
      <c r="V11" s="13"/>
      <c r="W11" s="75" t="s">
        <v>22</v>
      </c>
    </row>
    <row r="12" spans="1:23" x14ac:dyDescent="0.3">
      <c r="A12" s="75"/>
      <c r="B12" s="12"/>
      <c r="C12" s="75"/>
      <c r="D12" s="13"/>
      <c r="E12" s="38"/>
      <c r="F12" s="40"/>
      <c r="G12" s="51"/>
      <c r="H12" s="13"/>
      <c r="I12" s="15"/>
      <c r="J12" s="15"/>
      <c r="K12" s="13"/>
      <c r="L12" s="13"/>
      <c r="M12" s="13"/>
      <c r="N12" s="13"/>
      <c r="O12" s="13"/>
      <c r="P12" s="13"/>
      <c r="Q12" s="13"/>
      <c r="R12" s="13"/>
      <c r="S12" s="113"/>
      <c r="T12" s="64"/>
      <c r="U12" s="103"/>
      <c r="V12" s="13"/>
      <c r="W12" s="75" t="s">
        <v>22</v>
      </c>
    </row>
    <row r="13" spans="1:23" x14ac:dyDescent="0.3">
      <c r="A13" s="75"/>
      <c r="B13" s="12"/>
      <c r="C13" s="75"/>
      <c r="D13" s="13"/>
      <c r="E13" s="38"/>
      <c r="F13" s="40"/>
      <c r="G13" s="51"/>
      <c r="H13" s="13"/>
      <c r="I13" s="15"/>
      <c r="J13" s="15"/>
      <c r="K13" s="13"/>
      <c r="L13" s="13"/>
      <c r="M13" s="13"/>
      <c r="N13" s="13"/>
      <c r="O13" s="13"/>
      <c r="P13" s="13"/>
      <c r="Q13" s="13"/>
      <c r="R13" s="13"/>
      <c r="S13" s="113"/>
      <c r="T13" s="64"/>
      <c r="U13" s="103"/>
      <c r="V13" s="13"/>
      <c r="W13" s="75" t="s">
        <v>22</v>
      </c>
    </row>
    <row r="14" spans="1:23" x14ac:dyDescent="0.3">
      <c r="A14" s="75"/>
      <c r="B14" s="12"/>
      <c r="C14" s="75"/>
      <c r="D14" s="13"/>
      <c r="E14" s="38"/>
      <c r="F14" s="40"/>
      <c r="G14" s="51"/>
      <c r="H14" s="13"/>
      <c r="I14" s="15"/>
      <c r="J14" s="15"/>
      <c r="K14" s="13"/>
      <c r="L14" s="13"/>
      <c r="M14" s="13"/>
      <c r="N14" s="13"/>
      <c r="O14" s="13"/>
      <c r="P14" s="13"/>
      <c r="Q14" s="13"/>
      <c r="R14" s="13"/>
      <c r="S14" s="113"/>
      <c r="T14" s="64"/>
      <c r="U14" s="103"/>
      <c r="V14" s="13"/>
      <c r="W14" s="75" t="s">
        <v>22</v>
      </c>
    </row>
    <row r="15" spans="1:23" x14ac:dyDescent="0.3">
      <c r="A15" s="75"/>
      <c r="B15" s="12"/>
      <c r="C15" s="75"/>
      <c r="D15" s="13"/>
      <c r="E15" s="38"/>
      <c r="F15" s="40"/>
      <c r="G15" s="51"/>
      <c r="H15" s="13"/>
      <c r="I15" s="15"/>
      <c r="J15" s="15"/>
      <c r="K15" s="13"/>
      <c r="L15" s="13"/>
      <c r="M15" s="13"/>
      <c r="N15" s="13"/>
      <c r="O15" s="13"/>
      <c r="P15" s="13"/>
      <c r="Q15" s="13"/>
      <c r="R15" s="13"/>
      <c r="S15" s="113"/>
      <c r="T15" s="64"/>
      <c r="U15" s="103"/>
      <c r="V15" s="13"/>
      <c r="W15" s="75" t="s">
        <v>22</v>
      </c>
    </row>
    <row r="16" spans="1:23" x14ac:dyDescent="0.3">
      <c r="A16" s="75"/>
      <c r="B16" s="12"/>
      <c r="C16" s="75"/>
      <c r="D16" s="13"/>
      <c r="E16" s="38"/>
      <c r="F16" s="40"/>
      <c r="G16" s="51"/>
      <c r="H16" s="13"/>
      <c r="I16" s="15"/>
      <c r="J16" s="15"/>
      <c r="K16" s="13"/>
      <c r="L16" s="13"/>
      <c r="M16" s="13"/>
      <c r="N16" s="13"/>
      <c r="O16" s="13"/>
      <c r="P16" s="13"/>
      <c r="Q16" s="13"/>
      <c r="R16" s="13"/>
      <c r="S16" s="113"/>
      <c r="T16" s="64"/>
      <c r="U16" s="103"/>
      <c r="V16" s="13"/>
      <c r="W16" s="75" t="s">
        <v>22</v>
      </c>
    </row>
    <row r="17" spans="1:23" x14ac:dyDescent="0.3">
      <c r="A17" s="75"/>
      <c r="B17" s="12"/>
      <c r="C17" s="75"/>
      <c r="D17" s="13"/>
      <c r="E17" s="38"/>
      <c r="F17" s="40"/>
      <c r="G17" s="51"/>
      <c r="H17" s="13"/>
      <c r="I17" s="15"/>
      <c r="J17" s="15"/>
      <c r="K17" s="13"/>
      <c r="L17" s="13"/>
      <c r="M17" s="13"/>
      <c r="N17" s="13"/>
      <c r="O17" s="13"/>
      <c r="P17" s="13"/>
      <c r="Q17" s="13"/>
      <c r="R17" s="13"/>
      <c r="S17" s="113"/>
      <c r="T17" s="64"/>
      <c r="U17" s="103"/>
      <c r="V17" s="13"/>
      <c r="W17" s="75" t="s">
        <v>22</v>
      </c>
    </row>
    <row r="18" spans="1:23" x14ac:dyDescent="0.3">
      <c r="A18" s="75"/>
      <c r="B18" s="12"/>
      <c r="C18" s="75"/>
      <c r="D18" s="13"/>
      <c r="E18" s="38"/>
      <c r="F18" s="40"/>
      <c r="G18" s="51"/>
      <c r="H18" s="13"/>
      <c r="I18" s="15"/>
      <c r="J18" s="15"/>
      <c r="K18" s="13"/>
      <c r="L18" s="13"/>
      <c r="M18" s="13"/>
      <c r="N18" s="13"/>
      <c r="O18" s="13"/>
      <c r="P18" s="13"/>
      <c r="Q18" s="13"/>
      <c r="R18" s="13"/>
      <c r="S18" s="113"/>
      <c r="T18" s="64"/>
      <c r="U18" s="103"/>
      <c r="V18" s="13"/>
      <c r="W18" s="75" t="s">
        <v>22</v>
      </c>
    </row>
    <row r="19" spans="1:23" x14ac:dyDescent="0.3">
      <c r="A19" s="75"/>
      <c r="B19" s="12"/>
      <c r="C19" s="75"/>
      <c r="D19" s="13"/>
      <c r="E19" s="38"/>
      <c r="F19" s="40"/>
      <c r="G19" s="51"/>
      <c r="H19" s="13"/>
      <c r="I19" s="15"/>
      <c r="J19" s="15"/>
      <c r="K19" s="13"/>
      <c r="L19" s="13"/>
      <c r="M19" s="13"/>
      <c r="N19" s="13"/>
      <c r="O19" s="13"/>
      <c r="P19" s="13"/>
      <c r="Q19" s="13"/>
      <c r="R19" s="13"/>
      <c r="S19" s="113"/>
      <c r="T19" s="64"/>
      <c r="U19" s="103"/>
      <c r="V19" s="13"/>
      <c r="W19" s="75" t="s">
        <v>22</v>
      </c>
    </row>
    <row r="20" spans="1:23" x14ac:dyDescent="0.3">
      <c r="A20" s="75"/>
      <c r="B20" s="12"/>
      <c r="C20" s="75"/>
      <c r="D20" s="13"/>
      <c r="E20" s="38"/>
      <c r="F20" s="40"/>
      <c r="G20" s="51"/>
      <c r="H20" s="13"/>
      <c r="I20" s="15"/>
      <c r="J20" s="15"/>
      <c r="K20" s="13"/>
      <c r="L20" s="13"/>
      <c r="M20" s="13"/>
      <c r="N20" s="13"/>
      <c r="O20" s="13"/>
      <c r="P20" s="13"/>
      <c r="Q20" s="13"/>
      <c r="R20" s="13"/>
      <c r="S20" s="113"/>
      <c r="T20" s="64"/>
      <c r="U20" s="103"/>
      <c r="V20" s="13"/>
      <c r="W20" s="75" t="s">
        <v>22</v>
      </c>
    </row>
    <row r="21" spans="1:23" x14ac:dyDescent="0.3">
      <c r="A21" s="75"/>
      <c r="B21" s="12"/>
      <c r="C21" s="75"/>
      <c r="D21" s="13"/>
      <c r="E21" s="38"/>
      <c r="F21" s="40"/>
      <c r="G21" s="51"/>
      <c r="H21" s="13"/>
      <c r="I21" s="15"/>
      <c r="J21" s="15"/>
      <c r="K21" s="13"/>
      <c r="L21" s="13"/>
      <c r="M21" s="13"/>
      <c r="N21" s="13"/>
      <c r="O21" s="13"/>
      <c r="P21" s="13"/>
      <c r="Q21" s="13"/>
      <c r="R21" s="13"/>
      <c r="S21" s="113"/>
      <c r="T21" s="64"/>
      <c r="U21" s="103"/>
      <c r="V21" s="13"/>
      <c r="W21" s="75" t="s">
        <v>22</v>
      </c>
    </row>
    <row r="22" spans="1:23" x14ac:dyDescent="0.3">
      <c r="A22" s="75"/>
      <c r="B22" s="12"/>
      <c r="C22" s="75"/>
      <c r="D22" s="13"/>
      <c r="E22" s="38"/>
      <c r="F22" s="40"/>
      <c r="G22" s="51"/>
      <c r="H22" s="13"/>
      <c r="I22" s="15"/>
      <c r="J22" s="15"/>
      <c r="K22" s="13"/>
      <c r="L22" s="13"/>
      <c r="M22" s="13"/>
      <c r="N22" s="13"/>
      <c r="O22" s="13"/>
      <c r="P22" s="13"/>
      <c r="Q22" s="13"/>
      <c r="R22" s="13"/>
      <c r="S22" s="113"/>
      <c r="T22" s="64"/>
      <c r="U22" s="103"/>
      <c r="V22" s="13"/>
      <c r="W22" s="75" t="s">
        <v>22</v>
      </c>
    </row>
    <row r="23" spans="1:23" x14ac:dyDescent="0.3">
      <c r="A23" s="75"/>
      <c r="B23" s="12"/>
      <c r="C23" s="75"/>
      <c r="D23" s="13"/>
      <c r="E23" s="38"/>
      <c r="F23" s="40"/>
      <c r="G23" s="51"/>
      <c r="H23" s="13"/>
      <c r="I23" s="15"/>
      <c r="J23" s="15"/>
      <c r="K23" s="13"/>
      <c r="L23" s="13"/>
      <c r="M23" s="13"/>
      <c r="N23" s="13"/>
      <c r="O23" s="13"/>
      <c r="P23" s="13"/>
      <c r="Q23" s="13"/>
      <c r="R23" s="13"/>
      <c r="S23" s="113"/>
      <c r="T23" s="64"/>
      <c r="U23" s="103"/>
      <c r="V23" s="13"/>
      <c r="W23" s="75" t="s">
        <v>22</v>
      </c>
    </row>
    <row r="24" spans="1:23" x14ac:dyDescent="0.3">
      <c r="A24" s="75"/>
      <c r="B24" s="12"/>
      <c r="C24" s="75"/>
      <c r="D24" s="13"/>
      <c r="E24" s="38"/>
      <c r="F24" s="40"/>
      <c r="G24" s="51"/>
      <c r="H24" s="13"/>
      <c r="I24" s="15"/>
      <c r="J24" s="15"/>
      <c r="K24" s="13"/>
      <c r="L24" s="13"/>
      <c r="M24" s="13"/>
      <c r="N24" s="13"/>
      <c r="O24" s="13"/>
      <c r="P24" s="13"/>
      <c r="Q24" s="13"/>
      <c r="R24" s="13"/>
      <c r="S24" s="113"/>
      <c r="T24" s="64"/>
      <c r="U24" s="103"/>
      <c r="V24" s="13"/>
      <c r="W24" s="75" t="s">
        <v>22</v>
      </c>
    </row>
    <row r="25" spans="1:23" x14ac:dyDescent="0.3">
      <c r="A25" s="75"/>
      <c r="B25" s="12"/>
      <c r="C25" s="75"/>
      <c r="D25" s="13"/>
      <c r="E25" s="38"/>
      <c r="F25" s="40"/>
      <c r="G25" s="51"/>
      <c r="H25" s="13"/>
      <c r="I25" s="15"/>
      <c r="J25" s="15"/>
      <c r="K25" s="13"/>
      <c r="L25" s="13"/>
      <c r="M25" s="13"/>
      <c r="N25" s="13"/>
      <c r="O25" s="13"/>
      <c r="P25" s="13"/>
      <c r="Q25" s="13"/>
      <c r="R25" s="13"/>
      <c r="S25" s="113"/>
      <c r="T25" s="64"/>
      <c r="U25" s="103"/>
      <c r="V25" s="13"/>
      <c r="W25" s="75" t="s">
        <v>22</v>
      </c>
    </row>
    <row r="26" spans="1:23" x14ac:dyDescent="0.3">
      <c r="A26" s="75"/>
      <c r="B26" s="12"/>
      <c r="C26" s="75"/>
      <c r="D26" s="13"/>
      <c r="E26" s="38"/>
      <c r="F26" s="40"/>
      <c r="G26" s="51"/>
      <c r="H26" s="13"/>
      <c r="I26" s="15"/>
      <c r="J26" s="15"/>
      <c r="K26" s="13"/>
      <c r="L26" s="13"/>
      <c r="M26" s="13"/>
      <c r="N26" s="13"/>
      <c r="O26" s="13"/>
      <c r="P26" s="13"/>
      <c r="Q26" s="13"/>
      <c r="R26" s="13"/>
      <c r="S26" s="113"/>
      <c r="T26" s="64"/>
      <c r="U26" s="103"/>
      <c r="V26" s="13"/>
      <c r="W26" s="75" t="s">
        <v>22</v>
      </c>
    </row>
    <row r="27" spans="1:23" x14ac:dyDescent="0.3">
      <c r="A27" s="75"/>
      <c r="B27" s="12"/>
      <c r="C27" s="75"/>
      <c r="D27" s="13"/>
      <c r="E27" s="38"/>
      <c r="F27" s="40"/>
      <c r="G27" s="51"/>
      <c r="H27" s="13"/>
      <c r="I27" s="15"/>
      <c r="J27" s="15"/>
      <c r="K27" s="13"/>
      <c r="L27" s="13"/>
      <c r="M27" s="13"/>
      <c r="N27" s="13"/>
      <c r="O27" s="13"/>
      <c r="P27" s="13"/>
      <c r="Q27" s="13"/>
      <c r="R27" s="13"/>
      <c r="S27" s="113"/>
      <c r="T27" s="64"/>
      <c r="U27" s="103"/>
      <c r="V27" s="13"/>
      <c r="W27" s="75" t="s">
        <v>22</v>
      </c>
    </row>
    <row r="28" spans="1:23" x14ac:dyDescent="0.3">
      <c r="A28" s="75"/>
      <c r="B28" s="12"/>
      <c r="C28" s="75"/>
      <c r="D28" s="13"/>
      <c r="E28" s="38"/>
      <c r="F28" s="40"/>
      <c r="G28" s="51"/>
      <c r="H28" s="13"/>
      <c r="I28" s="15"/>
      <c r="J28" s="15"/>
      <c r="K28" s="13"/>
      <c r="L28" s="13"/>
      <c r="M28" s="13"/>
      <c r="N28" s="13"/>
      <c r="O28" s="13"/>
      <c r="P28" s="13"/>
      <c r="Q28" s="13"/>
      <c r="R28" s="13"/>
      <c r="S28" s="113"/>
      <c r="T28" s="64"/>
      <c r="U28" s="103"/>
      <c r="V28" s="13"/>
      <c r="W28" s="75" t="s">
        <v>22</v>
      </c>
    </row>
    <row r="29" spans="1:23" x14ac:dyDescent="0.3">
      <c r="A29" s="75"/>
      <c r="B29" s="12"/>
      <c r="C29" s="75"/>
      <c r="D29" s="13"/>
      <c r="E29" s="38"/>
      <c r="F29" s="40"/>
      <c r="G29" s="51"/>
      <c r="H29" s="13"/>
      <c r="I29" s="15"/>
      <c r="J29" s="15"/>
      <c r="K29" s="13"/>
      <c r="L29" s="13"/>
      <c r="M29" s="13"/>
      <c r="N29" s="13"/>
      <c r="O29" s="13"/>
      <c r="P29" s="13"/>
      <c r="Q29" s="13"/>
      <c r="R29" s="13"/>
      <c r="S29" s="113"/>
      <c r="T29" s="64"/>
      <c r="U29" s="103"/>
      <c r="V29" s="13"/>
      <c r="W29" s="75" t="s">
        <v>22</v>
      </c>
    </row>
    <row r="30" spans="1:23" x14ac:dyDescent="0.3">
      <c r="A30" s="75"/>
      <c r="B30" s="12"/>
      <c r="C30" s="75"/>
      <c r="D30" s="13"/>
      <c r="E30" s="38"/>
      <c r="F30" s="40"/>
      <c r="G30" s="51"/>
      <c r="H30" s="13"/>
      <c r="I30" s="15"/>
      <c r="J30" s="15"/>
      <c r="K30" s="13"/>
      <c r="L30" s="13"/>
      <c r="M30" s="13"/>
      <c r="N30" s="13"/>
      <c r="O30" s="13"/>
      <c r="P30" s="13"/>
      <c r="Q30" s="13"/>
      <c r="R30" s="13"/>
      <c r="S30" s="113"/>
      <c r="T30" s="64"/>
      <c r="U30" s="103"/>
      <c r="V30" s="13"/>
      <c r="W30" s="75" t="s">
        <v>22</v>
      </c>
    </row>
    <row r="31" spans="1:23" x14ac:dyDescent="0.3">
      <c r="A31" s="75"/>
      <c r="B31" s="12"/>
      <c r="C31" s="75"/>
      <c r="D31" s="13"/>
      <c r="E31" s="38"/>
      <c r="F31" s="40"/>
      <c r="G31" s="51"/>
      <c r="H31" s="13"/>
      <c r="I31" s="15"/>
      <c r="J31" s="15"/>
      <c r="K31" s="13"/>
      <c r="L31" s="13"/>
      <c r="M31" s="13"/>
      <c r="N31" s="13"/>
      <c r="O31" s="13"/>
      <c r="P31" s="13"/>
      <c r="Q31" s="13"/>
      <c r="R31" s="13"/>
      <c r="S31" s="113"/>
      <c r="T31" s="64"/>
      <c r="U31" s="103"/>
      <c r="V31" s="13"/>
      <c r="W31" s="75" t="s">
        <v>22</v>
      </c>
    </row>
    <row r="32" spans="1:23" x14ac:dyDescent="0.3">
      <c r="A32" s="75"/>
      <c r="B32" s="12"/>
      <c r="C32" s="75"/>
      <c r="D32" s="13"/>
      <c r="E32" s="38"/>
      <c r="F32" s="40"/>
      <c r="G32" s="51"/>
      <c r="H32" s="13"/>
      <c r="I32" s="15"/>
      <c r="J32" s="15"/>
      <c r="K32" s="13"/>
      <c r="L32" s="13"/>
      <c r="M32" s="13"/>
      <c r="N32" s="13"/>
      <c r="O32" s="13"/>
      <c r="P32" s="13"/>
      <c r="Q32" s="13"/>
      <c r="R32" s="13"/>
      <c r="S32" s="113"/>
      <c r="T32" s="64"/>
      <c r="U32" s="103"/>
      <c r="V32" s="13"/>
      <c r="W32" s="75" t="s">
        <v>22</v>
      </c>
    </row>
    <row r="33" spans="1:23" x14ac:dyDescent="0.3">
      <c r="A33" s="75"/>
      <c r="B33" s="12"/>
      <c r="C33" s="75"/>
      <c r="D33" s="13"/>
      <c r="E33" s="38"/>
      <c r="F33" s="40"/>
      <c r="G33" s="51"/>
      <c r="H33" s="13"/>
      <c r="I33" s="15"/>
      <c r="J33" s="15"/>
      <c r="K33" s="13"/>
      <c r="L33" s="13"/>
      <c r="M33" s="13"/>
      <c r="N33" s="13"/>
      <c r="O33" s="13"/>
      <c r="P33" s="13"/>
      <c r="Q33" s="13"/>
      <c r="R33" s="13"/>
      <c r="S33" s="113"/>
      <c r="T33" s="64"/>
      <c r="U33" s="103"/>
      <c r="V33" s="13"/>
      <c r="W33" s="75" t="s">
        <v>22</v>
      </c>
    </row>
    <row r="34" spans="1:23" x14ac:dyDescent="0.3">
      <c r="A34" s="75"/>
      <c r="B34" s="12"/>
      <c r="C34" s="75"/>
      <c r="D34" s="13"/>
      <c r="E34" s="38"/>
      <c r="F34" s="40"/>
      <c r="G34" s="51"/>
      <c r="H34" s="13"/>
      <c r="I34" s="15"/>
      <c r="J34" s="15"/>
      <c r="K34" s="13"/>
      <c r="L34" s="13"/>
      <c r="M34" s="13"/>
      <c r="N34" s="13"/>
      <c r="O34" s="13"/>
      <c r="P34" s="13"/>
      <c r="Q34" s="13"/>
      <c r="R34" s="13"/>
      <c r="S34" s="113"/>
      <c r="T34" s="64"/>
      <c r="U34" s="103"/>
      <c r="V34" s="13"/>
      <c r="W34" s="75" t="s">
        <v>22</v>
      </c>
    </row>
    <row r="35" spans="1:23" x14ac:dyDescent="0.3">
      <c r="A35" s="75"/>
      <c r="B35" s="12"/>
      <c r="C35" s="75"/>
      <c r="D35" s="13"/>
      <c r="E35" s="38"/>
      <c r="F35" s="40"/>
      <c r="G35" s="51"/>
      <c r="H35" s="13"/>
      <c r="I35" s="15"/>
      <c r="J35" s="15"/>
      <c r="K35" s="13"/>
      <c r="L35" s="13"/>
      <c r="M35" s="13"/>
      <c r="N35" s="13"/>
      <c r="O35" s="13"/>
      <c r="P35" s="13"/>
      <c r="Q35" s="13"/>
      <c r="R35" s="13"/>
      <c r="S35" s="113"/>
      <c r="T35" s="64"/>
      <c r="U35" s="103"/>
      <c r="V35" s="13"/>
      <c r="W35" s="75" t="s">
        <v>22</v>
      </c>
    </row>
    <row r="36" spans="1:23" x14ac:dyDescent="0.3">
      <c r="A36" s="75"/>
      <c r="B36" s="12"/>
      <c r="C36" s="75"/>
      <c r="D36" s="13"/>
      <c r="E36" s="38"/>
      <c r="F36" s="40"/>
      <c r="G36" s="51"/>
      <c r="H36" s="13"/>
      <c r="I36" s="15"/>
      <c r="J36" s="15"/>
      <c r="K36" s="13"/>
      <c r="L36" s="13"/>
      <c r="M36" s="13"/>
      <c r="N36" s="13"/>
      <c r="O36" s="13"/>
      <c r="P36" s="13"/>
      <c r="Q36" s="13"/>
      <c r="R36" s="13"/>
      <c r="S36" s="113"/>
      <c r="T36" s="64"/>
      <c r="U36" s="103"/>
      <c r="V36" s="13"/>
      <c r="W36" s="75" t="s">
        <v>22</v>
      </c>
    </row>
    <row r="37" spans="1:23" x14ac:dyDescent="0.3">
      <c r="A37" s="75"/>
      <c r="B37" s="12"/>
      <c r="C37" s="75"/>
      <c r="D37" s="13"/>
      <c r="E37" s="38"/>
      <c r="F37" s="40"/>
      <c r="G37" s="51"/>
      <c r="H37" s="13"/>
      <c r="I37" s="15"/>
      <c r="J37" s="15"/>
      <c r="K37" s="13"/>
      <c r="L37" s="13"/>
      <c r="M37" s="13"/>
      <c r="N37" s="13"/>
      <c r="O37" s="13"/>
      <c r="P37" s="13"/>
      <c r="Q37" s="13"/>
      <c r="R37" s="13"/>
      <c r="S37" s="113"/>
      <c r="T37" s="64"/>
      <c r="U37" s="103"/>
      <c r="V37" s="13"/>
      <c r="W37" s="75" t="s">
        <v>22</v>
      </c>
    </row>
    <row r="38" spans="1:23" x14ac:dyDescent="0.3">
      <c r="A38" s="75"/>
      <c r="B38" s="12"/>
      <c r="C38" s="75"/>
      <c r="D38" s="13"/>
      <c r="E38" s="38"/>
      <c r="F38" s="40"/>
      <c r="G38" s="51"/>
      <c r="H38" s="13"/>
      <c r="I38" s="15"/>
      <c r="J38" s="15"/>
      <c r="K38" s="13"/>
      <c r="L38" s="13"/>
      <c r="M38" s="13"/>
      <c r="N38" s="13"/>
      <c r="O38" s="13"/>
      <c r="P38" s="13"/>
      <c r="Q38" s="13"/>
      <c r="R38" s="13"/>
      <c r="S38" s="113"/>
      <c r="T38" s="64"/>
      <c r="U38" s="103"/>
      <c r="V38" s="13"/>
      <c r="W38" s="75" t="s">
        <v>22</v>
      </c>
    </row>
    <row r="39" spans="1:23" x14ac:dyDescent="0.3">
      <c r="A39" s="75"/>
      <c r="B39" s="12"/>
      <c r="C39" s="75"/>
      <c r="D39" s="13"/>
      <c r="E39" s="38"/>
      <c r="F39" s="40"/>
      <c r="G39" s="51"/>
      <c r="H39" s="13"/>
      <c r="I39" s="15"/>
      <c r="J39" s="15"/>
      <c r="K39" s="13"/>
      <c r="L39" s="13"/>
      <c r="M39" s="13"/>
      <c r="N39" s="13"/>
      <c r="O39" s="13"/>
      <c r="P39" s="13"/>
      <c r="Q39" s="13"/>
      <c r="R39" s="13"/>
      <c r="S39" s="113"/>
      <c r="T39" s="64"/>
      <c r="U39" s="103"/>
      <c r="V39" s="13"/>
      <c r="W39" s="75" t="s">
        <v>22</v>
      </c>
    </row>
    <row r="40" spans="1:23" x14ac:dyDescent="0.3">
      <c r="A40" s="75"/>
      <c r="B40" s="12"/>
      <c r="C40" s="75"/>
      <c r="D40" s="13"/>
      <c r="E40" s="38"/>
      <c r="F40" s="40"/>
      <c r="G40" s="51"/>
      <c r="H40" s="13"/>
      <c r="I40" s="15"/>
      <c r="J40" s="15"/>
      <c r="K40" s="13"/>
      <c r="L40" s="13"/>
      <c r="M40" s="13"/>
      <c r="N40" s="13"/>
      <c r="O40" s="13"/>
      <c r="P40" s="13"/>
      <c r="Q40" s="13"/>
      <c r="R40" s="13"/>
      <c r="S40" s="113"/>
      <c r="T40" s="64"/>
      <c r="U40" s="103"/>
      <c r="V40" s="13"/>
      <c r="W40" s="75" t="s">
        <v>22</v>
      </c>
    </row>
    <row r="41" spans="1:23" x14ac:dyDescent="0.3">
      <c r="A41" s="75"/>
      <c r="B41" s="12"/>
      <c r="C41" s="75"/>
      <c r="D41" s="13"/>
      <c r="E41" s="38"/>
      <c r="F41" s="40"/>
      <c r="G41" s="51"/>
      <c r="H41" s="13"/>
      <c r="I41" s="15"/>
      <c r="J41" s="15"/>
      <c r="K41" s="13"/>
      <c r="L41" s="13"/>
      <c r="M41" s="13"/>
      <c r="N41" s="13"/>
      <c r="O41" s="13"/>
      <c r="P41" s="13"/>
      <c r="Q41" s="13"/>
      <c r="R41" s="13"/>
      <c r="S41" s="113"/>
      <c r="T41" s="64"/>
      <c r="U41" s="103"/>
      <c r="V41" s="13"/>
      <c r="W41" s="75" t="s">
        <v>22</v>
      </c>
    </row>
    <row r="42" spans="1:23" x14ac:dyDescent="0.3">
      <c r="A42" s="75"/>
      <c r="B42" s="12"/>
      <c r="C42" s="75"/>
      <c r="D42" s="13"/>
      <c r="E42" s="38"/>
      <c r="F42" s="40"/>
      <c r="G42" s="51"/>
      <c r="H42" s="13"/>
      <c r="I42" s="15"/>
      <c r="J42" s="15"/>
      <c r="K42" s="13"/>
      <c r="L42" s="13"/>
      <c r="M42" s="13"/>
      <c r="N42" s="13"/>
      <c r="O42" s="13"/>
      <c r="P42" s="13"/>
      <c r="Q42" s="13"/>
      <c r="R42" s="13"/>
      <c r="S42" s="113"/>
      <c r="T42" s="64"/>
      <c r="U42" s="103"/>
      <c r="V42" s="13"/>
      <c r="W42" s="75" t="s">
        <v>22</v>
      </c>
    </row>
    <row r="43" spans="1:23" x14ac:dyDescent="0.3">
      <c r="A43" s="75" t="str">
        <f>IF(RAIA[[#This Row],[Data Monitoria]]="","",((((WEEKNUM(B43)-WEEKNUM(DATE(YEAR(B43),MONTH(B43),1))+1)))))</f>
        <v/>
      </c>
      <c r="B43" s="12"/>
      <c r="C43" s="13"/>
      <c r="D43" s="13"/>
      <c r="E43" s="13"/>
      <c r="F43" s="70" t="str">
        <f>IF(RAIA[[#This Row],[Produtos]]="","",((VLOOKUP(E43,'TAB PROD'!B:D,3,))))</f>
        <v/>
      </c>
      <c r="G43" s="14" t="str">
        <f>IF(RAIA[[#This Row],[Produtos]]="","",((VLOOKUP(E43,'TAB PROD'!B:C,2,))))</f>
        <v/>
      </c>
      <c r="H43" s="13"/>
      <c r="I43" s="15"/>
      <c r="J43" s="15"/>
      <c r="K43" s="13"/>
      <c r="L43" s="13"/>
      <c r="M43" s="13"/>
      <c r="N43" s="13"/>
      <c r="O43" s="13"/>
      <c r="P43" s="13"/>
      <c r="Q43" s="13"/>
      <c r="R43" s="13"/>
      <c r="S43" s="65"/>
      <c r="T43" s="64"/>
      <c r="U43" s="21" t="str">
        <f>IF(RAIA[[#This Row],[Abertura de chamado]]="","",NETWORKDAYS(RAIA[[#This Row],[Abertura de chamado]],RAIA[[#This Row],[Prazo de correção]]))</f>
        <v/>
      </c>
      <c r="V43" s="13"/>
      <c r="W43" s="75" t="s">
        <v>22</v>
      </c>
    </row>
    <row r="44" spans="1:23" x14ac:dyDescent="0.3">
      <c r="A44" s="75" t="str">
        <f>IF(RAIA[[#This Row],[Data Monitoria]]="","",((((WEEKNUM(B44)-WEEKNUM(DATE(YEAR(B44),MONTH(B44),1))+1)))))</f>
        <v/>
      </c>
      <c r="B44" s="12"/>
      <c r="C44" s="13"/>
      <c r="D44" s="13"/>
      <c r="E44" s="13"/>
      <c r="F44" s="70" t="str">
        <f>IF(RAIA[[#This Row],[Produtos]]="","",((VLOOKUP(E44,'TAB PROD'!B:D,3,))))</f>
        <v/>
      </c>
      <c r="G44" s="14" t="str">
        <f>IF(RAIA[[#This Row],[Produtos]]="","",((VLOOKUP(E44,'TAB PROD'!B:C,2,))))</f>
        <v/>
      </c>
      <c r="H44" s="13"/>
      <c r="I44" s="15"/>
      <c r="J44" s="15"/>
      <c r="K44" s="13"/>
      <c r="L44" s="13"/>
      <c r="M44" s="13"/>
      <c r="N44" s="13"/>
      <c r="O44" s="13"/>
      <c r="P44" s="13"/>
      <c r="Q44" s="13"/>
      <c r="R44" s="13"/>
      <c r="S44" s="65"/>
      <c r="T44" s="64"/>
      <c r="U44" s="21" t="str">
        <f>IF(RAIA[[#This Row],[Abertura de chamado]]="","",NETWORKDAYS(RAIA[[#This Row],[Abertura de chamado]],RAIA[[#This Row],[Prazo de correção]]))</f>
        <v/>
      </c>
      <c r="V44" s="13"/>
      <c r="W44" s="75" t="s">
        <v>22</v>
      </c>
    </row>
    <row r="45" spans="1:23" x14ac:dyDescent="0.3">
      <c r="A45" s="75" t="str">
        <f>IF(RAIA[[#This Row],[Data Monitoria]]="","",((((WEEKNUM(B45)-WEEKNUM(DATE(YEAR(B45),MONTH(B45),1))+1)))))</f>
        <v/>
      </c>
      <c r="B45" s="12"/>
      <c r="C45" s="13"/>
      <c r="D45" s="13"/>
      <c r="E45" s="13"/>
      <c r="F45" s="70" t="str">
        <f>IF(RAIA[[#This Row],[Produtos]]="","",((VLOOKUP(E45,'TAB PROD'!B:D,3,))))</f>
        <v/>
      </c>
      <c r="G45" s="14" t="str">
        <f>IF(RAIA[[#This Row],[Produtos]]="","",((VLOOKUP(E45,'TAB PROD'!B:C,2,))))</f>
        <v/>
      </c>
      <c r="H45" s="13"/>
      <c r="I45" s="15"/>
      <c r="J45" s="15"/>
      <c r="K45" s="13"/>
      <c r="L45" s="13"/>
      <c r="M45" s="13"/>
      <c r="N45" s="13"/>
      <c r="O45" s="13"/>
      <c r="P45" s="13"/>
      <c r="Q45" s="13"/>
      <c r="R45" s="13"/>
      <c r="S45" s="65"/>
      <c r="T45" s="64"/>
      <c r="U45" s="21" t="str">
        <f>IF(RAIA[[#This Row],[Abertura de chamado]]="","",NETWORKDAYS(RAIA[[#This Row],[Abertura de chamado]],RAIA[[#This Row],[Prazo de correção]]))</f>
        <v/>
      </c>
      <c r="V45" s="13"/>
      <c r="W45" s="75" t="s">
        <v>22</v>
      </c>
    </row>
    <row r="46" spans="1:23" x14ac:dyDescent="0.3">
      <c r="A46" s="75" t="str">
        <f>IF(RAIA[[#This Row],[Data Monitoria]]="","",((((WEEKNUM(B46)-WEEKNUM(DATE(YEAR(B46),MONTH(B46),1))+1)))))</f>
        <v/>
      </c>
      <c r="B46" s="12"/>
      <c r="C46" s="13"/>
      <c r="D46" s="13"/>
      <c r="E46" s="13"/>
      <c r="F46" s="70" t="str">
        <f>IF(RAIA[[#This Row],[Produtos]]="","",((VLOOKUP(E46,'TAB PROD'!B:D,3,))))</f>
        <v/>
      </c>
      <c r="G46" s="14" t="str">
        <f>IF(RAIA[[#This Row],[Produtos]]="","",((VLOOKUP(E46,'TAB PROD'!B:C,2,))))</f>
        <v/>
      </c>
      <c r="H46" s="13"/>
      <c r="I46" s="15"/>
      <c r="J46" s="15"/>
      <c r="K46" s="13"/>
      <c r="L46" s="13"/>
      <c r="M46" s="13"/>
      <c r="N46" s="13"/>
      <c r="O46" s="13"/>
      <c r="P46" s="13"/>
      <c r="Q46" s="13"/>
      <c r="R46" s="13"/>
      <c r="S46" s="65"/>
      <c r="T46" s="64"/>
      <c r="U46" s="21" t="str">
        <f>IF(RAIA[[#This Row],[Abertura de chamado]]="","",NETWORKDAYS(RAIA[[#This Row],[Abertura de chamado]],RAIA[[#This Row],[Prazo de correção]]))</f>
        <v/>
      </c>
      <c r="V46" s="13"/>
      <c r="W46" s="75" t="s">
        <v>22</v>
      </c>
    </row>
    <row r="47" spans="1:23" x14ac:dyDescent="0.3">
      <c r="A47" s="75" t="str">
        <f>IF(RAIA[[#This Row],[Data Monitoria]]="","",((((WEEKNUM(B47)-WEEKNUM(DATE(YEAR(B47),MONTH(B47),1))+1)))))</f>
        <v/>
      </c>
      <c r="B47" s="12"/>
      <c r="C47" s="13"/>
      <c r="D47" s="13"/>
      <c r="E47" s="13"/>
      <c r="F47" s="70" t="str">
        <f>IF(RAIA[[#This Row],[Produtos]]="","",((VLOOKUP(E47,'TAB PROD'!B:D,3,))))</f>
        <v/>
      </c>
      <c r="G47" s="14" t="str">
        <f>IF(RAIA[[#This Row],[Produtos]]="","",((VLOOKUP(E47,'TAB PROD'!B:C,2,))))</f>
        <v/>
      </c>
      <c r="H47" s="13"/>
      <c r="I47" s="15"/>
      <c r="J47" s="15"/>
      <c r="K47" s="13"/>
      <c r="L47" s="13"/>
      <c r="M47" s="13"/>
      <c r="N47" s="13"/>
      <c r="O47" s="13"/>
      <c r="P47" s="13"/>
      <c r="Q47" s="13"/>
      <c r="R47" s="13"/>
      <c r="S47" s="65"/>
      <c r="T47" s="64"/>
      <c r="U47" s="21" t="str">
        <f>IF(RAIA[[#This Row],[Abertura de chamado]]="","",NETWORKDAYS(RAIA[[#This Row],[Abertura de chamado]],RAIA[[#This Row],[Prazo de correção]]))</f>
        <v/>
      </c>
      <c r="V47" s="13"/>
      <c r="W47" s="75" t="s">
        <v>22</v>
      </c>
    </row>
    <row r="48" spans="1:23" x14ac:dyDescent="0.3">
      <c r="A48" s="75" t="str">
        <f>IF(RAIA[[#This Row],[Data Monitoria]]="","",((((WEEKNUM(B48)-WEEKNUM(DATE(YEAR(B48),MONTH(B48),1))+1)))))</f>
        <v/>
      </c>
      <c r="B48" s="12"/>
      <c r="C48" s="13"/>
      <c r="D48" s="13"/>
      <c r="E48" s="13"/>
      <c r="F48" s="70" t="str">
        <f>IF(RAIA[[#This Row],[Produtos]]="","",((VLOOKUP(E48,'TAB PROD'!B:D,3,))))</f>
        <v/>
      </c>
      <c r="G48" s="14" t="str">
        <f>IF(RAIA[[#This Row],[Produtos]]="","",((VLOOKUP(E48,'TAB PROD'!B:C,2,))))</f>
        <v/>
      </c>
      <c r="H48" s="13"/>
      <c r="I48" s="15"/>
      <c r="J48" s="15"/>
      <c r="K48" s="13"/>
      <c r="L48" s="13"/>
      <c r="M48" s="13"/>
      <c r="N48" s="13"/>
      <c r="O48" s="13"/>
      <c r="P48" s="13"/>
      <c r="Q48" s="13"/>
      <c r="R48" s="13"/>
      <c r="S48" s="65"/>
      <c r="T48" s="64"/>
      <c r="U48" s="21" t="str">
        <f>IF(RAIA[[#This Row],[Abertura de chamado]]="","",NETWORKDAYS(RAIA[[#This Row],[Abertura de chamado]],RAIA[[#This Row],[Prazo de correção]]))</f>
        <v/>
      </c>
      <c r="V48" s="13"/>
      <c r="W48" s="75" t="s">
        <v>22</v>
      </c>
    </row>
    <row r="49" spans="1:23" x14ac:dyDescent="0.3">
      <c r="A49" s="75" t="str">
        <f>IF(RAIA[[#This Row],[Data Monitoria]]="","",((((WEEKNUM(B49)-WEEKNUM(DATE(YEAR(B49),MONTH(B49),1))+1)))))</f>
        <v/>
      </c>
      <c r="B49" s="12"/>
      <c r="C49" s="13"/>
      <c r="D49" s="13"/>
      <c r="E49" s="13"/>
      <c r="F49" s="70" t="str">
        <f>IF(RAIA[[#This Row],[Produtos]]="","",((VLOOKUP(E49,'TAB PROD'!B:D,3,))))</f>
        <v/>
      </c>
      <c r="G49" s="14" t="str">
        <f>IF(RAIA[[#This Row],[Produtos]]="","",((VLOOKUP(E49,'TAB PROD'!B:C,2,))))</f>
        <v/>
      </c>
      <c r="H49" s="13"/>
      <c r="I49" s="15"/>
      <c r="J49" s="15"/>
      <c r="K49" s="13"/>
      <c r="L49" s="13"/>
      <c r="M49" s="13"/>
      <c r="N49" s="13"/>
      <c r="O49" s="13"/>
      <c r="P49" s="13"/>
      <c r="Q49" s="13"/>
      <c r="R49" s="13"/>
      <c r="S49" s="65"/>
      <c r="T49" s="64"/>
      <c r="U49" s="21" t="str">
        <f>IF(RAIA[[#This Row],[Abertura de chamado]]="","",NETWORKDAYS(RAIA[[#This Row],[Abertura de chamado]],RAIA[[#This Row],[Prazo de correção]]))</f>
        <v/>
      </c>
      <c r="V49" s="13"/>
      <c r="W49" s="75" t="s">
        <v>22</v>
      </c>
    </row>
    <row r="50" spans="1:23" x14ac:dyDescent="0.3">
      <c r="A50" s="75" t="str">
        <f>IF(RAIA[[#This Row],[Data Monitoria]]="","",((((WEEKNUM(B50)-WEEKNUM(DATE(YEAR(B50),MONTH(B50),1))+1)))))</f>
        <v/>
      </c>
      <c r="B50" s="12"/>
      <c r="C50" s="13"/>
      <c r="D50" s="13"/>
      <c r="E50" s="13"/>
      <c r="F50" s="70" t="str">
        <f>IF(RAIA[[#This Row],[Produtos]]="","",((VLOOKUP(E50,'TAB PROD'!B:D,3,))))</f>
        <v/>
      </c>
      <c r="G50" s="14" t="str">
        <f>IF(RAIA[[#This Row],[Produtos]]="","",((VLOOKUP(E50,'TAB PROD'!B:C,2,))))</f>
        <v/>
      </c>
      <c r="H50" s="13"/>
      <c r="I50" s="15"/>
      <c r="J50" s="15"/>
      <c r="K50" s="13"/>
      <c r="L50" s="13"/>
      <c r="M50" s="13"/>
      <c r="N50" s="13"/>
      <c r="O50" s="13"/>
      <c r="P50" s="13"/>
      <c r="Q50" s="13"/>
      <c r="R50" s="13"/>
      <c r="S50" s="65"/>
      <c r="T50" s="64"/>
      <c r="U50" s="21" t="str">
        <f>IF(RAIA[[#This Row],[Abertura de chamado]]="","",NETWORKDAYS(RAIA[[#This Row],[Abertura de chamado]],RAIA[[#This Row],[Prazo de correção]]))</f>
        <v/>
      </c>
      <c r="V50" s="13"/>
      <c r="W50" s="75" t="s">
        <v>22</v>
      </c>
    </row>
    <row r="51" spans="1:23" x14ac:dyDescent="0.3">
      <c r="A51" s="75" t="str">
        <f>IF(RAIA[[#This Row],[Data Monitoria]]="","",((((WEEKNUM(B51)-WEEKNUM(DATE(YEAR(B51),MONTH(B51),1))+1)))))</f>
        <v/>
      </c>
      <c r="B51" s="12"/>
      <c r="C51" s="13"/>
      <c r="D51" s="13"/>
      <c r="E51" s="13"/>
      <c r="F51" s="70" t="str">
        <f>IF(RAIA[[#This Row],[Produtos]]="","",((VLOOKUP(E51,'TAB PROD'!B:D,3,))))</f>
        <v/>
      </c>
      <c r="G51" s="14" t="str">
        <f>IF(RAIA[[#This Row],[Produtos]]="","",((VLOOKUP(E51,'TAB PROD'!B:C,2,))))</f>
        <v/>
      </c>
      <c r="H51" s="13"/>
      <c r="I51" s="15"/>
      <c r="J51" s="15"/>
      <c r="K51" s="13"/>
      <c r="L51" s="13"/>
      <c r="M51" s="13"/>
      <c r="N51" s="13"/>
      <c r="O51" s="13"/>
      <c r="P51" s="13"/>
      <c r="Q51" s="13"/>
      <c r="R51" s="13"/>
      <c r="S51" s="65"/>
      <c r="T51" s="64"/>
      <c r="U51" s="21" t="str">
        <f>IF(RAIA[[#This Row],[Abertura de chamado]]="","",NETWORKDAYS(RAIA[[#This Row],[Abertura de chamado]],RAIA[[#This Row],[Prazo de correção]]))</f>
        <v/>
      </c>
      <c r="V51" s="13"/>
      <c r="W51" s="75" t="s">
        <v>22</v>
      </c>
    </row>
    <row r="52" spans="1:23" x14ac:dyDescent="0.3">
      <c r="A52" s="75" t="str">
        <f>IF(RAIA[[#This Row],[Data Monitoria]]="","",((((WEEKNUM(B52)-WEEKNUM(DATE(YEAR(B52),MONTH(B52),1))+1)))))</f>
        <v/>
      </c>
      <c r="B52" s="12"/>
      <c r="C52" s="13"/>
      <c r="D52" s="13"/>
      <c r="E52" s="13"/>
      <c r="F52" s="70" t="str">
        <f>IF(RAIA[[#This Row],[Produtos]]="","",((VLOOKUP(E52,'TAB PROD'!B:D,3,))))</f>
        <v/>
      </c>
      <c r="G52" s="14" t="str">
        <f>IF(RAIA[[#This Row],[Produtos]]="","",((VLOOKUP(E52,'TAB PROD'!B:C,2,))))</f>
        <v/>
      </c>
      <c r="H52" s="13"/>
      <c r="I52" s="15"/>
      <c r="J52" s="15"/>
      <c r="K52" s="13"/>
      <c r="L52" s="13"/>
      <c r="M52" s="13"/>
      <c r="N52" s="13"/>
      <c r="O52" s="13"/>
      <c r="P52" s="13"/>
      <c r="Q52" s="13"/>
      <c r="R52" s="13"/>
      <c r="S52" s="65"/>
      <c r="T52" s="64"/>
      <c r="U52" s="21" t="str">
        <f>IF(RAIA[[#This Row],[Abertura de chamado]]="","",NETWORKDAYS(RAIA[[#This Row],[Abertura de chamado]],RAIA[[#This Row],[Prazo de correção]]))</f>
        <v/>
      </c>
      <c r="V52" s="13"/>
      <c r="W52" s="75" t="s">
        <v>22</v>
      </c>
    </row>
    <row r="53" spans="1:23" x14ac:dyDescent="0.3">
      <c r="A53" s="75" t="str">
        <f>IF(RAIA[[#This Row],[Data Monitoria]]="","",((((WEEKNUM(B53)-WEEKNUM(DATE(YEAR(B53),MONTH(B53),1))+1)))))</f>
        <v/>
      </c>
      <c r="B53" s="12"/>
      <c r="C53" s="13"/>
      <c r="D53" s="13"/>
      <c r="E53" s="13"/>
      <c r="F53" s="70" t="str">
        <f>IF(RAIA[[#This Row],[Produtos]]="","",((VLOOKUP(E53,'TAB PROD'!B:D,3,))))</f>
        <v/>
      </c>
      <c r="G53" s="14" t="str">
        <f>IF(RAIA[[#This Row],[Produtos]]="","",((VLOOKUP(E53,'TAB PROD'!B:C,2,))))</f>
        <v/>
      </c>
      <c r="H53" s="13"/>
      <c r="I53" s="15"/>
      <c r="J53" s="15"/>
      <c r="K53" s="13"/>
      <c r="L53" s="13"/>
      <c r="M53" s="13"/>
      <c r="N53" s="13"/>
      <c r="O53" s="13"/>
      <c r="P53" s="13"/>
      <c r="Q53" s="13"/>
      <c r="R53" s="13"/>
      <c r="S53" s="65"/>
      <c r="T53" s="64"/>
      <c r="U53" s="21" t="str">
        <f>IF(RAIA[[#This Row],[Abertura de chamado]]="","",NETWORKDAYS(RAIA[[#This Row],[Abertura de chamado]],RAIA[[#This Row],[Prazo de correção]]))</f>
        <v/>
      </c>
      <c r="V53" s="13"/>
      <c r="W53" s="75" t="s">
        <v>22</v>
      </c>
    </row>
    <row r="54" spans="1:23" x14ac:dyDescent="0.3">
      <c r="A54" s="75" t="str">
        <f>IF(RAIA[[#This Row],[Data Monitoria]]="","",((((WEEKNUM(B54)-WEEKNUM(DATE(YEAR(B54),MONTH(B54),1))+1)))))</f>
        <v/>
      </c>
      <c r="B54" s="12"/>
      <c r="C54" s="13"/>
      <c r="D54" s="13"/>
      <c r="E54" s="13"/>
      <c r="F54" s="70" t="str">
        <f>IF(RAIA[[#This Row],[Produtos]]="","",((VLOOKUP(E54,'TAB PROD'!B:D,3,))))</f>
        <v/>
      </c>
      <c r="G54" s="14" t="str">
        <f>IF(RAIA[[#This Row],[Produtos]]="","",((VLOOKUP(E54,'TAB PROD'!B:C,2,))))</f>
        <v/>
      </c>
      <c r="H54" s="13"/>
      <c r="I54" s="15"/>
      <c r="J54" s="15"/>
      <c r="K54" s="13"/>
      <c r="L54" s="13"/>
      <c r="M54" s="13"/>
      <c r="N54" s="13"/>
      <c r="O54" s="13"/>
      <c r="P54" s="13"/>
      <c r="Q54" s="13"/>
      <c r="R54" s="13"/>
      <c r="S54" s="65"/>
      <c r="T54" s="64"/>
      <c r="U54" s="21" t="str">
        <f>IF(RAIA[[#This Row],[Abertura de chamado]]="","",NETWORKDAYS(RAIA[[#This Row],[Abertura de chamado]],RAIA[[#This Row],[Prazo de correção]]))</f>
        <v/>
      </c>
      <c r="V54" s="13"/>
      <c r="W54" s="75" t="s">
        <v>22</v>
      </c>
    </row>
    <row r="55" spans="1:23" x14ac:dyDescent="0.3">
      <c r="A55" s="75" t="str">
        <f>IF(RAIA[[#This Row],[Data Monitoria]]="","",((((WEEKNUM(B55)-WEEKNUM(DATE(YEAR(B55),MONTH(B55),1))+1)))))</f>
        <v/>
      </c>
      <c r="B55" s="12"/>
      <c r="C55" s="13"/>
      <c r="D55" s="13"/>
      <c r="E55" s="13"/>
      <c r="F55" s="70" t="str">
        <f>IF(RAIA[[#This Row],[Produtos]]="","",((VLOOKUP(E55,'TAB PROD'!B:D,3,))))</f>
        <v/>
      </c>
      <c r="G55" s="14" t="str">
        <f>IF(RAIA[[#This Row],[Produtos]]="","",((VLOOKUP(E55,'TAB PROD'!B:C,2,))))</f>
        <v/>
      </c>
      <c r="H55" s="13"/>
      <c r="I55" s="15"/>
      <c r="J55" s="15"/>
      <c r="K55" s="13"/>
      <c r="L55" s="13"/>
      <c r="M55" s="13"/>
      <c r="N55" s="13"/>
      <c r="O55" s="13"/>
      <c r="P55" s="13"/>
      <c r="Q55" s="13"/>
      <c r="R55" s="13"/>
      <c r="S55" s="65"/>
      <c r="T55" s="64"/>
      <c r="U55" s="21" t="str">
        <f>IF(RAIA[[#This Row],[Abertura de chamado]]="","",NETWORKDAYS(RAIA[[#This Row],[Abertura de chamado]],RAIA[[#This Row],[Prazo de correção]]))</f>
        <v/>
      </c>
      <c r="V55" s="13"/>
      <c r="W55" s="75" t="s">
        <v>22</v>
      </c>
    </row>
    <row r="56" spans="1:23" x14ac:dyDescent="0.3">
      <c r="A56" s="75" t="str">
        <f>IF(RAIA[[#This Row],[Data Monitoria]]="","",((((WEEKNUM(B56)-WEEKNUM(DATE(YEAR(B56),MONTH(B56),1))+1)))))</f>
        <v/>
      </c>
      <c r="B56" s="12"/>
      <c r="C56" s="13"/>
      <c r="D56" s="13"/>
      <c r="E56" s="13"/>
      <c r="F56" s="70" t="str">
        <f>IF(RAIA[[#This Row],[Produtos]]="","",((VLOOKUP(E56,'TAB PROD'!B:D,3,))))</f>
        <v/>
      </c>
      <c r="G56" s="14" t="str">
        <f>IF(RAIA[[#This Row],[Produtos]]="","",((VLOOKUP(E56,'TAB PROD'!B:C,2,))))</f>
        <v/>
      </c>
      <c r="H56" s="13"/>
      <c r="I56" s="15"/>
      <c r="J56" s="15"/>
      <c r="K56" s="13"/>
      <c r="L56" s="13"/>
      <c r="M56" s="13"/>
      <c r="N56" s="13"/>
      <c r="O56" s="13"/>
      <c r="P56" s="13"/>
      <c r="Q56" s="13"/>
      <c r="R56" s="13"/>
      <c r="S56" s="65"/>
      <c r="T56" s="64"/>
      <c r="U56" s="21" t="str">
        <f>IF(RAIA[[#This Row],[Abertura de chamado]]="","",NETWORKDAYS(RAIA[[#This Row],[Abertura de chamado]],RAIA[[#This Row],[Prazo de correção]]))</f>
        <v/>
      </c>
      <c r="V56" s="13"/>
      <c r="W56" s="75" t="s">
        <v>22</v>
      </c>
    </row>
    <row r="57" spans="1:23" x14ac:dyDescent="0.3">
      <c r="A57" s="75" t="str">
        <f>IF(RAIA[[#This Row],[Data Monitoria]]="","",((((WEEKNUM(B57)-WEEKNUM(DATE(YEAR(B57),MONTH(B57),1))+1)))))</f>
        <v/>
      </c>
      <c r="B57" s="12"/>
      <c r="C57" s="13"/>
      <c r="D57" s="13"/>
      <c r="E57" s="13"/>
      <c r="F57" s="70" t="str">
        <f>IF(RAIA[[#This Row],[Produtos]]="","",((VLOOKUP(E57,'TAB PROD'!B:D,3,))))</f>
        <v/>
      </c>
      <c r="G57" s="14" t="str">
        <f>IF(RAIA[[#This Row],[Produtos]]="","",((VLOOKUP(E57,'TAB PROD'!B:C,2,))))</f>
        <v/>
      </c>
      <c r="H57" s="13"/>
      <c r="I57" s="15"/>
      <c r="J57" s="15"/>
      <c r="K57" s="13"/>
      <c r="L57" s="13"/>
      <c r="M57" s="13"/>
      <c r="N57" s="13"/>
      <c r="O57" s="13"/>
      <c r="P57" s="13"/>
      <c r="Q57" s="13"/>
      <c r="R57" s="13"/>
      <c r="S57" s="65"/>
      <c r="T57" s="64"/>
      <c r="U57" s="21" t="str">
        <f>IF(RAIA[[#This Row],[Abertura de chamado]]="","",NETWORKDAYS(RAIA[[#This Row],[Abertura de chamado]],RAIA[[#This Row],[Prazo de correção]]))</f>
        <v/>
      </c>
      <c r="V57" s="13"/>
      <c r="W57" s="75" t="s">
        <v>22</v>
      </c>
    </row>
    <row r="58" spans="1:23" x14ac:dyDescent="0.3">
      <c r="A58" s="75" t="str">
        <f>IF(RAIA[[#This Row],[Data Monitoria]]="","",((((WEEKNUM(B58)-WEEKNUM(DATE(YEAR(B58),MONTH(B58),1))+1)))))</f>
        <v/>
      </c>
      <c r="B58" s="12"/>
      <c r="C58" s="13"/>
      <c r="D58" s="13"/>
      <c r="E58" s="13"/>
      <c r="F58" s="70" t="str">
        <f>IF(RAIA[[#This Row],[Produtos]]="","",((VLOOKUP(E58,'TAB PROD'!B:D,3,))))</f>
        <v/>
      </c>
      <c r="G58" s="14" t="str">
        <f>IF(RAIA[[#This Row],[Produtos]]="","",((VLOOKUP(E58,'TAB PROD'!B:C,2,))))</f>
        <v/>
      </c>
      <c r="H58" s="13"/>
      <c r="I58" s="15"/>
      <c r="J58" s="15"/>
      <c r="K58" s="13"/>
      <c r="L58" s="13"/>
      <c r="M58" s="13"/>
      <c r="N58" s="13"/>
      <c r="O58" s="13"/>
      <c r="P58" s="13"/>
      <c r="Q58" s="13"/>
      <c r="R58" s="13"/>
      <c r="S58" s="65"/>
      <c r="T58" s="64"/>
      <c r="U58" s="21" t="str">
        <f>IF(RAIA[[#This Row],[Abertura de chamado]]="","",NETWORKDAYS(RAIA[[#This Row],[Abertura de chamado]],RAIA[[#This Row],[Prazo de correção]]))</f>
        <v/>
      </c>
      <c r="V58" s="13"/>
      <c r="W58" s="75" t="s">
        <v>22</v>
      </c>
    </row>
    <row r="59" spans="1:23" x14ac:dyDescent="0.3">
      <c r="A59" s="75" t="str">
        <f>IF(RAIA[[#This Row],[Data Monitoria]]="","",((((WEEKNUM(B59)-WEEKNUM(DATE(YEAR(B59),MONTH(B59),1))+1)))))</f>
        <v/>
      </c>
      <c r="B59" s="12"/>
      <c r="C59" s="13"/>
      <c r="D59" s="13"/>
      <c r="E59" s="13"/>
      <c r="F59" s="70" t="str">
        <f>IF(RAIA[[#This Row],[Produtos]]="","",((VLOOKUP(E59,'TAB PROD'!B:D,3,))))</f>
        <v/>
      </c>
      <c r="G59" s="14" t="str">
        <f>IF(RAIA[[#This Row],[Produtos]]="","",((VLOOKUP(E59,'TAB PROD'!B:C,2,))))</f>
        <v/>
      </c>
      <c r="H59" s="13"/>
      <c r="I59" s="15"/>
      <c r="J59" s="15"/>
      <c r="K59" s="13"/>
      <c r="L59" s="13"/>
      <c r="M59" s="13"/>
      <c r="N59" s="13"/>
      <c r="O59" s="13"/>
      <c r="P59" s="13"/>
      <c r="Q59" s="13"/>
      <c r="R59" s="13"/>
      <c r="S59" s="65"/>
      <c r="T59" s="64"/>
      <c r="U59" s="21" t="str">
        <f>IF(RAIA[[#This Row],[Abertura de chamado]]="","",NETWORKDAYS(RAIA[[#This Row],[Abertura de chamado]],RAIA[[#This Row],[Prazo de correção]]))</f>
        <v/>
      </c>
      <c r="V59" s="13"/>
      <c r="W59" s="75" t="s">
        <v>22</v>
      </c>
    </row>
    <row r="60" spans="1:23" x14ac:dyDescent="0.3">
      <c r="A60" s="75" t="str">
        <f>IF(RAIA[[#This Row],[Data Monitoria]]="","",((((WEEKNUM(B60)-WEEKNUM(DATE(YEAR(B60),MONTH(B60),1))+1)))))</f>
        <v/>
      </c>
      <c r="B60" s="12"/>
      <c r="C60" s="13"/>
      <c r="D60" s="13"/>
      <c r="E60" s="13"/>
      <c r="F60" s="70" t="str">
        <f>IF(RAIA[[#This Row],[Produtos]]="","",((VLOOKUP(E60,'TAB PROD'!B:D,3,))))</f>
        <v/>
      </c>
      <c r="G60" s="14" t="str">
        <f>IF(RAIA[[#This Row],[Produtos]]="","",((VLOOKUP(E60,'TAB PROD'!B:C,2,))))</f>
        <v/>
      </c>
      <c r="H60" s="13"/>
      <c r="I60" s="15"/>
      <c r="J60" s="15"/>
      <c r="K60" s="13"/>
      <c r="L60" s="13"/>
      <c r="M60" s="13"/>
      <c r="N60" s="13"/>
      <c r="O60" s="13"/>
      <c r="P60" s="13"/>
      <c r="Q60" s="13"/>
      <c r="R60" s="13"/>
      <c r="S60" s="65"/>
      <c r="T60" s="64"/>
      <c r="U60" s="21" t="str">
        <f>IF(RAIA[[#This Row],[Abertura de chamado]]="","",NETWORKDAYS(RAIA[[#This Row],[Abertura de chamado]],RAIA[[#This Row],[Prazo de correção]]))</f>
        <v/>
      </c>
      <c r="V60" s="13"/>
      <c r="W60" s="75" t="s">
        <v>22</v>
      </c>
    </row>
    <row r="61" spans="1:23" x14ac:dyDescent="0.3">
      <c r="A61" s="75" t="str">
        <f>IF(RAIA[[#This Row],[Data Monitoria]]="","",((((WEEKNUM(B61)-WEEKNUM(DATE(YEAR(B61),MONTH(B61),1))+1)))))</f>
        <v/>
      </c>
      <c r="B61" s="12"/>
      <c r="C61" s="13"/>
      <c r="D61" s="13"/>
      <c r="E61" s="13"/>
      <c r="F61" s="70" t="str">
        <f>IF(RAIA[[#This Row],[Produtos]]="","",((VLOOKUP(E61,'TAB PROD'!B:D,3,))))</f>
        <v/>
      </c>
      <c r="G61" s="14" t="str">
        <f>IF(RAIA[[#This Row],[Produtos]]="","",((VLOOKUP(E61,'TAB PROD'!B:C,2,))))</f>
        <v/>
      </c>
      <c r="H61" s="13"/>
      <c r="I61" s="15"/>
      <c r="J61" s="15"/>
      <c r="K61" s="13"/>
      <c r="L61" s="13"/>
      <c r="M61" s="13"/>
      <c r="N61" s="13"/>
      <c r="O61" s="13"/>
      <c r="P61" s="13"/>
      <c r="Q61" s="13"/>
      <c r="R61" s="13"/>
      <c r="S61" s="65"/>
      <c r="T61" s="64"/>
      <c r="U61" s="21" t="str">
        <f>IF(RAIA[[#This Row],[Abertura de chamado]]="","",NETWORKDAYS(RAIA[[#This Row],[Abertura de chamado]],RAIA[[#This Row],[Prazo de correção]]))</f>
        <v/>
      </c>
      <c r="V61" s="13"/>
      <c r="W61" s="75" t="s">
        <v>22</v>
      </c>
    </row>
    <row r="62" spans="1:23" x14ac:dyDescent="0.3">
      <c r="A62" s="75" t="str">
        <f>IF(RAIA[[#This Row],[Data Monitoria]]="","",((((WEEKNUM(B62)-WEEKNUM(DATE(YEAR(B62),MONTH(B62),1))+1)))))</f>
        <v/>
      </c>
      <c r="B62" s="12"/>
      <c r="C62" s="13"/>
      <c r="D62" s="13"/>
      <c r="E62" s="13"/>
      <c r="F62" s="70" t="str">
        <f>IF(RAIA[[#This Row],[Produtos]]="","",((VLOOKUP(E62,'TAB PROD'!B:D,3,))))</f>
        <v/>
      </c>
      <c r="G62" s="14" t="str">
        <f>IF(RAIA[[#This Row],[Produtos]]="","",((VLOOKUP(E62,'TAB PROD'!B:C,2,))))</f>
        <v/>
      </c>
      <c r="H62" s="13"/>
      <c r="I62" s="15"/>
      <c r="J62" s="15"/>
      <c r="K62" s="13"/>
      <c r="L62" s="13"/>
      <c r="M62" s="13"/>
      <c r="N62" s="13"/>
      <c r="O62" s="13"/>
      <c r="P62" s="13"/>
      <c r="Q62" s="13"/>
      <c r="R62" s="13"/>
      <c r="S62" s="65"/>
      <c r="T62" s="64"/>
      <c r="U62" s="21" t="str">
        <f>IF(RAIA[[#This Row],[Abertura de chamado]]="","",NETWORKDAYS(RAIA[[#This Row],[Abertura de chamado]],RAIA[[#This Row],[Prazo de correção]]))</f>
        <v/>
      </c>
      <c r="V62" s="13"/>
      <c r="W62" s="75" t="s">
        <v>22</v>
      </c>
    </row>
    <row r="63" spans="1:23" x14ac:dyDescent="0.3">
      <c r="A63" s="75" t="str">
        <f>IF(RAIA[[#This Row],[Data Monitoria]]="","",((((WEEKNUM(B63)-WEEKNUM(DATE(YEAR(B63),MONTH(B63),1))+1)))))</f>
        <v/>
      </c>
      <c r="B63" s="12"/>
      <c r="C63" s="13"/>
      <c r="D63" s="13"/>
      <c r="E63" s="13"/>
      <c r="F63" s="70" t="str">
        <f>IF(RAIA[[#This Row],[Produtos]]="","",((VLOOKUP(E63,'TAB PROD'!B:D,3,))))</f>
        <v/>
      </c>
      <c r="G63" s="14" t="str">
        <f>IF(RAIA[[#This Row],[Produtos]]="","",((VLOOKUP(E63,'TAB PROD'!B:C,2,))))</f>
        <v/>
      </c>
      <c r="H63" s="13"/>
      <c r="I63" s="15"/>
      <c r="J63" s="15"/>
      <c r="K63" s="13"/>
      <c r="L63" s="13"/>
      <c r="M63" s="13"/>
      <c r="N63" s="13"/>
      <c r="O63" s="13"/>
      <c r="P63" s="13"/>
      <c r="Q63" s="13"/>
      <c r="R63" s="13"/>
      <c r="S63" s="65"/>
      <c r="T63" s="64"/>
      <c r="U63" s="21" t="str">
        <f>IF(RAIA[[#This Row],[Abertura de chamado]]="","",NETWORKDAYS(RAIA[[#This Row],[Abertura de chamado]],RAIA[[#This Row],[Prazo de correção]]))</f>
        <v/>
      </c>
      <c r="V63" s="13"/>
      <c r="W63" s="75" t="s">
        <v>22</v>
      </c>
    </row>
    <row r="64" spans="1:23" x14ac:dyDescent="0.3">
      <c r="A64" s="75" t="str">
        <f>IF(RAIA[[#This Row],[Data Monitoria]]="","",((((WEEKNUM(B64)-WEEKNUM(DATE(YEAR(B64),MONTH(B64),1))+1)))))</f>
        <v/>
      </c>
      <c r="B64" s="12"/>
      <c r="C64" s="13"/>
      <c r="D64" s="13"/>
      <c r="E64" s="13"/>
      <c r="F64" s="70" t="str">
        <f>IF(RAIA[[#This Row],[Produtos]]="","",((VLOOKUP(E64,'TAB PROD'!B:D,3,))))</f>
        <v/>
      </c>
      <c r="G64" s="14" t="str">
        <f>IF(RAIA[[#This Row],[Produtos]]="","",((VLOOKUP(E64,'TAB PROD'!B:C,2,))))</f>
        <v/>
      </c>
      <c r="H64" s="13"/>
      <c r="I64" s="15"/>
      <c r="J64" s="15"/>
      <c r="K64" s="13"/>
      <c r="L64" s="13"/>
      <c r="M64" s="13"/>
      <c r="N64" s="13"/>
      <c r="O64" s="13"/>
      <c r="P64" s="13"/>
      <c r="Q64" s="13"/>
      <c r="R64" s="13"/>
      <c r="S64" s="65"/>
      <c r="T64" s="64"/>
      <c r="U64" s="21" t="str">
        <f>IF(RAIA[[#This Row],[Abertura de chamado]]="","",NETWORKDAYS(RAIA[[#This Row],[Abertura de chamado]],RAIA[[#This Row],[Prazo de correção]]))</f>
        <v/>
      </c>
      <c r="V64" s="13"/>
      <c r="W64" s="75" t="s">
        <v>22</v>
      </c>
    </row>
    <row r="65" spans="1:23" x14ac:dyDescent="0.3">
      <c r="A65" s="75" t="str">
        <f>IF(RAIA[[#This Row],[Data Monitoria]]="","",((((WEEKNUM(B65)-WEEKNUM(DATE(YEAR(B65),MONTH(B65),1))+1)))))</f>
        <v/>
      </c>
      <c r="B65" s="12"/>
      <c r="C65" s="13"/>
      <c r="D65" s="13"/>
      <c r="E65" s="13"/>
      <c r="F65" s="70" t="str">
        <f>IF(RAIA[[#This Row],[Produtos]]="","",((VLOOKUP(E65,'TAB PROD'!B:D,3,))))</f>
        <v/>
      </c>
      <c r="G65" s="14" t="str">
        <f>IF(RAIA[[#This Row],[Produtos]]="","",((VLOOKUP(E65,'TAB PROD'!B:C,2,))))</f>
        <v/>
      </c>
      <c r="H65" s="13"/>
      <c r="I65" s="15"/>
      <c r="J65" s="15"/>
      <c r="K65" s="13"/>
      <c r="L65" s="13"/>
      <c r="M65" s="13"/>
      <c r="N65" s="13"/>
      <c r="O65" s="13"/>
      <c r="P65" s="13"/>
      <c r="Q65" s="13"/>
      <c r="R65" s="13"/>
      <c r="S65" s="65"/>
      <c r="T65" s="64"/>
      <c r="U65" s="21" t="str">
        <f>IF(RAIA[[#This Row],[Abertura de chamado]]="","",NETWORKDAYS(RAIA[[#This Row],[Abertura de chamado]],RAIA[[#This Row],[Prazo de correção]]))</f>
        <v/>
      </c>
      <c r="V65" s="13"/>
      <c r="W65" s="75" t="s">
        <v>22</v>
      </c>
    </row>
    <row r="66" spans="1:23" x14ac:dyDescent="0.3">
      <c r="A66" s="75" t="str">
        <f>IF(RAIA[[#This Row],[Data Monitoria]]="","",((((WEEKNUM(B66)-WEEKNUM(DATE(YEAR(B66),MONTH(B66),1))+1)))))</f>
        <v/>
      </c>
      <c r="B66" s="12"/>
      <c r="C66" s="13"/>
      <c r="D66" s="13"/>
      <c r="E66" s="13"/>
      <c r="F66" s="70" t="str">
        <f>IF(RAIA[[#This Row],[Produtos]]="","",((VLOOKUP(E66,'TAB PROD'!B:D,3,))))</f>
        <v/>
      </c>
      <c r="G66" s="14" t="str">
        <f>IF(RAIA[[#This Row],[Produtos]]="","",((VLOOKUP(E66,'TAB PROD'!B:C,2,))))</f>
        <v/>
      </c>
      <c r="H66" s="13"/>
      <c r="I66" s="15"/>
      <c r="J66" s="15"/>
      <c r="K66" s="13"/>
      <c r="L66" s="13"/>
      <c r="M66" s="13"/>
      <c r="N66" s="13"/>
      <c r="O66" s="13"/>
      <c r="P66" s="13"/>
      <c r="Q66" s="13"/>
      <c r="R66" s="13"/>
      <c r="S66" s="65"/>
      <c r="T66" s="64"/>
      <c r="U66" s="21" t="str">
        <f>IF(RAIA[[#This Row],[Abertura de chamado]]="","",NETWORKDAYS(RAIA[[#This Row],[Abertura de chamado]],RAIA[[#This Row],[Prazo de correção]]))</f>
        <v/>
      </c>
      <c r="V66" s="13"/>
      <c r="W66" s="75" t="s">
        <v>22</v>
      </c>
    </row>
    <row r="67" spans="1:23" x14ac:dyDescent="0.3">
      <c r="A67" s="75" t="str">
        <f>IF(RAIA[[#This Row],[Data Monitoria]]="","",((((WEEKNUM(B67)-WEEKNUM(DATE(YEAR(B67),MONTH(B67),1))+1)))))</f>
        <v/>
      </c>
      <c r="B67" s="12"/>
      <c r="C67" s="13"/>
      <c r="D67" s="13"/>
      <c r="E67" s="13"/>
      <c r="F67" s="70" t="str">
        <f>IF(RAIA[[#This Row],[Produtos]]="","",((VLOOKUP(E67,'TAB PROD'!B:D,3,))))</f>
        <v/>
      </c>
      <c r="G67" s="14" t="str">
        <f>IF(RAIA[[#This Row],[Produtos]]="","",((VLOOKUP(E67,'TAB PROD'!B:C,2,))))</f>
        <v/>
      </c>
      <c r="H67" s="13"/>
      <c r="I67" s="15"/>
      <c r="J67" s="15"/>
      <c r="K67" s="13"/>
      <c r="L67" s="13"/>
      <c r="M67" s="13"/>
      <c r="N67" s="13"/>
      <c r="O67" s="13"/>
      <c r="P67" s="13"/>
      <c r="Q67" s="13"/>
      <c r="R67" s="13"/>
      <c r="S67" s="65"/>
      <c r="T67" s="64"/>
      <c r="U67" s="21" t="str">
        <f>IF(RAIA[[#This Row],[Abertura de chamado]]="","",NETWORKDAYS(RAIA[[#This Row],[Abertura de chamado]],RAIA[[#This Row],[Prazo de correção]]))</f>
        <v/>
      </c>
      <c r="V67" s="13"/>
      <c r="W67" s="75" t="s">
        <v>22</v>
      </c>
    </row>
    <row r="68" spans="1:23" x14ac:dyDescent="0.3">
      <c r="A68" s="75" t="str">
        <f>IF(RAIA[[#This Row],[Data Monitoria]]="","",((((WEEKNUM(B68)-WEEKNUM(DATE(YEAR(B68),MONTH(B68),1))+1)))))</f>
        <v/>
      </c>
      <c r="B68" s="12"/>
      <c r="C68" s="13"/>
      <c r="D68" s="13"/>
      <c r="E68" s="13"/>
      <c r="F68" s="70" t="str">
        <f>IF(RAIA[[#This Row],[Produtos]]="","",((VLOOKUP(E68,'TAB PROD'!B:D,3,))))</f>
        <v/>
      </c>
      <c r="G68" s="14" t="str">
        <f>IF(RAIA[[#This Row],[Produtos]]="","",((VLOOKUP(E68,'TAB PROD'!B:C,2,))))</f>
        <v/>
      </c>
      <c r="H68" s="13"/>
      <c r="I68" s="15"/>
      <c r="J68" s="15"/>
      <c r="K68" s="13"/>
      <c r="L68" s="13"/>
      <c r="M68" s="13"/>
      <c r="N68" s="13"/>
      <c r="O68" s="13"/>
      <c r="P68" s="13"/>
      <c r="Q68" s="13"/>
      <c r="R68" s="13"/>
      <c r="S68" s="65"/>
      <c r="T68" s="64"/>
      <c r="U68" s="21" t="str">
        <f>IF(RAIA[[#This Row],[Abertura de chamado]]="","",NETWORKDAYS(RAIA[[#This Row],[Abertura de chamado]],RAIA[[#This Row],[Prazo de correção]]))</f>
        <v/>
      </c>
      <c r="V68" s="13"/>
      <c r="W68" s="75" t="s">
        <v>22</v>
      </c>
    </row>
    <row r="69" spans="1:23" x14ac:dyDescent="0.3">
      <c r="A69" s="75" t="str">
        <f>IF(RAIA[[#This Row],[Data Monitoria]]="","",((((WEEKNUM(B69)-WEEKNUM(DATE(YEAR(B69),MONTH(B69),1))+1)))))</f>
        <v/>
      </c>
      <c r="B69" s="12"/>
      <c r="C69" s="13"/>
      <c r="D69" s="13"/>
      <c r="E69" s="13"/>
      <c r="F69" s="70" t="str">
        <f>IF(RAIA[[#This Row],[Produtos]]="","",((VLOOKUP(E69,'TAB PROD'!B:D,3,))))</f>
        <v/>
      </c>
      <c r="G69" s="14" t="str">
        <f>IF(RAIA[[#This Row],[Produtos]]="","",((VLOOKUP(E69,'TAB PROD'!B:C,2,))))</f>
        <v/>
      </c>
      <c r="H69" s="13"/>
      <c r="I69" s="15"/>
      <c r="J69" s="15"/>
      <c r="K69" s="13"/>
      <c r="L69" s="13"/>
      <c r="M69" s="13"/>
      <c r="N69" s="13"/>
      <c r="O69" s="13"/>
      <c r="P69" s="13"/>
      <c r="Q69" s="13"/>
      <c r="R69" s="13"/>
      <c r="S69" s="65"/>
      <c r="T69" s="64"/>
      <c r="U69" s="21" t="str">
        <f>IF(RAIA[[#This Row],[Abertura de chamado]]="","",NETWORKDAYS(RAIA[[#This Row],[Abertura de chamado]],RAIA[[#This Row],[Prazo de correção]]))</f>
        <v/>
      </c>
      <c r="V69" s="13"/>
      <c r="W69" s="75" t="s">
        <v>22</v>
      </c>
    </row>
    <row r="70" spans="1:23" x14ac:dyDescent="0.3">
      <c r="A70" s="75" t="str">
        <f>IF(RAIA[[#This Row],[Data Monitoria]]="","",((((WEEKNUM(B70)-WEEKNUM(DATE(YEAR(B70),MONTH(B70),1))+1)))))</f>
        <v/>
      </c>
      <c r="B70" s="12"/>
      <c r="C70" s="13"/>
      <c r="D70" s="13"/>
      <c r="E70" s="13"/>
      <c r="F70" s="70" t="str">
        <f>IF(RAIA[[#This Row],[Produtos]]="","",((VLOOKUP(E70,'TAB PROD'!B:D,3,))))</f>
        <v/>
      </c>
      <c r="G70" s="14" t="str">
        <f>IF(RAIA[[#This Row],[Produtos]]="","",((VLOOKUP(E70,'TAB PROD'!B:C,2,))))</f>
        <v/>
      </c>
      <c r="H70" s="13"/>
      <c r="I70" s="15"/>
      <c r="J70" s="15"/>
      <c r="K70" s="13"/>
      <c r="L70" s="13"/>
      <c r="M70" s="13"/>
      <c r="N70" s="13"/>
      <c r="O70" s="13"/>
      <c r="P70" s="13"/>
      <c r="Q70" s="13"/>
      <c r="R70" s="13"/>
      <c r="S70" s="65"/>
      <c r="T70" s="64"/>
      <c r="U70" s="21" t="str">
        <f>IF(RAIA[[#This Row],[Abertura de chamado]]="","",NETWORKDAYS(RAIA[[#This Row],[Abertura de chamado]],RAIA[[#This Row],[Prazo de correção]]))</f>
        <v/>
      </c>
      <c r="V70" s="13"/>
      <c r="W70" s="75" t="s">
        <v>22</v>
      </c>
    </row>
    <row r="71" spans="1:23" x14ac:dyDescent="0.3">
      <c r="A71" s="75" t="str">
        <f>IF(RAIA[[#This Row],[Data Monitoria]]="","",((((WEEKNUM(B71)-WEEKNUM(DATE(YEAR(B71),MONTH(B71),1))+1)))))</f>
        <v/>
      </c>
      <c r="B71" s="12"/>
      <c r="C71" s="13"/>
      <c r="D71" s="13"/>
      <c r="E71" s="13"/>
      <c r="F71" s="70" t="str">
        <f>IF(RAIA[[#This Row],[Produtos]]="","",((VLOOKUP(E71,'TAB PROD'!B:D,3,))))</f>
        <v/>
      </c>
      <c r="G71" s="14" t="str">
        <f>IF(RAIA[[#This Row],[Produtos]]="","",((VLOOKUP(E71,'TAB PROD'!B:C,2,))))</f>
        <v/>
      </c>
      <c r="H71" s="13"/>
      <c r="I71" s="15"/>
      <c r="J71" s="15"/>
      <c r="K71" s="13"/>
      <c r="L71" s="13"/>
      <c r="M71" s="13"/>
      <c r="N71" s="13"/>
      <c r="O71" s="13"/>
      <c r="P71" s="13"/>
      <c r="Q71" s="13"/>
      <c r="R71" s="13"/>
      <c r="S71" s="65"/>
      <c r="T71" s="64"/>
      <c r="U71" s="21" t="str">
        <f>IF(RAIA[[#This Row],[Abertura de chamado]]="","",NETWORKDAYS(RAIA[[#This Row],[Abertura de chamado]],RAIA[[#This Row],[Prazo de correção]]))</f>
        <v/>
      </c>
      <c r="V71" s="13"/>
      <c r="W71" s="75" t="s">
        <v>22</v>
      </c>
    </row>
    <row r="72" spans="1:23" x14ac:dyDescent="0.3">
      <c r="A72" s="75" t="str">
        <f>IF(RAIA[[#This Row],[Data Monitoria]]="","",((((WEEKNUM(B72)-WEEKNUM(DATE(YEAR(B72),MONTH(B72),1))+1)))))</f>
        <v/>
      </c>
      <c r="B72" s="12"/>
      <c r="C72" s="13"/>
      <c r="D72" s="13"/>
      <c r="E72" s="13"/>
      <c r="F72" s="70" t="str">
        <f>IF(RAIA[[#This Row],[Produtos]]="","",((VLOOKUP(E72,'TAB PROD'!B:D,3,))))</f>
        <v/>
      </c>
      <c r="G72" s="14" t="str">
        <f>IF(RAIA[[#This Row],[Produtos]]="","",((VLOOKUP(E72,'TAB PROD'!B:C,2,))))</f>
        <v/>
      </c>
      <c r="H72" s="13"/>
      <c r="I72" s="15"/>
      <c r="J72" s="15"/>
      <c r="K72" s="13"/>
      <c r="L72" s="13"/>
      <c r="M72" s="13"/>
      <c r="N72" s="13"/>
      <c r="O72" s="13"/>
      <c r="P72" s="13"/>
      <c r="Q72" s="13"/>
      <c r="R72" s="13"/>
      <c r="S72" s="65"/>
      <c r="T72" s="64"/>
      <c r="U72" s="21" t="str">
        <f>IF(RAIA[[#This Row],[Abertura de chamado]]="","",NETWORKDAYS(RAIA[[#This Row],[Abertura de chamado]],RAIA[[#This Row],[Prazo de correção]]))</f>
        <v/>
      </c>
      <c r="V72" s="13"/>
      <c r="W72" s="75" t="s">
        <v>22</v>
      </c>
    </row>
    <row r="73" spans="1:23" x14ac:dyDescent="0.3">
      <c r="A73" s="75" t="str">
        <f>IF(RAIA[[#This Row],[Data Monitoria]]="","",((((WEEKNUM(B73)-WEEKNUM(DATE(YEAR(B73),MONTH(B73),1))+1)))))</f>
        <v/>
      </c>
      <c r="B73" s="88"/>
      <c r="C73" s="22"/>
      <c r="D73" s="22"/>
      <c r="E73" s="22"/>
      <c r="F73" s="70" t="str">
        <f>IF(RAIA[[#This Row],[Produtos]]="","",((VLOOKUP(E73,'TAB PROD'!B:D,3,))))</f>
        <v/>
      </c>
      <c r="G73" s="14" t="str">
        <f>IF(RAIA[[#This Row],[Produtos]]="","",((VLOOKUP(E73,'TAB PROD'!B:C,2,))))</f>
        <v/>
      </c>
      <c r="H73" s="22"/>
      <c r="I73" s="23"/>
      <c r="J73" s="23"/>
      <c r="K73" s="22"/>
      <c r="L73" s="22"/>
      <c r="M73" s="22"/>
      <c r="N73" s="22"/>
      <c r="O73" s="22"/>
      <c r="P73" s="22"/>
      <c r="Q73" s="22"/>
      <c r="R73" s="22"/>
      <c r="S73" s="106"/>
      <c r="T73" s="76"/>
      <c r="U73" s="21" t="str">
        <f>IF(RAIA[[#This Row],[Abertura de chamado]]="","",NETWORKDAYS(RAIA[[#This Row],[Abertura de chamado]],RAIA[[#This Row],[Prazo de correção]]))</f>
        <v/>
      </c>
      <c r="V73" s="22"/>
      <c r="W73" s="87" t="s">
        <v>22</v>
      </c>
    </row>
  </sheetData>
  <mergeCells count="2">
    <mergeCell ref="A8:P8"/>
    <mergeCell ref="Q8:W8"/>
  </mergeCells>
  <phoneticPr fontId="6" type="noConversion"/>
  <conditionalFormatting sqref="U9 U43:U73">
    <cfRule type="cellIs" dxfId="79" priority="20" operator="between">
      <formula>6</formula>
      <formula>10</formula>
    </cfRule>
    <cfRule type="cellIs" dxfId="78" priority="21" operator="between">
      <formula>1</formula>
      <formula>5</formula>
    </cfRule>
  </conditionalFormatting>
  <conditionalFormatting sqref="U9 U43:U73">
    <cfRule type="cellIs" dxfId="77" priority="19" operator="between">
      <formula>11</formula>
      <formula>30</formula>
    </cfRule>
  </conditionalFormatting>
  <dataValidations count="3">
    <dataValidation type="list" allowBlank="1" showInputMessage="1" showErrorMessage="1" sqref="L10:N73" xr:uid="{B9D8CC00-86B4-4691-8E6F-E72EE09E7B50}">
      <formula1>"Sim,Não"</formula1>
    </dataValidation>
    <dataValidation type="list" allowBlank="1" showInputMessage="1" showErrorMessage="1" sqref="K10:K73" xr:uid="{3679A45D-E0D2-43D5-B44E-AA465D6CD7FE}">
      <formula1>"Legado,Novo"</formula1>
    </dataValidation>
    <dataValidation type="list" allowBlank="1" showInputMessage="1" showErrorMessage="1" sqref="D10:D73" xr:uid="{473D665F-0E34-4E3B-9769-075623B489BD}">
      <formula1>"Sim, 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U43:U73 G43:G73" calculatedColumn="1"/>
  </ignoredErrors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E7470-D1E1-4058-B251-AC1887A3AA22}">
  <sheetPr codeName="Planilha18"/>
  <dimension ref="A5:W79"/>
  <sheetViews>
    <sheetView showGridLines="0" zoomScaleNormal="100" workbookViewId="0">
      <selection activeCell="D1" sqref="D1:J6"/>
    </sheetView>
  </sheetViews>
  <sheetFormatPr defaultRowHeight="14.4" x14ac:dyDescent="0.3"/>
  <cols>
    <col min="1" max="1" width="22.88671875" style="2" bestFit="1" customWidth="1"/>
    <col min="2" max="2" width="21.5546875" bestFit="1" customWidth="1"/>
    <col min="3" max="3" width="27.33203125" bestFit="1" customWidth="1"/>
    <col min="4" max="4" width="14.44140625" customWidth="1"/>
    <col min="5" max="5" width="59.33203125" style="18" bestFit="1" customWidth="1"/>
    <col min="6" max="6" width="18.109375" bestFit="1" customWidth="1"/>
    <col min="7" max="7" width="17.44140625" bestFit="1" customWidth="1"/>
    <col min="8" max="8" width="38.88671875" bestFit="1" customWidth="1"/>
    <col min="9" max="9" width="16" customWidth="1"/>
    <col min="10" max="10" width="15.33203125" bestFit="1" customWidth="1"/>
    <col min="11" max="11" width="21" bestFit="1" customWidth="1"/>
    <col min="12" max="12" width="11.5546875" bestFit="1" customWidth="1"/>
    <col min="13" max="13" width="13.44140625" bestFit="1" customWidth="1"/>
    <col min="14" max="14" width="13.44140625" customWidth="1"/>
    <col min="15" max="15" width="103.88671875" bestFit="1" customWidth="1"/>
    <col min="16" max="16" width="36.44140625" bestFit="1" customWidth="1"/>
    <col min="17" max="17" width="18.33203125" bestFit="1" customWidth="1"/>
    <col min="18" max="18" width="23" bestFit="1" customWidth="1"/>
    <col min="19" max="19" width="30" bestFit="1" customWidth="1"/>
    <col min="20" max="20" width="20.5546875" customWidth="1"/>
    <col min="21" max="21" width="15" bestFit="1" customWidth="1"/>
    <col min="22" max="22" width="30" bestFit="1" customWidth="1"/>
    <col min="23" max="23" width="8" bestFit="1" customWidth="1"/>
  </cols>
  <sheetData>
    <row r="5" spans="1:23" x14ac:dyDescent="0.3">
      <c r="T5" s="66"/>
    </row>
    <row r="6" spans="1:23" x14ac:dyDescent="0.3">
      <c r="C6" s="17"/>
      <c r="U6" s="17">
        <f ca="1">TODAY()</f>
        <v>44543</v>
      </c>
    </row>
    <row r="7" spans="1:23" s="8" customFormat="1" ht="3.75" customHeight="1" thickBot="1" x14ac:dyDescent="0.35">
      <c r="A7" s="9"/>
      <c r="E7" s="20"/>
    </row>
    <row r="8" spans="1:23" ht="15" thickBot="1" x14ac:dyDescent="0.35">
      <c r="A8" s="123" t="s">
        <v>62</v>
      </c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4"/>
      <c r="Q8" s="125" t="s">
        <v>63</v>
      </c>
      <c r="R8" s="126"/>
      <c r="S8" s="126"/>
      <c r="T8" s="126"/>
      <c r="U8" s="126"/>
      <c r="V8" s="126"/>
      <c r="W8" s="126"/>
    </row>
    <row r="9" spans="1:23" ht="28.8" x14ac:dyDescent="0.3">
      <c r="A9" s="77" t="s">
        <v>1</v>
      </c>
      <c r="B9" s="78" t="s">
        <v>2</v>
      </c>
      <c r="C9" s="79" t="s">
        <v>3</v>
      </c>
      <c r="D9" s="79" t="s">
        <v>4</v>
      </c>
      <c r="E9" s="80" t="s">
        <v>5</v>
      </c>
      <c r="F9" s="81" t="s">
        <v>64</v>
      </c>
      <c r="G9" s="80" t="s">
        <v>6</v>
      </c>
      <c r="H9" s="82" t="s">
        <v>7</v>
      </c>
      <c r="I9" s="83" t="s">
        <v>8</v>
      </c>
      <c r="J9" s="84" t="s">
        <v>9</v>
      </c>
      <c r="K9" s="85" t="s">
        <v>10</v>
      </c>
      <c r="L9" s="79" t="s">
        <v>11</v>
      </c>
      <c r="M9" s="79" t="s">
        <v>12</v>
      </c>
      <c r="N9" s="79" t="s">
        <v>13</v>
      </c>
      <c r="O9" s="79" t="s">
        <v>14</v>
      </c>
      <c r="P9" s="79" t="s">
        <v>15</v>
      </c>
      <c r="Q9" s="79" t="s">
        <v>16</v>
      </c>
      <c r="R9" s="79" t="s">
        <v>17</v>
      </c>
      <c r="S9" s="79" t="s">
        <v>18</v>
      </c>
      <c r="T9" s="107" t="s">
        <v>19</v>
      </c>
      <c r="U9" s="86" t="s">
        <v>20</v>
      </c>
      <c r="V9" s="79" t="s">
        <v>21</v>
      </c>
      <c r="W9" s="77" t="s">
        <v>0</v>
      </c>
    </row>
    <row r="10" spans="1:23" x14ac:dyDescent="0.3">
      <c r="A10" s="75"/>
      <c r="B10" s="12"/>
      <c r="C10" s="75"/>
      <c r="D10" s="13"/>
      <c r="E10" s="38"/>
      <c r="F10" s="40"/>
      <c r="G10" s="51"/>
      <c r="H10" s="13"/>
      <c r="I10" s="15"/>
      <c r="J10" s="15"/>
      <c r="K10" s="13"/>
      <c r="L10" s="13"/>
      <c r="M10" s="13"/>
      <c r="N10" s="13"/>
      <c r="O10" s="13"/>
      <c r="P10" s="13"/>
      <c r="Q10" s="13"/>
      <c r="R10" s="13"/>
      <c r="S10" s="113"/>
      <c r="T10" s="64"/>
      <c r="U10" s="103"/>
      <c r="V10" s="13"/>
      <c r="W10" s="75" t="s">
        <v>35</v>
      </c>
    </row>
    <row r="11" spans="1:23" x14ac:dyDescent="0.3">
      <c r="A11" s="75"/>
      <c r="B11" s="12"/>
      <c r="C11" s="75"/>
      <c r="D11" s="13"/>
      <c r="E11" s="38"/>
      <c r="F11" s="40"/>
      <c r="G11" s="51"/>
      <c r="H11" s="13"/>
      <c r="I11" s="15"/>
      <c r="J11" s="15"/>
      <c r="K11" s="13"/>
      <c r="L11" s="13"/>
      <c r="M11" s="13"/>
      <c r="N11" s="13"/>
      <c r="O11" s="13"/>
      <c r="P11" s="13"/>
      <c r="Q11" s="13"/>
      <c r="R11" s="13"/>
      <c r="S11" s="113"/>
      <c r="T11" s="64"/>
      <c r="U11" s="103"/>
      <c r="V11" s="13"/>
      <c r="W11" s="75" t="s">
        <v>35</v>
      </c>
    </row>
    <row r="12" spans="1:23" x14ac:dyDescent="0.3">
      <c r="A12" s="75"/>
      <c r="B12" s="12"/>
      <c r="C12" s="75"/>
      <c r="D12" s="13"/>
      <c r="E12" s="38"/>
      <c r="F12" s="40"/>
      <c r="G12" s="51"/>
      <c r="H12" s="13"/>
      <c r="I12" s="15"/>
      <c r="J12" s="15"/>
      <c r="K12" s="13"/>
      <c r="L12" s="13"/>
      <c r="M12" s="13"/>
      <c r="N12" s="13"/>
      <c r="O12" s="13"/>
      <c r="P12" s="13"/>
      <c r="Q12" s="13"/>
      <c r="R12" s="13"/>
      <c r="S12" s="113"/>
      <c r="T12" s="64"/>
      <c r="U12" s="103"/>
      <c r="V12" s="13"/>
      <c r="W12" s="75" t="s">
        <v>35</v>
      </c>
    </row>
    <row r="13" spans="1:23" x14ac:dyDescent="0.3">
      <c r="A13" s="75"/>
      <c r="B13" s="12"/>
      <c r="C13" s="75"/>
      <c r="D13" s="13"/>
      <c r="E13" s="38"/>
      <c r="F13" s="40"/>
      <c r="G13" s="51"/>
      <c r="H13" s="13"/>
      <c r="I13" s="15"/>
      <c r="J13" s="15"/>
      <c r="K13" s="13"/>
      <c r="L13" s="13"/>
      <c r="M13" s="13"/>
      <c r="N13" s="13"/>
      <c r="O13" s="13"/>
      <c r="P13" s="13"/>
      <c r="Q13" s="13"/>
      <c r="R13" s="13"/>
      <c r="S13" s="113"/>
      <c r="T13" s="64"/>
      <c r="U13" s="103"/>
      <c r="V13" s="13"/>
      <c r="W13" s="75" t="s">
        <v>35</v>
      </c>
    </row>
    <row r="14" spans="1:23" x14ac:dyDescent="0.3">
      <c r="A14" s="75"/>
      <c r="B14" s="12"/>
      <c r="C14" s="75"/>
      <c r="D14" s="13"/>
      <c r="E14" s="38"/>
      <c r="F14" s="40"/>
      <c r="G14" s="51"/>
      <c r="H14" s="13"/>
      <c r="I14" s="15"/>
      <c r="J14" s="15"/>
      <c r="K14" s="13"/>
      <c r="L14" s="13"/>
      <c r="M14" s="13"/>
      <c r="N14" s="13"/>
      <c r="O14" s="13"/>
      <c r="P14" s="13"/>
      <c r="Q14" s="13"/>
      <c r="R14" s="13"/>
      <c r="S14" s="113"/>
      <c r="T14" s="64"/>
      <c r="U14" s="103"/>
      <c r="V14" s="13"/>
      <c r="W14" s="75" t="s">
        <v>35</v>
      </c>
    </row>
    <row r="15" spans="1:23" x14ac:dyDescent="0.3">
      <c r="A15" s="75"/>
      <c r="B15" s="12"/>
      <c r="C15" s="75"/>
      <c r="D15" s="13"/>
      <c r="E15" s="38"/>
      <c r="F15" s="40"/>
      <c r="G15" s="51"/>
      <c r="H15" s="13"/>
      <c r="I15" s="15"/>
      <c r="J15" s="15"/>
      <c r="K15" s="13"/>
      <c r="L15" s="13"/>
      <c r="M15" s="13"/>
      <c r="N15" s="13"/>
      <c r="O15" s="13"/>
      <c r="P15" s="13"/>
      <c r="Q15" s="13"/>
      <c r="R15" s="13"/>
      <c r="S15" s="113"/>
      <c r="T15" s="64"/>
      <c r="U15" s="103"/>
      <c r="V15" s="13"/>
      <c r="W15" s="75" t="s">
        <v>35</v>
      </c>
    </row>
    <row r="16" spans="1:23" x14ac:dyDescent="0.3">
      <c r="A16" s="75"/>
      <c r="B16" s="12"/>
      <c r="C16" s="75"/>
      <c r="D16" s="13"/>
      <c r="E16" s="38"/>
      <c r="F16" s="40"/>
      <c r="G16" s="51"/>
      <c r="H16" s="13"/>
      <c r="I16" s="15"/>
      <c r="J16" s="15"/>
      <c r="K16" s="13"/>
      <c r="L16" s="13"/>
      <c r="M16" s="13"/>
      <c r="N16" s="13"/>
      <c r="O16" s="13"/>
      <c r="P16" s="13"/>
      <c r="Q16" s="13"/>
      <c r="R16" s="13"/>
      <c r="S16" s="113"/>
      <c r="T16" s="64"/>
      <c r="U16" s="103"/>
      <c r="V16" s="13"/>
      <c r="W16" s="75" t="s">
        <v>35</v>
      </c>
    </row>
    <row r="17" spans="1:23" x14ac:dyDescent="0.3">
      <c r="A17" s="75"/>
      <c r="B17" s="12"/>
      <c r="C17" s="75"/>
      <c r="D17" s="13"/>
      <c r="E17" s="38"/>
      <c r="F17" s="40"/>
      <c r="G17" s="51"/>
      <c r="H17" s="13"/>
      <c r="I17" s="15"/>
      <c r="J17" s="15"/>
      <c r="K17" s="13"/>
      <c r="L17" s="13"/>
      <c r="M17" s="13"/>
      <c r="N17" s="13"/>
      <c r="O17" s="13"/>
      <c r="P17" s="13"/>
      <c r="Q17" s="13"/>
      <c r="R17" s="13"/>
      <c r="S17" s="113"/>
      <c r="T17" s="64"/>
      <c r="U17" s="103"/>
      <c r="V17" s="13"/>
      <c r="W17" s="75" t="s">
        <v>35</v>
      </c>
    </row>
    <row r="18" spans="1:23" x14ac:dyDescent="0.3">
      <c r="A18" s="75"/>
      <c r="B18" s="12"/>
      <c r="C18" s="75"/>
      <c r="D18" s="13"/>
      <c r="E18" s="38"/>
      <c r="F18" s="40"/>
      <c r="G18" s="51"/>
      <c r="H18" s="13"/>
      <c r="I18" s="15"/>
      <c r="J18" s="15"/>
      <c r="K18" s="13"/>
      <c r="L18" s="13"/>
      <c r="M18" s="13"/>
      <c r="N18" s="13"/>
      <c r="O18" s="13"/>
      <c r="P18" s="13"/>
      <c r="Q18" s="13"/>
      <c r="R18" s="13"/>
      <c r="S18" s="113"/>
      <c r="T18" s="64"/>
      <c r="U18" s="103"/>
      <c r="V18" s="13"/>
      <c r="W18" s="75" t="s">
        <v>35</v>
      </c>
    </row>
    <row r="19" spans="1:23" x14ac:dyDescent="0.3">
      <c r="A19" s="75"/>
      <c r="B19" s="12"/>
      <c r="C19" s="75"/>
      <c r="D19" s="13"/>
      <c r="E19" s="38"/>
      <c r="F19" s="40"/>
      <c r="G19" s="51"/>
      <c r="H19" s="13"/>
      <c r="I19" s="15"/>
      <c r="J19" s="15"/>
      <c r="K19" s="13"/>
      <c r="L19" s="13"/>
      <c r="M19" s="13"/>
      <c r="N19" s="13"/>
      <c r="O19" s="13"/>
      <c r="P19" s="13"/>
      <c r="Q19" s="13"/>
      <c r="R19" s="13"/>
      <c r="S19" s="113"/>
      <c r="T19" s="64"/>
      <c r="U19" s="103"/>
      <c r="V19" s="13"/>
      <c r="W19" s="75" t="s">
        <v>35</v>
      </c>
    </row>
    <row r="20" spans="1:23" x14ac:dyDescent="0.3">
      <c r="A20" s="75"/>
      <c r="B20" s="12"/>
      <c r="C20" s="75"/>
      <c r="D20" s="13"/>
      <c r="E20" s="38"/>
      <c r="F20" s="40"/>
      <c r="G20" s="51"/>
      <c r="H20" s="13"/>
      <c r="I20" s="15"/>
      <c r="J20" s="15"/>
      <c r="K20" s="13"/>
      <c r="L20" s="13"/>
      <c r="M20" s="13"/>
      <c r="N20" s="13"/>
      <c r="O20" s="13"/>
      <c r="P20" s="13"/>
      <c r="Q20" s="13"/>
      <c r="R20" s="13"/>
      <c r="S20" s="113"/>
      <c r="T20" s="64"/>
      <c r="U20" s="103"/>
      <c r="V20" s="13"/>
      <c r="W20" s="75" t="s">
        <v>35</v>
      </c>
    </row>
    <row r="21" spans="1:23" x14ac:dyDescent="0.3">
      <c r="A21" s="75"/>
      <c r="B21" s="12"/>
      <c r="C21" s="75"/>
      <c r="D21" s="13"/>
      <c r="E21" s="38"/>
      <c r="F21" s="40"/>
      <c r="G21" s="51"/>
      <c r="H21" s="13"/>
      <c r="I21" s="15"/>
      <c r="J21" s="15"/>
      <c r="K21" s="13"/>
      <c r="L21" s="13"/>
      <c r="M21" s="13"/>
      <c r="N21" s="13"/>
      <c r="O21" s="13"/>
      <c r="P21" s="13"/>
      <c r="Q21" s="13"/>
      <c r="R21" s="13"/>
      <c r="S21" s="113"/>
      <c r="T21" s="64"/>
      <c r="U21" s="103"/>
      <c r="V21" s="13"/>
      <c r="W21" s="75" t="s">
        <v>35</v>
      </c>
    </row>
    <row r="22" spans="1:23" x14ac:dyDescent="0.3">
      <c r="A22" s="75"/>
      <c r="B22" s="12"/>
      <c r="C22" s="75"/>
      <c r="D22" s="13"/>
      <c r="E22" s="38"/>
      <c r="F22" s="40"/>
      <c r="G22" s="51"/>
      <c r="H22" s="13"/>
      <c r="I22" s="15"/>
      <c r="J22" s="15"/>
      <c r="K22" s="13"/>
      <c r="L22" s="13"/>
      <c r="M22" s="13"/>
      <c r="N22" s="13"/>
      <c r="O22" s="13"/>
      <c r="P22" s="13"/>
      <c r="Q22" s="13"/>
      <c r="R22" s="13"/>
      <c r="S22" s="113"/>
      <c r="T22" s="64"/>
      <c r="U22" s="103"/>
      <c r="V22" s="13"/>
      <c r="W22" s="75" t="s">
        <v>35</v>
      </c>
    </row>
    <row r="23" spans="1:23" x14ac:dyDescent="0.3">
      <c r="A23" s="75"/>
      <c r="B23" s="12"/>
      <c r="C23" s="75"/>
      <c r="D23" s="13"/>
      <c r="E23" s="38"/>
      <c r="F23" s="40"/>
      <c r="G23" s="51"/>
      <c r="H23" s="13"/>
      <c r="I23" s="15"/>
      <c r="J23" s="15"/>
      <c r="K23" s="13"/>
      <c r="L23" s="13"/>
      <c r="M23" s="13"/>
      <c r="N23" s="13"/>
      <c r="O23" s="13"/>
      <c r="P23" s="13"/>
      <c r="Q23" s="13"/>
      <c r="R23" s="13"/>
      <c r="S23" s="113"/>
      <c r="T23" s="64"/>
      <c r="U23" s="103"/>
      <c r="V23" s="13"/>
      <c r="W23" s="75" t="s">
        <v>35</v>
      </c>
    </row>
    <row r="24" spans="1:23" x14ac:dyDescent="0.3">
      <c r="A24" s="75"/>
      <c r="B24" s="12"/>
      <c r="C24" s="75"/>
      <c r="D24" s="13"/>
      <c r="E24" s="38"/>
      <c r="F24" s="40"/>
      <c r="G24" s="51"/>
      <c r="H24" s="13"/>
      <c r="I24" s="15"/>
      <c r="J24" s="15"/>
      <c r="K24" s="13"/>
      <c r="L24" s="13"/>
      <c r="M24" s="13"/>
      <c r="N24" s="13"/>
      <c r="O24" s="13"/>
      <c r="P24" s="13"/>
      <c r="Q24" s="13"/>
      <c r="R24" s="13"/>
      <c r="S24" s="113"/>
      <c r="T24" s="64"/>
      <c r="U24" s="103"/>
      <c r="V24" s="13"/>
      <c r="W24" s="75" t="s">
        <v>35</v>
      </c>
    </row>
    <row r="25" spans="1:23" x14ac:dyDescent="0.3">
      <c r="A25" s="75"/>
      <c r="B25" s="12"/>
      <c r="C25" s="75"/>
      <c r="D25" s="13"/>
      <c r="E25" s="38"/>
      <c r="F25" s="40"/>
      <c r="G25" s="51"/>
      <c r="H25" s="13"/>
      <c r="I25" s="15"/>
      <c r="J25" s="15"/>
      <c r="K25" s="13"/>
      <c r="L25" s="13"/>
      <c r="M25" s="13"/>
      <c r="N25" s="13"/>
      <c r="O25" s="13"/>
      <c r="P25" s="13"/>
      <c r="Q25" s="13"/>
      <c r="R25" s="13"/>
      <c r="S25" s="113"/>
      <c r="T25" s="64"/>
      <c r="U25" s="103"/>
      <c r="V25" s="13"/>
      <c r="W25" s="75" t="s">
        <v>35</v>
      </c>
    </row>
    <row r="26" spans="1:23" s="121" customFormat="1" x14ac:dyDescent="0.3">
      <c r="A26" s="75"/>
      <c r="B26" s="12"/>
      <c r="C26" s="75"/>
      <c r="D26" s="13"/>
      <c r="E26" s="38"/>
      <c r="F26" s="40"/>
      <c r="G26" s="51"/>
      <c r="H26" s="13"/>
      <c r="I26" s="15"/>
      <c r="J26" s="15"/>
      <c r="K26" s="13"/>
      <c r="L26" s="13"/>
      <c r="M26" s="13"/>
      <c r="N26" s="13"/>
      <c r="O26" s="13"/>
      <c r="P26" s="13"/>
      <c r="Q26" s="13"/>
      <c r="R26" s="13"/>
      <c r="S26" s="113"/>
      <c r="T26" s="64"/>
      <c r="U26" s="103"/>
      <c r="V26" s="13"/>
      <c r="W26" s="120"/>
    </row>
    <row r="27" spans="1:23" x14ac:dyDescent="0.3">
      <c r="A27" s="75"/>
      <c r="B27" s="12"/>
      <c r="C27" s="75"/>
      <c r="D27" s="13"/>
      <c r="E27" s="38"/>
      <c r="F27" s="40"/>
      <c r="G27" s="51"/>
      <c r="H27" s="13"/>
      <c r="I27" s="15"/>
      <c r="J27" s="15"/>
      <c r="K27" s="13"/>
      <c r="L27" s="13"/>
      <c r="M27" s="13"/>
      <c r="N27" s="13"/>
      <c r="O27" s="13"/>
      <c r="P27" s="13"/>
      <c r="Q27" s="13"/>
      <c r="R27" s="13"/>
      <c r="S27" s="113"/>
      <c r="T27" s="64"/>
      <c r="U27" s="103"/>
      <c r="V27" s="13"/>
      <c r="W27" s="75" t="s">
        <v>35</v>
      </c>
    </row>
    <row r="28" spans="1:23" x14ac:dyDescent="0.3">
      <c r="A28" s="75"/>
      <c r="B28" s="12"/>
      <c r="C28" s="75"/>
      <c r="D28" s="13"/>
      <c r="E28" s="38"/>
      <c r="F28" s="40"/>
      <c r="G28" s="51"/>
      <c r="H28" s="13"/>
      <c r="I28" s="15"/>
      <c r="J28" s="15"/>
      <c r="K28" s="13"/>
      <c r="L28" s="13"/>
      <c r="M28" s="13"/>
      <c r="N28" s="13"/>
      <c r="O28" s="13"/>
      <c r="P28" s="13"/>
      <c r="Q28" s="13"/>
      <c r="R28" s="13"/>
      <c r="S28" s="113"/>
      <c r="T28" s="64"/>
      <c r="U28" s="103"/>
      <c r="V28" s="13"/>
      <c r="W28" s="75" t="s">
        <v>35</v>
      </c>
    </row>
    <row r="29" spans="1:23" x14ac:dyDescent="0.3">
      <c r="A29" s="75"/>
      <c r="B29" s="12"/>
      <c r="C29" s="75"/>
      <c r="D29" s="13"/>
      <c r="E29" s="38"/>
      <c r="F29" s="40"/>
      <c r="G29" s="51"/>
      <c r="H29" s="13"/>
      <c r="I29" s="15"/>
      <c r="J29" s="15"/>
      <c r="K29" s="13"/>
      <c r="L29" s="13"/>
      <c r="M29" s="13"/>
      <c r="N29" s="13"/>
      <c r="O29" s="13"/>
      <c r="P29" s="13"/>
      <c r="Q29" s="13"/>
      <c r="R29" s="13"/>
      <c r="S29" s="113"/>
      <c r="T29" s="64"/>
      <c r="U29" s="103"/>
      <c r="V29" s="13"/>
      <c r="W29" s="75" t="s">
        <v>35</v>
      </c>
    </row>
    <row r="30" spans="1:23" x14ac:dyDescent="0.3">
      <c r="A30" s="75"/>
      <c r="B30" s="12"/>
      <c r="C30" s="75"/>
      <c r="D30" s="13"/>
      <c r="E30" s="38"/>
      <c r="F30" s="40"/>
      <c r="G30" s="51"/>
      <c r="H30" s="13"/>
      <c r="I30" s="15"/>
      <c r="J30" s="15"/>
      <c r="K30" s="13"/>
      <c r="L30" s="13"/>
      <c r="M30" s="13"/>
      <c r="N30" s="13"/>
      <c r="O30" s="13"/>
      <c r="P30" s="13"/>
      <c r="Q30" s="13"/>
      <c r="R30" s="13"/>
      <c r="S30" s="113"/>
      <c r="T30" s="64"/>
      <c r="U30" s="103"/>
      <c r="V30" s="13"/>
      <c r="W30" s="75" t="s">
        <v>35</v>
      </c>
    </row>
    <row r="31" spans="1:23" x14ac:dyDescent="0.3">
      <c r="A31" s="75"/>
      <c r="B31" s="12"/>
      <c r="C31" s="75"/>
      <c r="D31" s="13"/>
      <c r="E31" s="38"/>
      <c r="F31" s="40"/>
      <c r="G31" s="51"/>
      <c r="H31" s="13"/>
      <c r="I31" s="15"/>
      <c r="J31" s="15"/>
      <c r="K31" s="13"/>
      <c r="L31" s="13"/>
      <c r="M31" s="13"/>
      <c r="N31" s="13"/>
      <c r="O31" s="13"/>
      <c r="P31" s="13"/>
      <c r="Q31" s="13"/>
      <c r="R31" s="13"/>
      <c r="S31" s="113"/>
      <c r="T31" s="64"/>
      <c r="U31" s="103"/>
      <c r="V31" s="13"/>
      <c r="W31" s="75" t="s">
        <v>35</v>
      </c>
    </row>
    <row r="32" spans="1:23" x14ac:dyDescent="0.3">
      <c r="A32" s="75"/>
      <c r="B32" s="12"/>
      <c r="C32" s="75"/>
      <c r="D32" s="13"/>
      <c r="E32" s="38"/>
      <c r="F32" s="40"/>
      <c r="G32" s="51"/>
      <c r="H32" s="13"/>
      <c r="I32" s="15"/>
      <c r="J32" s="15"/>
      <c r="K32" s="13"/>
      <c r="L32" s="13"/>
      <c r="M32" s="13"/>
      <c r="N32" s="13"/>
      <c r="O32" s="13"/>
      <c r="P32" s="13"/>
      <c r="Q32" s="13"/>
      <c r="R32" s="13"/>
      <c r="S32" s="113"/>
      <c r="T32" s="64"/>
      <c r="U32" s="103"/>
      <c r="V32" s="13"/>
      <c r="W32" s="75" t="s">
        <v>35</v>
      </c>
    </row>
    <row r="33" spans="1:23" x14ac:dyDescent="0.3">
      <c r="A33" s="75"/>
      <c r="B33" s="12"/>
      <c r="C33" s="75"/>
      <c r="D33" s="13"/>
      <c r="E33" s="38"/>
      <c r="F33" s="40"/>
      <c r="G33" s="51"/>
      <c r="H33" s="13"/>
      <c r="I33" s="15"/>
      <c r="J33" s="15"/>
      <c r="K33" s="13"/>
      <c r="L33" s="13"/>
      <c r="M33" s="13"/>
      <c r="N33" s="13"/>
      <c r="O33" s="13"/>
      <c r="P33" s="13"/>
      <c r="Q33" s="13"/>
      <c r="R33" s="13"/>
      <c r="S33" s="113"/>
      <c r="T33" s="64"/>
      <c r="U33" s="103"/>
      <c r="V33" s="13"/>
      <c r="W33" s="75" t="s">
        <v>35</v>
      </c>
    </row>
    <row r="34" spans="1:23" x14ac:dyDescent="0.3">
      <c r="A34" s="75"/>
      <c r="B34" s="12"/>
      <c r="C34" s="75"/>
      <c r="D34" s="13"/>
      <c r="E34" s="38"/>
      <c r="F34" s="40"/>
      <c r="G34" s="51"/>
      <c r="H34" s="13"/>
      <c r="I34" s="15"/>
      <c r="J34" s="15"/>
      <c r="K34" s="13"/>
      <c r="L34" s="13"/>
      <c r="M34" s="13"/>
      <c r="N34" s="13"/>
      <c r="O34" s="13"/>
      <c r="P34" s="13"/>
      <c r="Q34" s="13"/>
      <c r="R34" s="13"/>
      <c r="S34" s="113"/>
      <c r="T34" s="64"/>
      <c r="U34" s="103"/>
      <c r="V34" s="13"/>
      <c r="W34" s="75" t="s">
        <v>35</v>
      </c>
    </row>
    <row r="35" spans="1:23" x14ac:dyDescent="0.3">
      <c r="A35" s="75"/>
      <c r="B35" s="12"/>
      <c r="C35" s="75"/>
      <c r="D35" s="13"/>
      <c r="E35" s="38"/>
      <c r="F35" s="40"/>
      <c r="G35" s="51"/>
      <c r="H35" s="13"/>
      <c r="I35" s="15"/>
      <c r="J35" s="15"/>
      <c r="K35" s="13"/>
      <c r="L35" s="13"/>
      <c r="M35" s="13"/>
      <c r="N35" s="13"/>
      <c r="O35" s="13"/>
      <c r="P35" s="13"/>
      <c r="Q35" s="13"/>
      <c r="R35" s="13"/>
      <c r="S35" s="113"/>
      <c r="T35" s="64"/>
      <c r="U35" s="103"/>
      <c r="V35" s="13"/>
      <c r="W35" s="75" t="s">
        <v>35</v>
      </c>
    </row>
    <row r="36" spans="1:23" x14ac:dyDescent="0.3">
      <c r="A36" s="75"/>
      <c r="B36" s="12"/>
      <c r="C36" s="75"/>
      <c r="D36" s="13"/>
      <c r="E36" s="38"/>
      <c r="F36" s="40"/>
      <c r="G36" s="51"/>
      <c r="H36" s="13"/>
      <c r="I36" s="15"/>
      <c r="J36" s="15"/>
      <c r="K36" s="13"/>
      <c r="L36" s="13"/>
      <c r="M36" s="13"/>
      <c r="N36" s="13"/>
      <c r="O36" s="13"/>
      <c r="P36" s="13"/>
      <c r="Q36" s="13"/>
      <c r="R36" s="13"/>
      <c r="S36" s="113"/>
      <c r="T36" s="64"/>
      <c r="U36" s="103"/>
      <c r="V36" s="13"/>
      <c r="W36" s="75" t="s">
        <v>35</v>
      </c>
    </row>
    <row r="37" spans="1:23" x14ac:dyDescent="0.3">
      <c r="A37" s="75"/>
      <c r="B37" s="12"/>
      <c r="C37" s="75"/>
      <c r="D37" s="13"/>
      <c r="E37" s="38"/>
      <c r="F37" s="40"/>
      <c r="G37" s="51"/>
      <c r="H37" s="13"/>
      <c r="I37" s="15"/>
      <c r="J37" s="15"/>
      <c r="K37" s="13"/>
      <c r="L37" s="13"/>
      <c r="M37" s="13"/>
      <c r="N37" s="13"/>
      <c r="O37" s="13"/>
      <c r="P37" s="13"/>
      <c r="Q37" s="13"/>
      <c r="R37" s="13"/>
      <c r="S37" s="113"/>
      <c r="T37" s="64"/>
      <c r="U37" s="103"/>
      <c r="V37" s="13"/>
      <c r="W37" s="75" t="s">
        <v>35</v>
      </c>
    </row>
    <row r="38" spans="1:23" x14ac:dyDescent="0.3">
      <c r="A38" s="75"/>
      <c r="B38" s="12"/>
      <c r="C38" s="75"/>
      <c r="D38" s="13"/>
      <c r="E38" s="38"/>
      <c r="F38" s="40"/>
      <c r="G38" s="51"/>
      <c r="H38" s="13"/>
      <c r="I38" s="15"/>
      <c r="J38" s="15"/>
      <c r="K38" s="13"/>
      <c r="L38" s="13"/>
      <c r="M38" s="13"/>
      <c r="N38" s="13"/>
      <c r="O38" s="13"/>
      <c r="P38" s="13"/>
      <c r="Q38" s="13"/>
      <c r="R38" s="13"/>
      <c r="S38" s="113"/>
      <c r="T38" s="64"/>
      <c r="U38" s="103"/>
      <c r="V38" s="13"/>
      <c r="W38" s="75" t="s">
        <v>35</v>
      </c>
    </row>
    <row r="39" spans="1:23" x14ac:dyDescent="0.3">
      <c r="A39" s="75"/>
      <c r="B39" s="12"/>
      <c r="C39" s="75"/>
      <c r="D39" s="13"/>
      <c r="E39" s="38"/>
      <c r="F39" s="40"/>
      <c r="G39" s="51"/>
      <c r="H39" s="13"/>
      <c r="I39" s="15"/>
      <c r="J39" s="15"/>
      <c r="K39" s="13"/>
      <c r="L39" s="13"/>
      <c r="M39" s="13"/>
      <c r="N39" s="13"/>
      <c r="O39" s="13"/>
      <c r="P39" s="13"/>
      <c r="Q39" s="13"/>
      <c r="R39" s="13"/>
      <c r="S39" s="113"/>
      <c r="T39" s="64"/>
      <c r="U39" s="103"/>
      <c r="V39" s="13"/>
      <c r="W39" s="75" t="s">
        <v>35</v>
      </c>
    </row>
    <row r="40" spans="1:23" x14ac:dyDescent="0.3">
      <c r="A40" s="75"/>
      <c r="B40" s="12"/>
      <c r="C40" s="75"/>
      <c r="D40" s="13"/>
      <c r="E40" s="38"/>
      <c r="F40" s="40"/>
      <c r="G40" s="51"/>
      <c r="H40" s="13"/>
      <c r="I40" s="15"/>
      <c r="J40" s="15"/>
      <c r="K40" s="13"/>
      <c r="L40" s="13"/>
      <c r="M40" s="13"/>
      <c r="N40" s="13"/>
      <c r="O40" s="13"/>
      <c r="P40" s="13"/>
      <c r="Q40" s="13"/>
      <c r="R40" s="13"/>
      <c r="S40" s="113"/>
      <c r="T40" s="64"/>
      <c r="U40" s="103"/>
      <c r="V40" s="13"/>
      <c r="W40" s="75" t="s">
        <v>35</v>
      </c>
    </row>
    <row r="41" spans="1:23" x14ac:dyDescent="0.3">
      <c r="A41" s="75"/>
      <c r="B41" s="12"/>
      <c r="C41" s="75"/>
      <c r="D41" s="13"/>
      <c r="E41" s="38"/>
      <c r="F41" s="40"/>
      <c r="G41" s="51"/>
      <c r="H41" s="13"/>
      <c r="I41" s="15"/>
      <c r="J41" s="15"/>
      <c r="K41" s="13"/>
      <c r="L41" s="13"/>
      <c r="M41" s="13"/>
      <c r="N41" s="13"/>
      <c r="O41" s="13"/>
      <c r="P41" s="13"/>
      <c r="Q41" s="13"/>
      <c r="R41" s="13"/>
      <c r="S41" s="113"/>
      <c r="T41" s="64"/>
      <c r="U41" s="103"/>
      <c r="V41" s="13"/>
      <c r="W41" s="75" t="s">
        <v>35</v>
      </c>
    </row>
    <row r="42" spans="1:23" x14ac:dyDescent="0.3">
      <c r="A42" s="75"/>
      <c r="B42" s="12"/>
      <c r="C42" s="75"/>
      <c r="D42" s="13"/>
      <c r="E42" s="38"/>
      <c r="F42" s="40"/>
      <c r="G42" s="51"/>
      <c r="H42" s="13"/>
      <c r="I42" s="15"/>
      <c r="J42" s="15"/>
      <c r="K42" s="13"/>
      <c r="L42" s="13"/>
      <c r="M42" s="13"/>
      <c r="N42" s="13"/>
      <c r="O42" s="13"/>
      <c r="P42" s="13"/>
      <c r="Q42" s="13"/>
      <c r="R42" s="13"/>
      <c r="S42" s="113"/>
      <c r="T42" s="64"/>
      <c r="U42" s="103"/>
      <c r="V42" s="13"/>
      <c r="W42" s="75" t="s">
        <v>35</v>
      </c>
    </row>
    <row r="43" spans="1:23" x14ac:dyDescent="0.3">
      <c r="A43" s="75" t="str">
        <f>IF(DROGASIL[[#This Row],[Data Monitoria]]="","",((((WEEKNUM(B43)-WEEKNUM(DATE(YEAR(B43),MONTH(B43),1))+1)))))</f>
        <v/>
      </c>
      <c r="B43" s="12"/>
      <c r="C43" s="13"/>
      <c r="D43" s="13"/>
      <c r="E43" s="13"/>
      <c r="F43" s="70" t="str">
        <f>IF(PANVEL[[#This Row],[Produtos]]="","",((VLOOKUP(E43,'TAB PROD'!B:D,3,))))</f>
        <v/>
      </c>
      <c r="G43" s="14" t="str">
        <f>IF(PANVEL[[#This Row],[Produtos]]="","",((VLOOKUP(E43,'TAB PROD'!B:C,2,))))</f>
        <v/>
      </c>
      <c r="H43" s="13"/>
      <c r="I43" s="15"/>
      <c r="J43" s="15"/>
      <c r="K43" s="13"/>
      <c r="L43" s="13"/>
      <c r="M43" s="13"/>
      <c r="N43" s="13"/>
      <c r="O43" s="13"/>
      <c r="P43" s="13"/>
      <c r="Q43" s="13"/>
      <c r="R43" s="13"/>
      <c r="S43" s="13"/>
      <c r="T43" s="64"/>
      <c r="U43" s="21" t="str">
        <f>IF(DROGASIL[[#This Row],[Abertura de chamado]]="","",NETWORKDAYS(DROGASIL[[#This Row],[Abertura de chamado]],DROGASIL[[#This Row],[Prazo de correção]]))</f>
        <v/>
      </c>
      <c r="V43" s="13"/>
      <c r="W43" s="75" t="s">
        <v>35</v>
      </c>
    </row>
    <row r="44" spans="1:23" x14ac:dyDescent="0.3">
      <c r="A44" s="75" t="str">
        <f>IF(DROGASIL[[#This Row],[Data Monitoria]]="","",((((WEEKNUM(B44)-WEEKNUM(DATE(YEAR(B44),MONTH(B44),1))+1)))))</f>
        <v/>
      </c>
      <c r="B44" s="12"/>
      <c r="C44" s="13"/>
      <c r="D44" s="13"/>
      <c r="E44" s="13"/>
      <c r="F44" s="70" t="str">
        <f>IF(PANVEL[[#This Row],[Produtos]]="","",((VLOOKUP(E44,'TAB PROD'!B:D,3,))))</f>
        <v/>
      </c>
      <c r="G44" s="14" t="str">
        <f>IF(PANVEL[[#This Row],[Produtos]]="","",((VLOOKUP(E44,'TAB PROD'!B:C,2,))))</f>
        <v/>
      </c>
      <c r="H44" s="13"/>
      <c r="I44" s="15"/>
      <c r="J44" s="15"/>
      <c r="K44" s="13"/>
      <c r="L44" s="13"/>
      <c r="M44" s="13"/>
      <c r="N44" s="13"/>
      <c r="O44" s="13"/>
      <c r="P44" s="13"/>
      <c r="Q44" s="13"/>
      <c r="R44" s="13"/>
      <c r="S44" s="13"/>
      <c r="T44" s="64"/>
      <c r="U44" s="21" t="str">
        <f>IF(DROGASIL[[#This Row],[Abertura de chamado]]="","",NETWORKDAYS(DROGASIL[[#This Row],[Abertura de chamado]],DROGASIL[[#This Row],[Prazo de correção]]))</f>
        <v/>
      </c>
      <c r="V44" s="13"/>
      <c r="W44" s="75" t="s">
        <v>35</v>
      </c>
    </row>
    <row r="45" spans="1:23" x14ac:dyDescent="0.3">
      <c r="A45" s="75" t="str">
        <f>IF(DROGASIL[[#This Row],[Data Monitoria]]="","",((((WEEKNUM(B45)-WEEKNUM(DATE(YEAR(B45),MONTH(B45),1))+1)))))</f>
        <v/>
      </c>
      <c r="B45" s="12"/>
      <c r="C45" s="13"/>
      <c r="D45" s="13"/>
      <c r="E45" s="13"/>
      <c r="F45" s="70" t="str">
        <f>IF(PANVEL[[#This Row],[Produtos]]="","",((VLOOKUP(E45,'TAB PROD'!B:D,3,))))</f>
        <v/>
      </c>
      <c r="G45" s="14" t="str">
        <f>IF(PANVEL[[#This Row],[Produtos]]="","",((VLOOKUP(E45,'TAB PROD'!B:C,2,))))</f>
        <v/>
      </c>
      <c r="H45" s="13"/>
      <c r="I45" s="15"/>
      <c r="J45" s="15"/>
      <c r="K45" s="13"/>
      <c r="L45" s="13"/>
      <c r="M45" s="13"/>
      <c r="N45" s="13"/>
      <c r="O45" s="13"/>
      <c r="P45" s="13"/>
      <c r="Q45" s="13"/>
      <c r="R45" s="13"/>
      <c r="S45" s="13"/>
      <c r="T45" s="64"/>
      <c r="U45" s="21" t="str">
        <f>IF(DROGASIL[[#This Row],[Abertura de chamado]]="","",NETWORKDAYS(DROGASIL[[#This Row],[Abertura de chamado]],DROGASIL[[#This Row],[Prazo de correção]]))</f>
        <v/>
      </c>
      <c r="V45" s="13"/>
      <c r="W45" s="75" t="s">
        <v>35</v>
      </c>
    </row>
    <row r="46" spans="1:23" x14ac:dyDescent="0.3">
      <c r="A46" s="75" t="str">
        <f>IF(DROGASIL[[#This Row],[Data Monitoria]]="","",((((WEEKNUM(B46)-WEEKNUM(DATE(YEAR(B46),MONTH(B46),1))+1)))))</f>
        <v/>
      </c>
      <c r="B46" s="12"/>
      <c r="C46" s="13"/>
      <c r="D46" s="13"/>
      <c r="E46" s="13"/>
      <c r="F46" s="70" t="str">
        <f>IF(PANVEL[[#This Row],[Produtos]]="","",((VLOOKUP(E46,'TAB PROD'!B:D,3,))))</f>
        <v/>
      </c>
      <c r="G46" s="14" t="str">
        <f>IF(PANVEL[[#This Row],[Produtos]]="","",((VLOOKUP(E46,'TAB PROD'!B:C,2,))))</f>
        <v/>
      </c>
      <c r="H46" s="13"/>
      <c r="I46" s="15"/>
      <c r="J46" s="15"/>
      <c r="K46" s="13"/>
      <c r="L46" s="13"/>
      <c r="M46" s="13"/>
      <c r="N46" s="13"/>
      <c r="O46" s="13"/>
      <c r="P46" s="13"/>
      <c r="Q46" s="13"/>
      <c r="R46" s="13"/>
      <c r="S46" s="13"/>
      <c r="T46" s="64"/>
      <c r="U46" s="21" t="str">
        <f>IF(DROGASIL[[#This Row],[Abertura de chamado]]="","",NETWORKDAYS(DROGASIL[[#This Row],[Abertura de chamado]],DROGASIL[[#This Row],[Prazo de correção]]))</f>
        <v/>
      </c>
      <c r="V46" s="13"/>
      <c r="W46" s="75" t="s">
        <v>35</v>
      </c>
    </row>
    <row r="47" spans="1:23" x14ac:dyDescent="0.3">
      <c r="A47" s="75" t="str">
        <f>IF(DROGASIL[[#This Row],[Data Monitoria]]="","",((((WEEKNUM(B47)-WEEKNUM(DATE(YEAR(B47),MONTH(B47),1))+1)))))</f>
        <v/>
      </c>
      <c r="B47" s="12"/>
      <c r="C47" s="13"/>
      <c r="D47" s="13"/>
      <c r="E47" s="13"/>
      <c r="F47" s="70" t="str">
        <f>IF(PANVEL[[#This Row],[Produtos]]="","",((VLOOKUP(E47,'TAB PROD'!B:D,3,))))</f>
        <v/>
      </c>
      <c r="G47" s="14" t="str">
        <f>IF(PANVEL[[#This Row],[Produtos]]="","",((VLOOKUP(E47,'TAB PROD'!B:C,2,))))</f>
        <v/>
      </c>
      <c r="H47" s="13"/>
      <c r="I47" s="15"/>
      <c r="J47" s="15"/>
      <c r="K47" s="13"/>
      <c r="L47" s="13"/>
      <c r="M47" s="13"/>
      <c r="N47" s="13"/>
      <c r="O47" s="13"/>
      <c r="P47" s="13"/>
      <c r="Q47" s="13"/>
      <c r="R47" s="13"/>
      <c r="S47" s="13"/>
      <c r="T47" s="64"/>
      <c r="U47" s="21" t="str">
        <f>IF(DROGASIL[[#This Row],[Abertura de chamado]]="","",NETWORKDAYS(DROGASIL[[#This Row],[Abertura de chamado]],DROGASIL[[#This Row],[Prazo de correção]]))</f>
        <v/>
      </c>
      <c r="V47" s="13"/>
      <c r="W47" s="75" t="s">
        <v>35</v>
      </c>
    </row>
    <row r="48" spans="1:23" x14ac:dyDescent="0.3">
      <c r="A48" s="75" t="str">
        <f>IF(DROGASIL[[#This Row],[Data Monitoria]]="","",((((WEEKNUM(B48)-WEEKNUM(DATE(YEAR(B48),MONTH(B48),1))+1)))))</f>
        <v/>
      </c>
      <c r="B48" s="12"/>
      <c r="C48" s="13"/>
      <c r="D48" s="13"/>
      <c r="E48" s="13"/>
      <c r="F48" s="70" t="str">
        <f>IF(PANVEL[[#This Row],[Produtos]]="","",((VLOOKUP(E48,'TAB PROD'!B:D,3,))))</f>
        <v/>
      </c>
      <c r="G48" s="14" t="str">
        <f>IF(PANVEL[[#This Row],[Produtos]]="","",((VLOOKUP(E48,'TAB PROD'!B:C,2,))))</f>
        <v/>
      </c>
      <c r="H48" s="13"/>
      <c r="I48" s="15"/>
      <c r="J48" s="15"/>
      <c r="K48" s="13"/>
      <c r="L48" s="13"/>
      <c r="M48" s="13"/>
      <c r="N48" s="13"/>
      <c r="O48" s="13"/>
      <c r="P48" s="13"/>
      <c r="Q48" s="13"/>
      <c r="R48" s="13"/>
      <c r="S48" s="13"/>
      <c r="T48" s="64"/>
      <c r="U48" s="21" t="str">
        <f>IF(DROGASIL[[#This Row],[Abertura de chamado]]="","",NETWORKDAYS(DROGASIL[[#This Row],[Abertura de chamado]],DROGASIL[[#This Row],[Prazo de correção]]))</f>
        <v/>
      </c>
      <c r="V48" s="13"/>
      <c r="W48" s="75" t="s">
        <v>35</v>
      </c>
    </row>
    <row r="49" spans="1:23" x14ac:dyDescent="0.3">
      <c r="A49" s="75" t="str">
        <f>IF(DROGASIL[[#This Row],[Data Monitoria]]="","",((((WEEKNUM(B49)-WEEKNUM(DATE(YEAR(B49),MONTH(B49),1))+1)))))</f>
        <v/>
      </c>
      <c r="B49" s="12"/>
      <c r="C49" s="13"/>
      <c r="D49" s="13"/>
      <c r="E49" s="13"/>
      <c r="F49" s="70" t="str">
        <f>IF(PANVEL[[#This Row],[Produtos]]="","",((VLOOKUP(E49,'TAB PROD'!B:D,3,))))</f>
        <v/>
      </c>
      <c r="G49" s="14" t="str">
        <f>IF(PANVEL[[#This Row],[Produtos]]="","",((VLOOKUP(E49,'TAB PROD'!B:C,2,))))</f>
        <v/>
      </c>
      <c r="H49" s="13"/>
      <c r="I49" s="15"/>
      <c r="J49" s="15"/>
      <c r="K49" s="13"/>
      <c r="L49" s="13"/>
      <c r="M49" s="13"/>
      <c r="N49" s="13"/>
      <c r="O49" s="13"/>
      <c r="P49" s="13"/>
      <c r="Q49" s="13"/>
      <c r="R49" s="13"/>
      <c r="S49" s="13"/>
      <c r="T49" s="64"/>
      <c r="U49" s="21" t="str">
        <f>IF(DROGASIL[[#This Row],[Abertura de chamado]]="","",NETWORKDAYS(DROGASIL[[#This Row],[Abertura de chamado]],DROGASIL[[#This Row],[Prazo de correção]]))</f>
        <v/>
      </c>
      <c r="V49" s="13"/>
      <c r="W49" s="75" t="s">
        <v>35</v>
      </c>
    </row>
    <row r="50" spans="1:23" x14ac:dyDescent="0.3">
      <c r="A50" s="75" t="str">
        <f>IF(DROGASIL[[#This Row],[Data Monitoria]]="","",((((WEEKNUM(B50)-WEEKNUM(DATE(YEAR(B50),MONTH(B50),1))+1)))))</f>
        <v/>
      </c>
      <c r="B50" s="12"/>
      <c r="C50" s="13"/>
      <c r="D50" s="13"/>
      <c r="E50" s="13"/>
      <c r="F50" s="70" t="str">
        <f>IF(PANVEL[[#This Row],[Produtos]]="","",((VLOOKUP(E50,'TAB PROD'!B:D,3,))))</f>
        <v/>
      </c>
      <c r="G50" s="14" t="str">
        <f>IF(PANVEL[[#This Row],[Produtos]]="","",((VLOOKUP(E50,'TAB PROD'!B:C,2,))))</f>
        <v/>
      </c>
      <c r="H50" s="13"/>
      <c r="I50" s="15"/>
      <c r="J50" s="15"/>
      <c r="K50" s="13"/>
      <c r="L50" s="13"/>
      <c r="M50" s="13"/>
      <c r="N50" s="13"/>
      <c r="O50" s="13"/>
      <c r="P50" s="13"/>
      <c r="Q50" s="13"/>
      <c r="R50" s="13"/>
      <c r="S50" s="13"/>
      <c r="T50" s="64"/>
      <c r="U50" s="21" t="str">
        <f>IF(DROGASIL[[#This Row],[Abertura de chamado]]="","",NETWORKDAYS(DROGASIL[[#This Row],[Abertura de chamado]],DROGASIL[[#This Row],[Prazo de correção]]))</f>
        <v/>
      </c>
      <c r="V50" s="13"/>
      <c r="W50" s="75" t="s">
        <v>35</v>
      </c>
    </row>
    <row r="51" spans="1:23" x14ac:dyDescent="0.3">
      <c r="A51" s="75" t="str">
        <f>IF(DROGASIL[[#This Row],[Data Monitoria]]="","",((((WEEKNUM(B51)-WEEKNUM(DATE(YEAR(B51),MONTH(B51),1))+1)))))</f>
        <v/>
      </c>
      <c r="B51" s="12"/>
      <c r="C51" s="13"/>
      <c r="D51" s="13"/>
      <c r="E51" s="13"/>
      <c r="F51" s="70" t="str">
        <f>IF(PANVEL[[#This Row],[Produtos]]="","",((VLOOKUP(E51,'TAB PROD'!B:D,3,))))</f>
        <v/>
      </c>
      <c r="G51" s="14" t="str">
        <f>IF(PANVEL[[#This Row],[Produtos]]="","",((VLOOKUP(E51,'TAB PROD'!B:C,2,))))</f>
        <v/>
      </c>
      <c r="H51" s="13"/>
      <c r="I51" s="15"/>
      <c r="J51" s="15"/>
      <c r="K51" s="13"/>
      <c r="L51" s="13"/>
      <c r="M51" s="13"/>
      <c r="N51" s="13"/>
      <c r="O51" s="13"/>
      <c r="P51" s="13"/>
      <c r="Q51" s="13"/>
      <c r="R51" s="13"/>
      <c r="S51" s="13"/>
      <c r="T51" s="64"/>
      <c r="U51" s="21" t="str">
        <f>IF(DROGASIL[[#This Row],[Abertura de chamado]]="","",NETWORKDAYS(DROGASIL[[#This Row],[Abertura de chamado]],DROGASIL[[#This Row],[Prazo de correção]]))</f>
        <v/>
      </c>
      <c r="V51" s="13"/>
      <c r="W51" s="75" t="s">
        <v>35</v>
      </c>
    </row>
    <row r="52" spans="1:23" x14ac:dyDescent="0.3">
      <c r="A52" s="75" t="str">
        <f>IF(DROGASIL[[#This Row],[Data Monitoria]]="","",((((WEEKNUM(B52)-WEEKNUM(DATE(YEAR(B52),MONTH(B52),1))+1)))))</f>
        <v/>
      </c>
      <c r="B52" s="12"/>
      <c r="C52" s="13"/>
      <c r="D52" s="13"/>
      <c r="E52" s="13"/>
      <c r="F52" s="70" t="str">
        <f>IF(PANVEL[[#This Row],[Produtos]]="","",((VLOOKUP(E52,'TAB PROD'!B:D,3,))))</f>
        <v/>
      </c>
      <c r="G52" s="14" t="str">
        <f>IF(PANVEL[[#This Row],[Produtos]]="","",((VLOOKUP(E52,'TAB PROD'!B:C,2,))))</f>
        <v/>
      </c>
      <c r="H52" s="13"/>
      <c r="I52" s="15"/>
      <c r="J52" s="15"/>
      <c r="K52" s="13"/>
      <c r="L52" s="13"/>
      <c r="M52" s="13"/>
      <c r="N52" s="13"/>
      <c r="O52" s="13"/>
      <c r="P52" s="13"/>
      <c r="Q52" s="13"/>
      <c r="R52" s="13"/>
      <c r="S52" s="13"/>
      <c r="T52" s="64"/>
      <c r="U52" s="21" t="str">
        <f>IF(DROGASIL[[#This Row],[Abertura de chamado]]="","",NETWORKDAYS(DROGASIL[[#This Row],[Abertura de chamado]],DROGASIL[[#This Row],[Prazo de correção]]))</f>
        <v/>
      </c>
      <c r="V52" s="13"/>
      <c r="W52" s="75" t="s">
        <v>35</v>
      </c>
    </row>
    <row r="53" spans="1:23" x14ac:dyDescent="0.3">
      <c r="A53" s="75" t="str">
        <f>IF(DROGASIL[[#This Row],[Data Monitoria]]="","",((((WEEKNUM(B53)-WEEKNUM(DATE(YEAR(B53),MONTH(B53),1))+1)))))</f>
        <v/>
      </c>
      <c r="B53" s="12"/>
      <c r="C53" s="13"/>
      <c r="D53" s="13"/>
      <c r="E53" s="13"/>
      <c r="F53" s="70" t="str">
        <f>IF(PANVEL[[#This Row],[Produtos]]="","",((VLOOKUP(E53,'TAB PROD'!B:D,3,))))</f>
        <v/>
      </c>
      <c r="G53" s="14" t="str">
        <f>IF(PANVEL[[#This Row],[Produtos]]="","",((VLOOKUP(E53,'TAB PROD'!B:C,2,))))</f>
        <v/>
      </c>
      <c r="H53" s="13"/>
      <c r="I53" s="15"/>
      <c r="J53" s="15"/>
      <c r="K53" s="13"/>
      <c r="L53" s="13"/>
      <c r="M53" s="13"/>
      <c r="N53" s="13"/>
      <c r="O53" s="13"/>
      <c r="P53" s="13"/>
      <c r="Q53" s="13"/>
      <c r="R53" s="13"/>
      <c r="S53" s="13"/>
      <c r="T53" s="64"/>
      <c r="U53" s="21" t="str">
        <f>IF(DROGASIL[[#This Row],[Abertura de chamado]]="","",NETWORKDAYS(DROGASIL[[#This Row],[Abertura de chamado]],DROGASIL[[#This Row],[Prazo de correção]]))</f>
        <v/>
      </c>
      <c r="V53" s="13"/>
      <c r="W53" s="75" t="s">
        <v>35</v>
      </c>
    </row>
    <row r="54" spans="1:23" x14ac:dyDescent="0.3">
      <c r="A54" s="75" t="str">
        <f>IF(DROGASIL[[#This Row],[Data Monitoria]]="","",((((WEEKNUM(B54)-WEEKNUM(DATE(YEAR(B54),MONTH(B54),1))+1)))))</f>
        <v/>
      </c>
      <c r="B54" s="12"/>
      <c r="C54" s="13"/>
      <c r="D54" s="13"/>
      <c r="E54" s="13"/>
      <c r="F54" s="70" t="str">
        <f>IF(PANVEL[[#This Row],[Produtos]]="","",((VLOOKUP(E54,'TAB PROD'!B:D,3,))))</f>
        <v/>
      </c>
      <c r="G54" s="14" t="str">
        <f>IF(PANVEL[[#This Row],[Produtos]]="","",((VLOOKUP(E54,'TAB PROD'!B:C,2,))))</f>
        <v/>
      </c>
      <c r="H54" s="13"/>
      <c r="I54" s="15"/>
      <c r="J54" s="15"/>
      <c r="K54" s="13"/>
      <c r="L54" s="13"/>
      <c r="M54" s="13"/>
      <c r="N54" s="13"/>
      <c r="O54" s="13"/>
      <c r="P54" s="13"/>
      <c r="Q54" s="13"/>
      <c r="R54" s="13"/>
      <c r="S54" s="13"/>
      <c r="T54" s="64"/>
      <c r="U54" s="21" t="str">
        <f>IF(DROGASIL[[#This Row],[Abertura de chamado]]="","",NETWORKDAYS(DROGASIL[[#This Row],[Abertura de chamado]],DROGASIL[[#This Row],[Prazo de correção]]))</f>
        <v/>
      </c>
      <c r="V54" s="13"/>
      <c r="W54" s="75" t="s">
        <v>35</v>
      </c>
    </row>
    <row r="55" spans="1:23" x14ac:dyDescent="0.3">
      <c r="A55" s="75" t="str">
        <f>IF(DROGASIL[[#This Row],[Data Monitoria]]="","",((((WEEKNUM(B55)-WEEKNUM(DATE(YEAR(B55),MONTH(B55),1))+1)))))</f>
        <v/>
      </c>
      <c r="B55" s="12"/>
      <c r="C55" s="13"/>
      <c r="D55" s="13"/>
      <c r="E55" s="13"/>
      <c r="F55" s="70" t="str">
        <f>IF(PANVEL[[#This Row],[Produtos]]="","",((VLOOKUP(E55,'TAB PROD'!B:D,3,))))</f>
        <v/>
      </c>
      <c r="G55" s="14" t="str">
        <f>IF(PANVEL[[#This Row],[Produtos]]="","",((VLOOKUP(E55,'TAB PROD'!B:C,2,))))</f>
        <v/>
      </c>
      <c r="H55" s="13"/>
      <c r="I55" s="15"/>
      <c r="J55" s="15"/>
      <c r="K55" s="13"/>
      <c r="L55" s="13"/>
      <c r="M55" s="13"/>
      <c r="N55" s="13"/>
      <c r="O55" s="13"/>
      <c r="P55" s="13"/>
      <c r="Q55" s="13"/>
      <c r="R55" s="13"/>
      <c r="S55" s="13"/>
      <c r="T55" s="64"/>
      <c r="U55" s="21" t="str">
        <f>IF(DROGASIL[[#This Row],[Abertura de chamado]]="","",NETWORKDAYS(DROGASIL[[#This Row],[Abertura de chamado]],DROGASIL[[#This Row],[Prazo de correção]]))</f>
        <v/>
      </c>
      <c r="V55" s="13"/>
      <c r="W55" s="75" t="s">
        <v>35</v>
      </c>
    </row>
    <row r="56" spans="1:23" x14ac:dyDescent="0.3">
      <c r="A56" s="75" t="str">
        <f>IF(DROGASIL[[#This Row],[Data Monitoria]]="","",((((WEEKNUM(B56)-WEEKNUM(DATE(YEAR(B56),MONTH(B56),1))+1)))))</f>
        <v/>
      </c>
      <c r="B56" s="12"/>
      <c r="C56" s="13"/>
      <c r="D56" s="13"/>
      <c r="E56" s="13"/>
      <c r="F56" s="70" t="str">
        <f>IF(PANVEL[[#This Row],[Produtos]]="","",((VLOOKUP(E56,'TAB PROD'!B:D,3,))))</f>
        <v/>
      </c>
      <c r="G56" s="14" t="str">
        <f>IF(PANVEL[[#This Row],[Produtos]]="","",((VLOOKUP(E56,'TAB PROD'!B:C,2,))))</f>
        <v/>
      </c>
      <c r="H56" s="13"/>
      <c r="I56" s="15"/>
      <c r="J56" s="15"/>
      <c r="K56" s="13"/>
      <c r="L56" s="13"/>
      <c r="M56" s="13"/>
      <c r="N56" s="13"/>
      <c r="O56" s="13"/>
      <c r="P56" s="13"/>
      <c r="Q56" s="13"/>
      <c r="R56" s="13"/>
      <c r="S56" s="13"/>
      <c r="T56" s="64"/>
      <c r="U56" s="21" t="str">
        <f>IF(DROGASIL[[#This Row],[Abertura de chamado]]="","",NETWORKDAYS(DROGASIL[[#This Row],[Abertura de chamado]],DROGASIL[[#This Row],[Prazo de correção]]))</f>
        <v/>
      </c>
      <c r="V56" s="13"/>
      <c r="W56" s="75" t="s">
        <v>35</v>
      </c>
    </row>
    <row r="57" spans="1:23" x14ac:dyDescent="0.3">
      <c r="A57" s="75" t="str">
        <f>IF(DROGASIL[[#This Row],[Data Monitoria]]="","",((((WEEKNUM(B57)-WEEKNUM(DATE(YEAR(B57),MONTH(B57),1))+1)))))</f>
        <v/>
      </c>
      <c r="B57" s="12"/>
      <c r="C57" s="13"/>
      <c r="D57" s="13"/>
      <c r="E57" s="13"/>
      <c r="F57" s="70" t="str">
        <f>IF(PANVEL[[#This Row],[Produtos]]="","",((VLOOKUP(E57,'TAB PROD'!B:D,3,))))</f>
        <v/>
      </c>
      <c r="G57" s="14" t="str">
        <f>IF(PANVEL[[#This Row],[Produtos]]="","",((VLOOKUP(E57,'TAB PROD'!B:C,2,))))</f>
        <v/>
      </c>
      <c r="H57" s="13"/>
      <c r="I57" s="15"/>
      <c r="J57" s="15"/>
      <c r="K57" s="13"/>
      <c r="L57" s="13"/>
      <c r="M57" s="13"/>
      <c r="N57" s="13"/>
      <c r="O57" s="13"/>
      <c r="P57" s="13"/>
      <c r="Q57" s="13"/>
      <c r="R57" s="13"/>
      <c r="S57" s="13"/>
      <c r="T57" s="64"/>
      <c r="U57" s="21" t="str">
        <f>IF(DROGASIL[[#This Row],[Abertura de chamado]]="","",NETWORKDAYS(DROGASIL[[#This Row],[Abertura de chamado]],DROGASIL[[#This Row],[Prazo de correção]]))</f>
        <v/>
      </c>
      <c r="V57" s="13"/>
      <c r="W57" s="75" t="s">
        <v>35</v>
      </c>
    </row>
    <row r="58" spans="1:23" x14ac:dyDescent="0.3">
      <c r="A58" s="75" t="str">
        <f>IF(DROGASIL[[#This Row],[Data Monitoria]]="","",((((WEEKNUM(B58)-WEEKNUM(DATE(YEAR(B58),MONTH(B58),1))+1)))))</f>
        <v/>
      </c>
      <c r="B58" s="12"/>
      <c r="C58" s="13"/>
      <c r="D58" s="13"/>
      <c r="E58" s="13"/>
      <c r="F58" s="70" t="str">
        <f>IF(PANVEL[[#This Row],[Produtos]]="","",((VLOOKUP(E58,'TAB PROD'!B:D,3,))))</f>
        <v/>
      </c>
      <c r="G58" s="14" t="str">
        <f>IF(PANVEL[[#This Row],[Produtos]]="","",((VLOOKUP(E58,'TAB PROD'!B:C,2,))))</f>
        <v/>
      </c>
      <c r="H58" s="13"/>
      <c r="I58" s="15"/>
      <c r="J58" s="15"/>
      <c r="K58" s="13"/>
      <c r="L58" s="13"/>
      <c r="M58" s="13"/>
      <c r="N58" s="13"/>
      <c r="O58" s="13"/>
      <c r="P58" s="13"/>
      <c r="Q58" s="13"/>
      <c r="R58" s="13"/>
      <c r="S58" s="13"/>
      <c r="T58" s="64"/>
      <c r="U58" s="21" t="str">
        <f>IF(DROGASIL[[#This Row],[Abertura de chamado]]="","",NETWORKDAYS(DROGASIL[[#This Row],[Abertura de chamado]],DROGASIL[[#This Row],[Prazo de correção]]))</f>
        <v/>
      </c>
      <c r="V58" s="13"/>
      <c r="W58" s="75" t="s">
        <v>35</v>
      </c>
    </row>
    <row r="59" spans="1:23" x14ac:dyDescent="0.3">
      <c r="A59" s="75" t="str">
        <f>IF(DROGASIL[[#This Row],[Data Monitoria]]="","",((((WEEKNUM(B59)-WEEKNUM(DATE(YEAR(B59),MONTH(B59),1))+1)))))</f>
        <v/>
      </c>
      <c r="B59" s="12"/>
      <c r="C59" s="13"/>
      <c r="D59" s="13"/>
      <c r="E59" s="13"/>
      <c r="F59" s="70" t="str">
        <f>IF(PANVEL[[#This Row],[Produtos]]="","",((VLOOKUP(E59,'TAB PROD'!B:D,3,))))</f>
        <v/>
      </c>
      <c r="G59" s="14" t="str">
        <f>IF(PANVEL[[#This Row],[Produtos]]="","",((VLOOKUP(E59,'TAB PROD'!B:C,2,))))</f>
        <v/>
      </c>
      <c r="H59" s="13"/>
      <c r="I59" s="15"/>
      <c r="J59" s="15"/>
      <c r="K59" s="13"/>
      <c r="L59" s="13"/>
      <c r="M59" s="13"/>
      <c r="N59" s="13"/>
      <c r="O59" s="13"/>
      <c r="P59" s="13"/>
      <c r="Q59" s="13"/>
      <c r="R59" s="13"/>
      <c r="S59" s="13"/>
      <c r="T59" s="64"/>
      <c r="U59" s="21" t="str">
        <f>IF(DROGASIL[[#This Row],[Abertura de chamado]]="","",NETWORKDAYS(DROGASIL[[#This Row],[Abertura de chamado]],DROGASIL[[#This Row],[Prazo de correção]]))</f>
        <v/>
      </c>
      <c r="V59" s="13"/>
      <c r="W59" s="75" t="s">
        <v>35</v>
      </c>
    </row>
    <row r="60" spans="1:23" x14ac:dyDescent="0.3">
      <c r="A60" s="75" t="str">
        <f>IF(DROGASIL[[#This Row],[Data Monitoria]]="","",((((WEEKNUM(B60)-WEEKNUM(DATE(YEAR(B60),MONTH(B60),1))+1)))))</f>
        <v/>
      </c>
      <c r="B60" s="12"/>
      <c r="C60" s="13"/>
      <c r="D60" s="13"/>
      <c r="E60" s="13"/>
      <c r="F60" s="70" t="str">
        <f>IF(PANVEL[[#This Row],[Produtos]]="","",((VLOOKUP(E60,'TAB PROD'!B:D,3,))))</f>
        <v/>
      </c>
      <c r="G60" s="14" t="str">
        <f>IF(PANVEL[[#This Row],[Produtos]]="","",((VLOOKUP(E60,'TAB PROD'!B:C,2,))))</f>
        <v/>
      </c>
      <c r="H60" s="13"/>
      <c r="I60" s="15"/>
      <c r="J60" s="15"/>
      <c r="K60" s="13"/>
      <c r="L60" s="13"/>
      <c r="M60" s="13"/>
      <c r="N60" s="13"/>
      <c r="O60" s="13"/>
      <c r="P60" s="13"/>
      <c r="Q60" s="13"/>
      <c r="R60" s="13"/>
      <c r="S60" s="13"/>
      <c r="T60" s="64"/>
      <c r="U60" s="21" t="str">
        <f>IF(DROGASIL[[#This Row],[Abertura de chamado]]="","",NETWORKDAYS(DROGASIL[[#This Row],[Abertura de chamado]],DROGASIL[[#This Row],[Prazo de correção]]))</f>
        <v/>
      </c>
      <c r="V60" s="13"/>
      <c r="W60" s="75" t="s">
        <v>35</v>
      </c>
    </row>
    <row r="61" spans="1:23" x14ac:dyDescent="0.3">
      <c r="A61" s="75" t="str">
        <f>IF(DROGASIL[[#This Row],[Data Monitoria]]="","",((((WEEKNUM(B61)-WEEKNUM(DATE(YEAR(B61),MONTH(B61),1))+1)))))</f>
        <v/>
      </c>
      <c r="B61" s="12"/>
      <c r="C61" s="13"/>
      <c r="D61" s="13"/>
      <c r="E61" s="13"/>
      <c r="F61" s="70" t="str">
        <f>IF(PANVEL[[#This Row],[Produtos]]="","",((VLOOKUP(E61,'TAB PROD'!B:D,3,))))</f>
        <v/>
      </c>
      <c r="G61" s="14" t="str">
        <f>IF(PANVEL[[#This Row],[Produtos]]="","",((VLOOKUP(E61,'TAB PROD'!B:C,2,))))</f>
        <v/>
      </c>
      <c r="H61" s="13"/>
      <c r="I61" s="15"/>
      <c r="J61" s="15"/>
      <c r="K61" s="13"/>
      <c r="L61" s="13"/>
      <c r="M61" s="13"/>
      <c r="N61" s="13"/>
      <c r="O61" s="13"/>
      <c r="P61" s="13"/>
      <c r="Q61" s="13"/>
      <c r="R61" s="13"/>
      <c r="S61" s="13"/>
      <c r="T61" s="64"/>
      <c r="U61" s="21" t="str">
        <f>IF(DROGASIL[[#This Row],[Abertura de chamado]]="","",NETWORKDAYS(DROGASIL[[#This Row],[Abertura de chamado]],DROGASIL[[#This Row],[Prazo de correção]]))</f>
        <v/>
      </c>
      <c r="V61" s="13"/>
      <c r="W61" s="75" t="s">
        <v>35</v>
      </c>
    </row>
    <row r="62" spans="1:23" x14ac:dyDescent="0.3">
      <c r="A62" s="75" t="str">
        <f>IF(DROGASIL[[#This Row],[Data Monitoria]]="","",((((WEEKNUM(B62)-WEEKNUM(DATE(YEAR(B62),MONTH(B62),1))+1)))))</f>
        <v/>
      </c>
      <c r="B62" s="12"/>
      <c r="C62" s="13"/>
      <c r="D62" s="13"/>
      <c r="E62" s="13"/>
      <c r="F62" s="70" t="str">
        <f>IF(PANVEL[[#This Row],[Produtos]]="","",((VLOOKUP(E62,'TAB PROD'!B:D,3,))))</f>
        <v/>
      </c>
      <c r="G62" s="14" t="str">
        <f>IF(PANVEL[[#This Row],[Produtos]]="","",((VLOOKUP(E62,'TAB PROD'!B:C,2,))))</f>
        <v/>
      </c>
      <c r="H62" s="13"/>
      <c r="I62" s="15"/>
      <c r="J62" s="15"/>
      <c r="K62" s="13"/>
      <c r="L62" s="13"/>
      <c r="M62" s="13"/>
      <c r="N62" s="13"/>
      <c r="O62" s="13"/>
      <c r="P62" s="13"/>
      <c r="Q62" s="13"/>
      <c r="R62" s="13"/>
      <c r="S62" s="13"/>
      <c r="T62" s="64"/>
      <c r="U62" s="21" t="str">
        <f>IF(DROGASIL[[#This Row],[Abertura de chamado]]="","",NETWORKDAYS(DROGASIL[[#This Row],[Abertura de chamado]],DROGASIL[[#This Row],[Prazo de correção]]))</f>
        <v/>
      </c>
      <c r="V62" s="13"/>
      <c r="W62" s="75" t="s">
        <v>35</v>
      </c>
    </row>
    <row r="63" spans="1:23" x14ac:dyDescent="0.3">
      <c r="A63" s="75" t="str">
        <f>IF(DROGASIL[[#This Row],[Data Monitoria]]="","",((((WEEKNUM(B63)-WEEKNUM(DATE(YEAR(B63),MONTH(B63),1))+1)))))</f>
        <v/>
      </c>
      <c r="B63" s="12"/>
      <c r="C63" s="13"/>
      <c r="D63" s="13"/>
      <c r="E63" s="13"/>
      <c r="F63" s="70" t="str">
        <f>IF(PANVEL[[#This Row],[Produtos]]="","",((VLOOKUP(E63,'TAB PROD'!B:D,3,))))</f>
        <v/>
      </c>
      <c r="G63" s="14" t="str">
        <f>IF(PANVEL[[#This Row],[Produtos]]="","",((VLOOKUP(E63,'TAB PROD'!B:C,2,))))</f>
        <v/>
      </c>
      <c r="H63" s="13"/>
      <c r="I63" s="15"/>
      <c r="J63" s="15"/>
      <c r="K63" s="13"/>
      <c r="L63" s="13"/>
      <c r="M63" s="13"/>
      <c r="N63" s="13"/>
      <c r="O63" s="13"/>
      <c r="P63" s="13"/>
      <c r="Q63" s="13"/>
      <c r="R63" s="13"/>
      <c r="S63" s="13"/>
      <c r="T63" s="64"/>
      <c r="U63" s="21" t="str">
        <f>IF(DROGASIL[[#This Row],[Abertura de chamado]]="","",NETWORKDAYS(DROGASIL[[#This Row],[Abertura de chamado]],DROGASIL[[#This Row],[Prazo de correção]]))</f>
        <v/>
      </c>
      <c r="V63" s="13"/>
      <c r="W63" s="75" t="s">
        <v>35</v>
      </c>
    </row>
    <row r="64" spans="1:23" x14ac:dyDescent="0.3">
      <c r="A64" s="75" t="str">
        <f>IF(DROGASIL[[#This Row],[Data Monitoria]]="","",((((WEEKNUM(B64)-WEEKNUM(DATE(YEAR(B64),MONTH(B64),1))+1)))))</f>
        <v/>
      </c>
      <c r="B64" s="12"/>
      <c r="C64" s="13"/>
      <c r="D64" s="13"/>
      <c r="E64" s="13"/>
      <c r="F64" s="70" t="str">
        <f>IF(PANVEL[[#This Row],[Produtos]]="","",((VLOOKUP(E64,'TAB PROD'!B:D,3,))))</f>
        <v/>
      </c>
      <c r="G64" s="14" t="str">
        <f>IF(PANVEL[[#This Row],[Produtos]]="","",((VLOOKUP(E64,'TAB PROD'!B:C,2,))))</f>
        <v/>
      </c>
      <c r="H64" s="13"/>
      <c r="I64" s="15"/>
      <c r="J64" s="15"/>
      <c r="K64" s="13"/>
      <c r="L64" s="13"/>
      <c r="M64" s="13"/>
      <c r="N64" s="13"/>
      <c r="O64" s="13"/>
      <c r="P64" s="13"/>
      <c r="Q64" s="13"/>
      <c r="R64" s="13"/>
      <c r="S64" s="13"/>
      <c r="T64" s="64"/>
      <c r="U64" s="21" t="str">
        <f>IF(DROGASIL[[#This Row],[Abertura de chamado]]="","",NETWORKDAYS(DROGASIL[[#This Row],[Abertura de chamado]],DROGASIL[[#This Row],[Prazo de correção]]))</f>
        <v/>
      </c>
      <c r="V64" s="13"/>
      <c r="W64" s="75" t="s">
        <v>35</v>
      </c>
    </row>
    <row r="65" spans="1:23" x14ac:dyDescent="0.3">
      <c r="A65" s="75" t="str">
        <f>IF(DROGASIL[[#This Row],[Data Monitoria]]="","",((((WEEKNUM(B65)-WEEKNUM(DATE(YEAR(B65),MONTH(B65),1))+1)))))</f>
        <v/>
      </c>
      <c r="B65" s="12"/>
      <c r="C65" s="13"/>
      <c r="D65" s="13"/>
      <c r="E65" s="13"/>
      <c r="F65" s="70" t="str">
        <f>IF(PANVEL[[#This Row],[Produtos]]="","",((VLOOKUP(E65,'TAB PROD'!B:D,3,))))</f>
        <v/>
      </c>
      <c r="G65" s="14" t="str">
        <f>IF(PANVEL[[#This Row],[Produtos]]="","",((VLOOKUP(E65,'TAB PROD'!B:C,2,))))</f>
        <v/>
      </c>
      <c r="H65" s="13"/>
      <c r="I65" s="15"/>
      <c r="J65" s="15"/>
      <c r="K65" s="13"/>
      <c r="L65" s="13"/>
      <c r="M65" s="13"/>
      <c r="N65" s="13"/>
      <c r="O65" s="13"/>
      <c r="P65" s="13"/>
      <c r="Q65" s="13"/>
      <c r="R65" s="13"/>
      <c r="S65" s="13"/>
      <c r="T65" s="64"/>
      <c r="U65" s="21" t="str">
        <f>IF(DROGASIL[[#This Row],[Abertura de chamado]]="","",NETWORKDAYS(DROGASIL[[#This Row],[Abertura de chamado]],DROGASIL[[#This Row],[Prazo de correção]]))</f>
        <v/>
      </c>
      <c r="V65" s="13"/>
      <c r="W65" s="75" t="s">
        <v>35</v>
      </c>
    </row>
    <row r="66" spans="1:23" x14ac:dyDescent="0.3">
      <c r="A66" s="75" t="str">
        <f>IF(DROGASIL[[#This Row],[Data Monitoria]]="","",((((WEEKNUM(B66)-WEEKNUM(DATE(YEAR(B66),MONTH(B66),1))+1)))))</f>
        <v/>
      </c>
      <c r="B66" s="12"/>
      <c r="C66" s="13"/>
      <c r="D66" s="13"/>
      <c r="E66" s="13"/>
      <c r="F66" s="70" t="str">
        <f>IF(PANVEL[[#This Row],[Produtos]]="","",((VLOOKUP(E66,'TAB PROD'!B:D,3,))))</f>
        <v/>
      </c>
      <c r="G66" s="14" t="str">
        <f>IF(PANVEL[[#This Row],[Produtos]]="","",((VLOOKUP(E66,'TAB PROD'!B:C,2,))))</f>
        <v/>
      </c>
      <c r="H66" s="13"/>
      <c r="I66" s="15"/>
      <c r="J66" s="15"/>
      <c r="K66" s="13"/>
      <c r="L66" s="13"/>
      <c r="M66" s="13"/>
      <c r="N66" s="13"/>
      <c r="O66" s="13"/>
      <c r="P66" s="13"/>
      <c r="Q66" s="13"/>
      <c r="R66" s="13"/>
      <c r="S66" s="13"/>
      <c r="T66" s="64"/>
      <c r="U66" s="21" t="str">
        <f>IF(DROGASIL[[#This Row],[Abertura de chamado]]="","",NETWORKDAYS(DROGASIL[[#This Row],[Abertura de chamado]],DROGASIL[[#This Row],[Prazo de correção]]))</f>
        <v/>
      </c>
      <c r="V66" s="13"/>
      <c r="W66" s="75" t="s">
        <v>35</v>
      </c>
    </row>
    <row r="67" spans="1:23" x14ac:dyDescent="0.3">
      <c r="A67" s="75" t="str">
        <f>IF(DROGASIL[[#This Row],[Data Monitoria]]="","",((((WEEKNUM(B67)-WEEKNUM(DATE(YEAR(B67),MONTH(B67),1))+1)))))</f>
        <v/>
      </c>
      <c r="B67" s="12"/>
      <c r="C67" s="13"/>
      <c r="D67" s="13"/>
      <c r="E67" s="13"/>
      <c r="F67" s="70" t="str">
        <f>IF(PANVEL[[#This Row],[Produtos]]="","",((VLOOKUP(E67,'TAB PROD'!B:D,3,))))</f>
        <v/>
      </c>
      <c r="G67" s="14" t="str">
        <f>IF(PANVEL[[#This Row],[Produtos]]="","",((VLOOKUP(E67,'TAB PROD'!B:C,2,))))</f>
        <v/>
      </c>
      <c r="H67" s="13"/>
      <c r="I67" s="15"/>
      <c r="J67" s="15"/>
      <c r="K67" s="13"/>
      <c r="L67" s="13"/>
      <c r="M67" s="13"/>
      <c r="N67" s="13"/>
      <c r="O67" s="13"/>
      <c r="P67" s="13"/>
      <c r="Q67" s="13"/>
      <c r="R67" s="13"/>
      <c r="S67" s="13"/>
      <c r="T67" s="64"/>
      <c r="U67" s="21" t="str">
        <f>IF(DROGASIL[[#This Row],[Abertura de chamado]]="","",NETWORKDAYS(DROGASIL[[#This Row],[Abertura de chamado]],DROGASIL[[#This Row],[Prazo de correção]]))</f>
        <v/>
      </c>
      <c r="V67" s="13"/>
      <c r="W67" s="75" t="s">
        <v>35</v>
      </c>
    </row>
    <row r="68" spans="1:23" x14ac:dyDescent="0.3">
      <c r="A68" s="75" t="str">
        <f>IF(DROGASIL[[#This Row],[Data Monitoria]]="","",((((WEEKNUM(B68)-WEEKNUM(DATE(YEAR(B68),MONTH(B68),1))+1)))))</f>
        <v/>
      </c>
      <c r="B68" s="12"/>
      <c r="C68" s="13"/>
      <c r="D68" s="13"/>
      <c r="E68" s="13"/>
      <c r="F68" s="70" t="str">
        <f>IF(PANVEL[[#This Row],[Produtos]]="","",((VLOOKUP(E68,'TAB PROD'!B:D,3,))))</f>
        <v/>
      </c>
      <c r="G68" s="14" t="str">
        <f>IF(PANVEL[[#This Row],[Produtos]]="","",((VLOOKUP(E68,'TAB PROD'!B:C,2,))))</f>
        <v/>
      </c>
      <c r="H68" s="13"/>
      <c r="I68" s="15"/>
      <c r="J68" s="15"/>
      <c r="K68" s="13"/>
      <c r="L68" s="13"/>
      <c r="M68" s="13"/>
      <c r="N68" s="13"/>
      <c r="O68" s="13"/>
      <c r="P68" s="13"/>
      <c r="Q68" s="13"/>
      <c r="R68" s="13"/>
      <c r="S68" s="13"/>
      <c r="T68" s="64"/>
      <c r="U68" s="21" t="str">
        <f>IF(DROGASIL[[#This Row],[Abertura de chamado]]="","",NETWORKDAYS(DROGASIL[[#This Row],[Abertura de chamado]],DROGASIL[[#This Row],[Prazo de correção]]))</f>
        <v/>
      </c>
      <c r="V68" s="13"/>
      <c r="W68" s="75" t="s">
        <v>35</v>
      </c>
    </row>
    <row r="69" spans="1:23" x14ac:dyDescent="0.3">
      <c r="A69" s="75" t="str">
        <f>IF(DROGASIL[[#This Row],[Data Monitoria]]="","",((((WEEKNUM(B69)-WEEKNUM(DATE(YEAR(B69),MONTH(B69),1))+1)))))</f>
        <v/>
      </c>
      <c r="B69" s="12"/>
      <c r="C69" s="13"/>
      <c r="D69" s="13"/>
      <c r="E69" s="13"/>
      <c r="F69" s="70" t="str">
        <f>IF(PANVEL[[#This Row],[Produtos]]="","",((VLOOKUP(E69,'TAB PROD'!B:D,3,))))</f>
        <v/>
      </c>
      <c r="G69" s="14" t="str">
        <f>IF(PANVEL[[#This Row],[Produtos]]="","",((VLOOKUP(E69,'TAB PROD'!B:C,2,))))</f>
        <v/>
      </c>
      <c r="H69" s="13"/>
      <c r="I69" s="15"/>
      <c r="J69" s="15"/>
      <c r="K69" s="13"/>
      <c r="L69" s="13"/>
      <c r="M69" s="13"/>
      <c r="N69" s="13"/>
      <c r="O69" s="13"/>
      <c r="P69" s="13"/>
      <c r="Q69" s="13"/>
      <c r="R69" s="13"/>
      <c r="S69" s="13"/>
      <c r="T69" s="64"/>
      <c r="U69" s="21" t="str">
        <f>IF(DROGASIL[[#This Row],[Abertura de chamado]]="","",NETWORKDAYS(DROGASIL[[#This Row],[Abertura de chamado]],DROGASIL[[#This Row],[Prazo de correção]]))</f>
        <v/>
      </c>
      <c r="V69" s="13"/>
      <c r="W69" s="75" t="s">
        <v>35</v>
      </c>
    </row>
    <row r="70" spans="1:23" x14ac:dyDescent="0.3">
      <c r="A70" s="75" t="str">
        <f>IF(DROGASIL[[#This Row],[Data Monitoria]]="","",((((WEEKNUM(B70)-WEEKNUM(DATE(YEAR(B70),MONTH(B70),1))+1)))))</f>
        <v/>
      </c>
      <c r="B70" s="12"/>
      <c r="C70" s="13"/>
      <c r="D70" s="13"/>
      <c r="E70" s="13"/>
      <c r="F70" s="70" t="str">
        <f>IF(PANVEL[[#This Row],[Produtos]]="","",((VLOOKUP(E70,'TAB PROD'!B:D,3,))))</f>
        <v/>
      </c>
      <c r="G70" s="14" t="str">
        <f>IF(PANVEL[[#This Row],[Produtos]]="","",((VLOOKUP(E70,'TAB PROD'!B:C,2,))))</f>
        <v/>
      </c>
      <c r="H70" s="13"/>
      <c r="I70" s="15"/>
      <c r="J70" s="15"/>
      <c r="K70" s="13"/>
      <c r="L70" s="13"/>
      <c r="M70" s="13"/>
      <c r="N70" s="13"/>
      <c r="O70" s="13"/>
      <c r="P70" s="13"/>
      <c r="Q70" s="13"/>
      <c r="R70" s="13"/>
      <c r="S70" s="13"/>
      <c r="T70" s="64"/>
      <c r="U70" s="21" t="str">
        <f>IF(DROGASIL[[#This Row],[Abertura de chamado]]="","",NETWORKDAYS(DROGASIL[[#This Row],[Abertura de chamado]],DROGASIL[[#This Row],[Prazo de correção]]))</f>
        <v/>
      </c>
      <c r="V70" s="13"/>
      <c r="W70" s="75" t="s">
        <v>35</v>
      </c>
    </row>
    <row r="71" spans="1:23" x14ac:dyDescent="0.3">
      <c r="A71" s="75" t="str">
        <f>IF(DROGASIL[[#This Row],[Data Monitoria]]="","",((((WEEKNUM(B71)-WEEKNUM(DATE(YEAR(B71),MONTH(B71),1))+1)))))</f>
        <v/>
      </c>
      <c r="B71" s="12"/>
      <c r="C71" s="13"/>
      <c r="D71" s="13"/>
      <c r="E71" s="13"/>
      <c r="F71" s="70" t="str">
        <f>IF(PANVEL[[#This Row],[Produtos]]="","",((VLOOKUP(E71,'TAB PROD'!B:D,3,))))</f>
        <v/>
      </c>
      <c r="G71" s="14" t="str">
        <f>IF(PANVEL[[#This Row],[Produtos]]="","",((VLOOKUP(E71,'TAB PROD'!B:C,2,))))</f>
        <v/>
      </c>
      <c r="H71" s="13"/>
      <c r="I71" s="15"/>
      <c r="J71" s="15"/>
      <c r="K71" s="13"/>
      <c r="L71" s="13"/>
      <c r="M71" s="13"/>
      <c r="N71" s="13"/>
      <c r="O71" s="13"/>
      <c r="P71" s="13"/>
      <c r="Q71" s="13"/>
      <c r="R71" s="13"/>
      <c r="S71" s="13"/>
      <c r="T71" s="64"/>
      <c r="U71" s="21" t="str">
        <f>IF(DROGASIL[[#This Row],[Abertura de chamado]]="","",NETWORKDAYS(DROGASIL[[#This Row],[Abertura de chamado]],DROGASIL[[#This Row],[Prazo de correção]]))</f>
        <v/>
      </c>
      <c r="V71" s="13"/>
      <c r="W71" s="75" t="s">
        <v>35</v>
      </c>
    </row>
    <row r="72" spans="1:23" x14ac:dyDescent="0.3">
      <c r="A72" s="75" t="str">
        <f>IF(DROGASIL[[#This Row],[Data Monitoria]]="","",((((WEEKNUM(B72)-WEEKNUM(DATE(YEAR(B72),MONTH(B72),1))+1)))))</f>
        <v/>
      </c>
      <c r="B72" s="12"/>
      <c r="C72" s="13"/>
      <c r="D72" s="13"/>
      <c r="E72" s="13"/>
      <c r="F72" s="70" t="str">
        <f>IF(PANVEL[[#This Row],[Produtos]]="","",((VLOOKUP(E72,'TAB PROD'!B:D,3,))))</f>
        <v/>
      </c>
      <c r="G72" s="14" t="str">
        <f>IF(PANVEL[[#This Row],[Produtos]]="","",((VLOOKUP(E72,'TAB PROD'!B:C,2,))))</f>
        <v/>
      </c>
      <c r="H72" s="13"/>
      <c r="I72" s="15"/>
      <c r="J72" s="15"/>
      <c r="K72" s="13"/>
      <c r="L72" s="13"/>
      <c r="M72" s="13"/>
      <c r="N72" s="13"/>
      <c r="O72" s="13"/>
      <c r="P72" s="13"/>
      <c r="Q72" s="13"/>
      <c r="R72" s="13"/>
      <c r="S72" s="13"/>
      <c r="T72" s="64"/>
      <c r="U72" s="21" t="str">
        <f>IF(DROGASIL[[#This Row],[Abertura de chamado]]="","",NETWORKDAYS(DROGASIL[[#This Row],[Abertura de chamado]],DROGASIL[[#This Row],[Prazo de correção]]))</f>
        <v/>
      </c>
      <c r="V72" s="13"/>
      <c r="W72" s="75" t="s">
        <v>35</v>
      </c>
    </row>
    <row r="73" spans="1:23" x14ac:dyDescent="0.3">
      <c r="A73" s="75" t="str">
        <f>IF(DROGASIL[[#This Row],[Data Monitoria]]="","",((((WEEKNUM(B73)-WEEKNUM(DATE(YEAR(B73),MONTH(B73),1))+1)))))</f>
        <v/>
      </c>
      <c r="B73" s="12"/>
      <c r="C73" s="13"/>
      <c r="D73" s="13"/>
      <c r="E73" s="13"/>
      <c r="F73" s="70" t="str">
        <f>IF(PANVEL[[#This Row],[Produtos]]="","",((VLOOKUP(E73,'TAB PROD'!B:D,3,))))</f>
        <v/>
      </c>
      <c r="G73" s="14" t="str">
        <f>IF(PANVEL[[#This Row],[Produtos]]="","",((VLOOKUP(E73,'TAB PROD'!B:C,2,))))</f>
        <v/>
      </c>
      <c r="H73" s="13"/>
      <c r="I73" s="15"/>
      <c r="J73" s="15"/>
      <c r="K73" s="13"/>
      <c r="L73" s="13"/>
      <c r="M73" s="13"/>
      <c r="N73" s="13"/>
      <c r="O73" s="13"/>
      <c r="P73" s="13"/>
      <c r="Q73" s="13"/>
      <c r="R73" s="13"/>
      <c r="S73" s="13"/>
      <c r="T73" s="64"/>
      <c r="U73" s="21" t="str">
        <f>IF(DROGASIL[[#This Row],[Abertura de chamado]]="","",NETWORKDAYS(DROGASIL[[#This Row],[Abertura de chamado]],DROGASIL[[#This Row],[Prazo de correção]]))</f>
        <v/>
      </c>
      <c r="V73" s="13"/>
      <c r="W73" s="75" t="s">
        <v>35</v>
      </c>
    </row>
    <row r="74" spans="1:23" x14ac:dyDescent="0.3">
      <c r="A74" s="75" t="str">
        <f>IF(DROGASIL[[#This Row],[Data Monitoria]]="","",((((WEEKNUM(B74)-WEEKNUM(DATE(YEAR(B74),MONTH(B74),1))+1)))))</f>
        <v/>
      </c>
      <c r="B74" s="88"/>
      <c r="C74" s="22"/>
      <c r="D74" s="22"/>
      <c r="E74" s="22"/>
      <c r="F74" s="70" t="str">
        <f>IF(PANVEL[[#This Row],[Produtos]]="","",((VLOOKUP(E74,'TAB PROD'!B:D,3,))))</f>
        <v/>
      </c>
      <c r="G74" s="14" t="str">
        <f>IF(PANVEL[[#This Row],[Produtos]]="","",((VLOOKUP(E74,'TAB PROD'!B:C,2,))))</f>
        <v/>
      </c>
      <c r="H74" s="22"/>
      <c r="I74" s="23"/>
      <c r="J74" s="23"/>
      <c r="K74" s="22"/>
      <c r="L74" s="22"/>
      <c r="M74" s="22"/>
      <c r="N74" s="22"/>
      <c r="O74" s="22"/>
      <c r="P74" s="22"/>
      <c r="Q74" s="22"/>
      <c r="R74" s="22"/>
      <c r="S74" s="22"/>
      <c r="T74" s="76"/>
      <c r="U74" s="21" t="str">
        <f>IF(DROGASIL[[#This Row],[Abertura de chamado]]="","",NETWORKDAYS(DROGASIL[[#This Row],[Abertura de chamado]],DROGASIL[[#This Row],[Prazo de correção]]))</f>
        <v/>
      </c>
      <c r="V74" s="22"/>
      <c r="W74" s="75" t="s">
        <v>35</v>
      </c>
    </row>
    <row r="75" spans="1:23" x14ac:dyDescent="0.3">
      <c r="A75" s="75" t="str">
        <f>IF(DROGASIL[[#This Row],[Data Monitoria]]="","",((((WEEKNUM(B75)-WEEKNUM(DATE(YEAR(B75),MONTH(B75),1))+1)))))</f>
        <v/>
      </c>
      <c r="B75" s="74"/>
      <c r="C75" s="13"/>
      <c r="D75" s="13"/>
      <c r="E75" s="13"/>
      <c r="F75" s="13"/>
      <c r="G75" s="21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64"/>
      <c r="U75" s="21" t="str">
        <f>IF(DROGASIL[[#This Row],[Abertura de chamado]]="","",NETWORKDAYS(DROGASIL[[#This Row],[Abertura de chamado]],DROGASIL[[#This Row],[Prazo de correção]]))</f>
        <v/>
      </c>
      <c r="V75" s="64"/>
      <c r="W75" s="22"/>
    </row>
    <row r="76" spans="1:23" x14ac:dyDescent="0.3">
      <c r="A76" s="75" t="str">
        <f>IF(DROGASIL[[#This Row],[Data Monitoria]]="","",((((WEEKNUM(B76)-WEEKNUM(DATE(YEAR(B76),MONTH(B76),1))+1)))))</f>
        <v/>
      </c>
      <c r="B76" s="74"/>
      <c r="C76" s="13"/>
      <c r="D76" s="13"/>
      <c r="E76" s="13"/>
      <c r="F76" s="13"/>
      <c r="G76" s="21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64"/>
      <c r="U76" s="21" t="str">
        <f>IF(DROGASIL[[#This Row],[Abertura de chamado]]="","",NETWORKDAYS(DROGASIL[[#This Row],[Abertura de chamado]],DROGASIL[[#This Row],[Prazo de correção]]))</f>
        <v/>
      </c>
      <c r="V76" s="64"/>
      <c r="W76" s="22"/>
    </row>
    <row r="77" spans="1:23" x14ac:dyDescent="0.3">
      <c r="A77" s="75" t="str">
        <f>IF(DROGASIL[[#This Row],[Data Monitoria]]="","",((((WEEKNUM(B77)-WEEKNUM(DATE(YEAR(B77),MONTH(B77),1))+1)))))</f>
        <v/>
      </c>
      <c r="B77" s="74"/>
      <c r="C77" s="13"/>
      <c r="D77" s="13"/>
      <c r="E77" s="13"/>
      <c r="F77" s="13"/>
      <c r="G77" s="21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64"/>
      <c r="U77" s="21" t="str">
        <f>IF(DROGASIL[[#This Row],[Abertura de chamado]]="","",NETWORKDAYS(DROGASIL[[#This Row],[Abertura de chamado]],DROGASIL[[#This Row],[Prazo de correção]]))</f>
        <v/>
      </c>
      <c r="V77" s="64"/>
      <c r="W77" s="22"/>
    </row>
    <row r="78" spans="1:23" x14ac:dyDescent="0.3">
      <c r="A78" s="75" t="str">
        <f>IF(DROGASIL[[#This Row],[Data Monitoria]]="","",((((WEEKNUM(B78)-WEEKNUM(DATE(YEAR(B78),MONTH(B78),1))+1)))))</f>
        <v/>
      </c>
      <c r="B78" s="74"/>
      <c r="C78" s="13"/>
      <c r="D78" s="13"/>
      <c r="E78" s="13"/>
      <c r="F78" s="13"/>
      <c r="G78" s="21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64"/>
      <c r="U78" s="21" t="str">
        <f>IF(DROGASIL[[#This Row],[Abertura de chamado]]="","",NETWORKDAYS(DROGASIL[[#This Row],[Abertura de chamado]],DROGASIL[[#This Row],[Prazo de correção]]))</f>
        <v/>
      </c>
      <c r="V78" s="64"/>
      <c r="W78" s="22"/>
    </row>
    <row r="79" spans="1:23" x14ac:dyDescent="0.3">
      <c r="A79" s="75" t="str">
        <f>IF(DROGASIL[[#This Row],[Data Monitoria]]="","",((((WEEKNUM(B79)-WEEKNUM(DATE(YEAR(B79),MONTH(B79),1))+1)))))</f>
        <v/>
      </c>
      <c r="B79" s="74"/>
      <c r="C79" s="13"/>
      <c r="D79" s="13"/>
      <c r="E79" s="13"/>
      <c r="F79" s="13"/>
      <c r="G79" s="21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64"/>
      <c r="U79" s="21" t="str">
        <f>IF(DROGASIL[[#This Row],[Abertura de chamado]]="","",NETWORKDAYS(DROGASIL[[#This Row],[Abertura de chamado]],DROGASIL[[#This Row],[Prazo de correção]]))</f>
        <v/>
      </c>
      <c r="V79" s="64"/>
      <c r="W79" s="13"/>
    </row>
  </sheetData>
  <mergeCells count="2">
    <mergeCell ref="A8:P8"/>
    <mergeCell ref="Q8:W8"/>
  </mergeCells>
  <conditionalFormatting sqref="U9">
    <cfRule type="cellIs" dxfId="76" priority="20" operator="between">
      <formula>6</formula>
      <formula>10</formula>
    </cfRule>
    <cfRule type="cellIs" dxfId="75" priority="21" operator="between">
      <formula>1</formula>
      <formula>5</formula>
    </cfRule>
  </conditionalFormatting>
  <conditionalFormatting sqref="U9">
    <cfRule type="cellIs" dxfId="74" priority="19" operator="between">
      <formula>11</formula>
      <formula>30</formula>
    </cfRule>
  </conditionalFormatting>
  <conditionalFormatting sqref="U43:U79">
    <cfRule type="cellIs" dxfId="73" priority="5" operator="between">
      <formula>6</formula>
      <formula>10</formula>
    </cfRule>
    <cfRule type="cellIs" dxfId="72" priority="6" operator="between">
      <formula>1</formula>
      <formula>5</formula>
    </cfRule>
  </conditionalFormatting>
  <conditionalFormatting sqref="U43:U79">
    <cfRule type="cellIs" dxfId="71" priority="4" operator="between">
      <formula>11</formula>
      <formula>30</formula>
    </cfRule>
  </conditionalFormatting>
  <dataValidations count="3">
    <dataValidation type="list" allowBlank="1" showInputMessage="1" showErrorMessage="1" sqref="L75:M79 L10:N74" xr:uid="{E6AD9E81-0B0F-445E-B7FE-C7426DB38533}">
      <formula1>"Sim,Não"</formula1>
    </dataValidation>
    <dataValidation type="list" allowBlank="1" showInputMessage="1" showErrorMessage="1" sqref="K10:K79" xr:uid="{1D831685-4870-4B48-90E8-C9AA4A4D5C77}">
      <formula1>"Legado,Novo"</formula1>
    </dataValidation>
    <dataValidation type="list" allowBlank="1" showInputMessage="1" showErrorMessage="1" sqref="D10:D74" xr:uid="{275AEC6A-9A52-4217-B947-A3E0200A0217}">
      <formula1>"Sim, 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75:G79" calculatedColumn="1"/>
  </ignoredError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FF9-A4A9-48CC-894B-9A6E0A858679}">
  <sheetPr codeName="Planilha5"/>
  <dimension ref="A5:W79"/>
  <sheetViews>
    <sheetView showGridLines="0" zoomScaleNormal="100" workbookViewId="0">
      <selection activeCell="E25" sqref="E25"/>
    </sheetView>
  </sheetViews>
  <sheetFormatPr defaultRowHeight="14.4" x14ac:dyDescent="0.3"/>
  <cols>
    <col min="1" max="1" width="22.88671875" style="18" bestFit="1" customWidth="1"/>
    <col min="2" max="2" width="21.5546875" style="17" bestFit="1" customWidth="1"/>
    <col min="3" max="3" width="27.33203125" bestFit="1" customWidth="1"/>
    <col min="4" max="4" width="16.44140625" customWidth="1"/>
    <col min="5" max="5" width="59.33203125" style="2" bestFit="1" customWidth="1"/>
    <col min="6" max="6" width="18.109375" style="3" bestFit="1" customWidth="1"/>
    <col min="7" max="7" width="17.44140625" style="18" bestFit="1" customWidth="1"/>
    <col min="8" max="8" width="38.88671875" bestFit="1" customWidth="1"/>
    <col min="9" max="9" width="13.6640625" style="4" customWidth="1"/>
    <col min="10" max="10" width="15.33203125" style="4" bestFit="1" customWidth="1"/>
    <col min="11" max="11" width="21" bestFit="1" customWidth="1"/>
    <col min="12" max="12" width="11.5546875" bestFit="1" customWidth="1"/>
    <col min="13" max="13" width="13.44140625" bestFit="1" customWidth="1"/>
    <col min="14" max="14" width="13.44140625" customWidth="1"/>
    <col min="15" max="15" width="65.109375" bestFit="1" customWidth="1"/>
    <col min="16" max="16" width="36.44140625" bestFit="1" customWidth="1"/>
    <col min="17" max="17" width="18.33203125" bestFit="1" customWidth="1"/>
    <col min="18" max="18" width="23" bestFit="1" customWidth="1"/>
    <col min="19" max="19" width="30" bestFit="1" customWidth="1"/>
    <col min="20" max="20" width="29.33203125" bestFit="1" customWidth="1"/>
    <col min="21" max="21" width="15" bestFit="1" customWidth="1"/>
    <col min="22" max="22" width="30" bestFit="1" customWidth="1"/>
    <col min="23" max="23" width="7.44140625" bestFit="1" customWidth="1"/>
  </cols>
  <sheetData>
    <row r="5" spans="1:23" x14ac:dyDescent="0.3">
      <c r="T5" s="66"/>
    </row>
    <row r="6" spans="1:23" x14ac:dyDescent="0.3">
      <c r="U6" s="17">
        <f ca="1">TODAY()</f>
        <v>44543</v>
      </c>
    </row>
    <row r="7" spans="1:23" s="8" customFormat="1" ht="3.75" customHeight="1" thickBot="1" x14ac:dyDescent="0.35">
      <c r="A7" s="20"/>
      <c r="B7" s="19"/>
      <c r="E7" s="9"/>
      <c r="F7" s="10"/>
      <c r="G7" s="20"/>
      <c r="I7" s="11"/>
      <c r="J7" s="11"/>
    </row>
    <row r="8" spans="1:23" ht="15" thickBot="1" x14ac:dyDescent="0.35">
      <c r="A8" s="123" t="s">
        <v>62</v>
      </c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4"/>
      <c r="Q8" s="125" t="s">
        <v>63</v>
      </c>
      <c r="R8" s="126"/>
      <c r="S8" s="126"/>
      <c r="T8" s="126"/>
      <c r="U8" s="126"/>
      <c r="V8" s="126"/>
      <c r="W8" s="126"/>
    </row>
    <row r="9" spans="1:23" ht="28.8" x14ac:dyDescent="0.3">
      <c r="A9" s="77" t="s">
        <v>1</v>
      </c>
      <c r="B9" s="78" t="s">
        <v>2</v>
      </c>
      <c r="C9" s="79" t="s">
        <v>3</v>
      </c>
      <c r="D9" s="79" t="s">
        <v>4</v>
      </c>
      <c r="E9" s="80" t="s">
        <v>5</v>
      </c>
      <c r="F9" s="81" t="s">
        <v>64</v>
      </c>
      <c r="G9" s="80" t="s">
        <v>6</v>
      </c>
      <c r="H9" s="82" t="s">
        <v>7</v>
      </c>
      <c r="I9" s="83" t="s">
        <v>8</v>
      </c>
      <c r="J9" s="84" t="s">
        <v>9</v>
      </c>
      <c r="K9" s="85" t="s">
        <v>10</v>
      </c>
      <c r="L9" s="79" t="s">
        <v>11</v>
      </c>
      <c r="M9" s="79" t="s">
        <v>12</v>
      </c>
      <c r="N9" s="79" t="s">
        <v>13</v>
      </c>
      <c r="O9" s="79" t="s">
        <v>14</v>
      </c>
      <c r="P9" s="79" t="s">
        <v>15</v>
      </c>
      <c r="Q9" s="79" t="s">
        <v>16</v>
      </c>
      <c r="R9" s="79" t="s">
        <v>17</v>
      </c>
      <c r="S9" s="79" t="s">
        <v>18</v>
      </c>
      <c r="T9" s="81" t="s">
        <v>19</v>
      </c>
      <c r="U9" s="86" t="s">
        <v>20</v>
      </c>
      <c r="V9" s="79" t="s">
        <v>21</v>
      </c>
      <c r="W9" s="77" t="s">
        <v>0</v>
      </c>
    </row>
    <row r="10" spans="1:23" x14ac:dyDescent="0.3">
      <c r="A10" s="75"/>
      <c r="B10" s="12"/>
      <c r="C10" s="75"/>
      <c r="D10" s="13"/>
      <c r="E10" s="38"/>
      <c r="F10" s="40"/>
      <c r="G10" s="51"/>
      <c r="H10" s="13"/>
      <c r="I10" s="15"/>
      <c r="J10" s="15"/>
      <c r="K10" s="13"/>
      <c r="L10" s="13"/>
      <c r="M10" s="13"/>
      <c r="N10" s="13"/>
      <c r="O10" s="13"/>
      <c r="P10" s="13"/>
      <c r="Q10" s="13"/>
      <c r="R10" s="13"/>
      <c r="S10" s="113"/>
      <c r="T10" s="64"/>
      <c r="U10" s="103"/>
      <c r="V10" s="13"/>
      <c r="W10" s="75" t="s">
        <v>43</v>
      </c>
    </row>
    <row r="11" spans="1:23" x14ac:dyDescent="0.3">
      <c r="A11" s="75"/>
      <c r="B11" s="12"/>
      <c r="C11" s="75"/>
      <c r="D11" s="13"/>
      <c r="E11" s="38"/>
      <c r="F11" s="40"/>
      <c r="G11" s="51"/>
      <c r="H11" s="13"/>
      <c r="I11" s="15"/>
      <c r="J11" s="15"/>
      <c r="K11" s="13"/>
      <c r="L11" s="13"/>
      <c r="M11" s="13"/>
      <c r="N11" s="13"/>
      <c r="O11" s="13"/>
      <c r="P11" s="13"/>
      <c r="Q11" s="13"/>
      <c r="R11" s="13"/>
      <c r="S11" s="113"/>
      <c r="T11" s="64"/>
      <c r="U11" s="103"/>
      <c r="V11" s="13"/>
      <c r="W11" s="75" t="s">
        <v>43</v>
      </c>
    </row>
    <row r="12" spans="1:23" x14ac:dyDescent="0.3">
      <c r="A12" s="75"/>
      <c r="B12" s="12"/>
      <c r="C12" s="75"/>
      <c r="D12" s="13"/>
      <c r="E12" s="38"/>
      <c r="F12" s="40"/>
      <c r="G12" s="51"/>
      <c r="H12" s="13"/>
      <c r="I12" s="15"/>
      <c r="J12" s="15"/>
      <c r="K12" s="13"/>
      <c r="L12" s="13"/>
      <c r="M12" s="13"/>
      <c r="N12" s="13"/>
      <c r="O12" s="13"/>
      <c r="P12" s="13"/>
      <c r="Q12" s="13"/>
      <c r="R12" s="13"/>
      <c r="S12" s="113"/>
      <c r="T12" s="64"/>
      <c r="U12" s="103"/>
      <c r="V12" s="13"/>
      <c r="W12" s="75" t="s">
        <v>43</v>
      </c>
    </row>
    <row r="13" spans="1:23" x14ac:dyDescent="0.3">
      <c r="A13" s="75"/>
      <c r="B13" s="12"/>
      <c r="C13" s="75"/>
      <c r="D13" s="13"/>
      <c r="E13" s="38"/>
      <c r="F13" s="40"/>
      <c r="G13" s="51"/>
      <c r="H13" s="13"/>
      <c r="I13" s="15"/>
      <c r="J13" s="15"/>
      <c r="K13" s="13"/>
      <c r="L13" s="13"/>
      <c r="M13" s="13"/>
      <c r="N13" s="13"/>
      <c r="O13" s="13"/>
      <c r="P13" s="13"/>
      <c r="Q13" s="13"/>
      <c r="R13" s="13"/>
      <c r="S13" s="113"/>
      <c r="T13" s="64"/>
      <c r="U13" s="103"/>
      <c r="V13" s="13"/>
      <c r="W13" s="75" t="s">
        <v>43</v>
      </c>
    </row>
    <row r="14" spans="1:23" x14ac:dyDescent="0.3">
      <c r="A14" s="75"/>
      <c r="B14" s="12"/>
      <c r="C14" s="75"/>
      <c r="D14" s="13"/>
      <c r="E14" s="38"/>
      <c r="F14" s="40"/>
      <c r="G14" s="51"/>
      <c r="H14" s="13"/>
      <c r="I14" s="15"/>
      <c r="J14" s="15"/>
      <c r="K14" s="13"/>
      <c r="L14" s="13"/>
      <c r="M14" s="13"/>
      <c r="N14" s="13"/>
      <c r="O14" s="13"/>
      <c r="P14" s="13"/>
      <c r="Q14" s="13"/>
      <c r="R14" s="13"/>
      <c r="S14" s="113"/>
      <c r="T14" s="64"/>
      <c r="U14" s="103"/>
      <c r="V14" s="13"/>
      <c r="W14" s="75" t="s">
        <v>43</v>
      </c>
    </row>
    <row r="15" spans="1:23" x14ac:dyDescent="0.3">
      <c r="A15" s="75"/>
      <c r="B15" s="12"/>
      <c r="C15" s="75"/>
      <c r="D15" s="13"/>
      <c r="E15" s="38"/>
      <c r="F15" s="40"/>
      <c r="G15" s="51"/>
      <c r="H15" s="13"/>
      <c r="I15" s="15"/>
      <c r="J15" s="15"/>
      <c r="K15" s="13"/>
      <c r="L15" s="13"/>
      <c r="M15" s="13"/>
      <c r="N15" s="13"/>
      <c r="O15" s="13"/>
      <c r="P15" s="13"/>
      <c r="Q15" s="13"/>
      <c r="R15" s="13"/>
      <c r="S15" s="113"/>
      <c r="T15" s="64"/>
      <c r="U15" s="103"/>
      <c r="V15" s="13"/>
      <c r="W15" s="75" t="s">
        <v>43</v>
      </c>
    </row>
    <row r="16" spans="1:23" x14ac:dyDescent="0.3">
      <c r="A16" s="75"/>
      <c r="B16" s="12"/>
      <c r="C16" s="75"/>
      <c r="D16" s="13"/>
      <c r="E16" s="38"/>
      <c r="F16" s="40"/>
      <c r="G16" s="51"/>
      <c r="H16" s="13"/>
      <c r="I16" s="15"/>
      <c r="J16" s="15"/>
      <c r="K16" s="13"/>
      <c r="L16" s="13"/>
      <c r="M16" s="13"/>
      <c r="N16" s="13"/>
      <c r="O16" s="13"/>
      <c r="P16" s="13"/>
      <c r="Q16" s="13"/>
      <c r="R16" s="13"/>
      <c r="S16" s="113"/>
      <c r="T16" s="64"/>
      <c r="U16" s="103"/>
      <c r="V16" s="13"/>
      <c r="W16" s="75" t="s">
        <v>43</v>
      </c>
    </row>
    <row r="17" spans="1:23" x14ac:dyDescent="0.3">
      <c r="A17" s="75"/>
      <c r="B17" s="12"/>
      <c r="C17" s="75"/>
      <c r="D17" s="13"/>
      <c r="E17" s="38"/>
      <c r="F17" s="40"/>
      <c r="G17" s="51"/>
      <c r="H17" s="13"/>
      <c r="I17" s="15"/>
      <c r="J17" s="15"/>
      <c r="K17" s="13"/>
      <c r="L17" s="13"/>
      <c r="M17" s="13"/>
      <c r="N17" s="13"/>
      <c r="O17" s="13"/>
      <c r="P17" s="13"/>
      <c r="Q17" s="13"/>
      <c r="R17" s="13"/>
      <c r="S17" s="113"/>
      <c r="T17" s="64"/>
      <c r="U17" s="103"/>
      <c r="V17" s="13"/>
      <c r="W17" s="75" t="s">
        <v>43</v>
      </c>
    </row>
    <row r="18" spans="1:23" x14ac:dyDescent="0.3">
      <c r="A18" s="75"/>
      <c r="B18" s="12"/>
      <c r="C18" s="75"/>
      <c r="D18" s="13"/>
      <c r="E18" s="38"/>
      <c r="F18" s="40"/>
      <c r="G18" s="51"/>
      <c r="H18" s="13"/>
      <c r="I18" s="15"/>
      <c r="J18" s="15"/>
      <c r="K18" s="13"/>
      <c r="L18" s="13"/>
      <c r="M18" s="13"/>
      <c r="N18" s="13"/>
      <c r="O18" s="13"/>
      <c r="P18" s="13"/>
      <c r="Q18" s="13"/>
      <c r="R18" s="13"/>
      <c r="S18" s="113"/>
      <c r="T18" s="64"/>
      <c r="U18" s="103"/>
      <c r="V18" s="13"/>
      <c r="W18" s="75" t="s">
        <v>43</v>
      </c>
    </row>
    <row r="19" spans="1:23" x14ac:dyDescent="0.3">
      <c r="A19" s="75"/>
      <c r="B19" s="12"/>
      <c r="C19" s="75"/>
      <c r="D19" s="13"/>
      <c r="E19" s="38"/>
      <c r="F19" s="40"/>
      <c r="G19" s="51"/>
      <c r="H19" s="13"/>
      <c r="I19" s="15"/>
      <c r="J19" s="15"/>
      <c r="K19" s="13"/>
      <c r="L19" s="13"/>
      <c r="M19" s="13"/>
      <c r="N19" s="13"/>
      <c r="O19" s="13"/>
      <c r="P19" s="13"/>
      <c r="Q19" s="13"/>
      <c r="R19" s="13"/>
      <c r="S19" s="113"/>
      <c r="T19" s="64"/>
      <c r="U19" s="103"/>
      <c r="V19" s="13"/>
      <c r="W19" s="75" t="s">
        <v>43</v>
      </c>
    </row>
    <row r="20" spans="1:23" x14ac:dyDescent="0.3">
      <c r="A20" s="75"/>
      <c r="B20" s="12"/>
      <c r="C20" s="75"/>
      <c r="D20" s="13"/>
      <c r="E20" s="38"/>
      <c r="F20" s="40"/>
      <c r="G20" s="51"/>
      <c r="H20" s="13"/>
      <c r="I20" s="15"/>
      <c r="J20" s="15"/>
      <c r="K20" s="13"/>
      <c r="L20" s="13"/>
      <c r="M20" s="13"/>
      <c r="N20" s="13"/>
      <c r="O20" s="13"/>
      <c r="P20" s="13"/>
      <c r="Q20" s="13"/>
      <c r="R20" s="13"/>
      <c r="S20" s="113"/>
      <c r="T20" s="64"/>
      <c r="U20" s="103"/>
      <c r="V20" s="13"/>
      <c r="W20" s="75" t="s">
        <v>43</v>
      </c>
    </row>
    <row r="21" spans="1:23" x14ac:dyDescent="0.3">
      <c r="A21" s="75"/>
      <c r="B21" s="12"/>
      <c r="C21" s="75"/>
      <c r="D21" s="13"/>
      <c r="E21" s="38"/>
      <c r="F21" s="40"/>
      <c r="G21" s="51"/>
      <c r="H21" s="13"/>
      <c r="I21" s="15"/>
      <c r="J21" s="15"/>
      <c r="K21" s="13"/>
      <c r="L21" s="13"/>
      <c r="M21" s="13"/>
      <c r="N21" s="13"/>
      <c r="O21" s="13"/>
      <c r="P21" s="13"/>
      <c r="Q21" s="13"/>
      <c r="R21" s="13"/>
      <c r="S21" s="113"/>
      <c r="T21" s="64"/>
      <c r="U21" s="103"/>
      <c r="V21" s="13"/>
      <c r="W21" s="75" t="s">
        <v>43</v>
      </c>
    </row>
    <row r="22" spans="1:23" x14ac:dyDescent="0.3">
      <c r="A22" s="75"/>
      <c r="B22" s="12"/>
      <c r="C22" s="75"/>
      <c r="D22" s="13"/>
      <c r="E22" s="38"/>
      <c r="F22" s="40"/>
      <c r="G22" s="51"/>
      <c r="H22" s="13"/>
      <c r="I22" s="15"/>
      <c r="J22" s="15"/>
      <c r="K22" s="13"/>
      <c r="L22" s="13"/>
      <c r="M22" s="13"/>
      <c r="N22" s="13"/>
      <c r="O22" s="13"/>
      <c r="P22" s="13"/>
      <c r="Q22" s="13"/>
      <c r="R22" s="13"/>
      <c r="S22" s="113"/>
      <c r="T22" s="64"/>
      <c r="U22" s="103"/>
      <c r="V22" s="13"/>
      <c r="W22" s="75" t="s">
        <v>43</v>
      </c>
    </row>
    <row r="23" spans="1:23" x14ac:dyDescent="0.3">
      <c r="A23" s="75"/>
      <c r="B23" s="12"/>
      <c r="C23" s="75"/>
      <c r="D23" s="13"/>
      <c r="E23" s="38"/>
      <c r="F23" s="40"/>
      <c r="G23" s="51"/>
      <c r="H23" s="13"/>
      <c r="I23" s="15"/>
      <c r="J23" s="15"/>
      <c r="K23" s="13"/>
      <c r="L23" s="13"/>
      <c r="M23" s="13"/>
      <c r="N23" s="13"/>
      <c r="O23" s="13"/>
      <c r="P23" s="13"/>
      <c r="Q23" s="13"/>
      <c r="R23" s="13"/>
      <c r="S23" s="113"/>
      <c r="T23" s="64"/>
      <c r="U23" s="103"/>
      <c r="V23" s="13"/>
      <c r="W23" s="75" t="s">
        <v>43</v>
      </c>
    </row>
    <row r="24" spans="1:23" x14ac:dyDescent="0.3">
      <c r="A24" s="75"/>
      <c r="B24" s="12"/>
      <c r="C24" s="75"/>
      <c r="D24" s="13"/>
      <c r="E24" s="38"/>
      <c r="F24" s="40"/>
      <c r="G24" s="51"/>
      <c r="H24" s="13"/>
      <c r="I24" s="15"/>
      <c r="J24" s="15"/>
      <c r="K24" s="13"/>
      <c r="L24" s="13"/>
      <c r="M24" s="13"/>
      <c r="N24" s="13"/>
      <c r="O24" s="13"/>
      <c r="P24" s="13"/>
      <c r="Q24" s="13"/>
      <c r="R24" s="13"/>
      <c r="S24" s="113"/>
      <c r="T24" s="64"/>
      <c r="U24" s="103"/>
      <c r="V24" s="13"/>
      <c r="W24" s="75" t="s">
        <v>43</v>
      </c>
    </row>
    <row r="25" spans="1:23" x14ac:dyDescent="0.3">
      <c r="A25" s="75"/>
      <c r="B25" s="12"/>
      <c r="C25" s="75"/>
      <c r="D25" s="13"/>
      <c r="E25" s="38"/>
      <c r="F25" s="40"/>
      <c r="G25" s="51"/>
      <c r="H25" s="13"/>
      <c r="I25" s="15"/>
      <c r="J25" s="15"/>
      <c r="K25" s="13"/>
      <c r="L25" s="13"/>
      <c r="M25" s="13"/>
      <c r="N25" s="13"/>
      <c r="O25" s="13"/>
      <c r="P25" s="13"/>
      <c r="Q25" s="13"/>
      <c r="R25" s="13"/>
      <c r="S25" s="113"/>
      <c r="T25" s="64"/>
      <c r="U25" s="103"/>
      <c r="V25" s="13"/>
      <c r="W25" s="75" t="s">
        <v>43</v>
      </c>
    </row>
    <row r="26" spans="1:23" s="121" customFormat="1" x14ac:dyDescent="0.3">
      <c r="A26" s="75"/>
      <c r="B26" s="12"/>
      <c r="C26" s="75"/>
      <c r="D26" s="13"/>
      <c r="E26" s="38"/>
      <c r="F26" s="40"/>
      <c r="G26" s="51"/>
      <c r="H26" s="13"/>
      <c r="I26" s="15"/>
      <c r="J26" s="15"/>
      <c r="K26" s="13"/>
      <c r="L26" s="13"/>
      <c r="M26" s="13"/>
      <c r="N26" s="13"/>
      <c r="O26" s="13"/>
      <c r="P26" s="13"/>
      <c r="Q26" s="13"/>
      <c r="R26" s="13"/>
      <c r="S26" s="113"/>
      <c r="T26" s="64"/>
      <c r="U26" s="103"/>
      <c r="V26" s="13"/>
      <c r="W26" s="120"/>
    </row>
    <row r="27" spans="1:23" x14ac:dyDescent="0.3">
      <c r="A27" s="75"/>
      <c r="B27" s="12"/>
      <c r="C27" s="75"/>
      <c r="D27" s="13"/>
      <c r="E27" s="38"/>
      <c r="F27" s="40"/>
      <c r="G27" s="51"/>
      <c r="H27" s="13"/>
      <c r="I27" s="15"/>
      <c r="J27" s="15"/>
      <c r="K27" s="13"/>
      <c r="L27" s="13"/>
      <c r="M27" s="13"/>
      <c r="N27" s="13"/>
      <c r="O27" s="13"/>
      <c r="P27" s="13"/>
      <c r="Q27" s="13"/>
      <c r="R27" s="13"/>
      <c r="S27" s="113"/>
      <c r="T27" s="64"/>
      <c r="U27" s="103"/>
      <c r="V27" s="13"/>
      <c r="W27" s="75" t="s">
        <v>43</v>
      </c>
    </row>
    <row r="28" spans="1:23" x14ac:dyDescent="0.3">
      <c r="A28" s="75"/>
      <c r="B28" s="12"/>
      <c r="C28" s="75"/>
      <c r="D28" s="13"/>
      <c r="E28" s="38"/>
      <c r="F28" s="40"/>
      <c r="G28" s="51"/>
      <c r="H28" s="13"/>
      <c r="I28" s="15"/>
      <c r="J28" s="15"/>
      <c r="K28" s="13"/>
      <c r="L28" s="13"/>
      <c r="M28" s="13"/>
      <c r="N28" s="13"/>
      <c r="O28" s="13"/>
      <c r="P28" s="13"/>
      <c r="Q28" s="13"/>
      <c r="R28" s="13"/>
      <c r="S28" s="113"/>
      <c r="T28" s="64"/>
      <c r="U28" s="103"/>
      <c r="V28" s="13"/>
      <c r="W28" s="75" t="s">
        <v>43</v>
      </c>
    </row>
    <row r="29" spans="1:23" x14ac:dyDescent="0.3">
      <c r="A29" s="75"/>
      <c r="B29" s="12"/>
      <c r="C29" s="75"/>
      <c r="D29" s="13"/>
      <c r="E29" s="38"/>
      <c r="F29" s="40"/>
      <c r="G29" s="51"/>
      <c r="H29" s="13"/>
      <c r="I29" s="15"/>
      <c r="J29" s="15"/>
      <c r="K29" s="13"/>
      <c r="L29" s="13"/>
      <c r="M29" s="13"/>
      <c r="N29" s="13"/>
      <c r="O29" s="13"/>
      <c r="P29" s="13"/>
      <c r="Q29" s="13"/>
      <c r="R29" s="13"/>
      <c r="S29" s="113"/>
      <c r="T29" s="64"/>
      <c r="U29" s="103"/>
      <c r="V29" s="13"/>
      <c r="W29" s="75" t="s">
        <v>43</v>
      </c>
    </row>
    <row r="30" spans="1:23" x14ac:dyDescent="0.3">
      <c r="A30" s="75"/>
      <c r="B30" s="12"/>
      <c r="C30" s="75"/>
      <c r="D30" s="13"/>
      <c r="E30" s="38"/>
      <c r="F30" s="40"/>
      <c r="G30" s="51"/>
      <c r="H30" s="13"/>
      <c r="I30" s="15"/>
      <c r="J30" s="15"/>
      <c r="K30" s="13"/>
      <c r="L30" s="13"/>
      <c r="M30" s="13"/>
      <c r="N30" s="13"/>
      <c r="O30" s="13"/>
      <c r="P30" s="13"/>
      <c r="Q30" s="13"/>
      <c r="R30" s="13"/>
      <c r="S30" s="113"/>
      <c r="T30" s="64"/>
      <c r="U30" s="103"/>
      <c r="V30" s="13"/>
      <c r="W30" s="75" t="s">
        <v>43</v>
      </c>
    </row>
    <row r="31" spans="1:23" x14ac:dyDescent="0.3">
      <c r="A31" s="75"/>
      <c r="B31" s="12"/>
      <c r="C31" s="75"/>
      <c r="D31" s="13"/>
      <c r="E31" s="38"/>
      <c r="F31" s="40"/>
      <c r="G31" s="51"/>
      <c r="H31" s="13"/>
      <c r="I31" s="15"/>
      <c r="J31" s="15"/>
      <c r="K31" s="13"/>
      <c r="L31" s="13"/>
      <c r="M31" s="13"/>
      <c r="N31" s="13"/>
      <c r="O31" s="13"/>
      <c r="P31" s="13"/>
      <c r="Q31" s="13"/>
      <c r="R31" s="13"/>
      <c r="S31" s="113"/>
      <c r="T31" s="64"/>
      <c r="U31" s="103"/>
      <c r="V31" s="13"/>
      <c r="W31" s="75" t="s">
        <v>43</v>
      </c>
    </row>
    <row r="32" spans="1:23" x14ac:dyDescent="0.3">
      <c r="A32" s="75"/>
      <c r="B32" s="12"/>
      <c r="C32" s="75"/>
      <c r="D32" s="13"/>
      <c r="E32" s="38"/>
      <c r="F32" s="40"/>
      <c r="G32" s="51"/>
      <c r="H32" s="13"/>
      <c r="I32" s="15"/>
      <c r="J32" s="15"/>
      <c r="K32" s="13"/>
      <c r="L32" s="13"/>
      <c r="M32" s="13"/>
      <c r="N32" s="13"/>
      <c r="O32" s="13"/>
      <c r="P32" s="13"/>
      <c r="Q32" s="13"/>
      <c r="R32" s="13"/>
      <c r="S32" s="113"/>
      <c r="T32" s="64"/>
      <c r="U32" s="103"/>
      <c r="V32" s="13"/>
      <c r="W32" s="75" t="s">
        <v>43</v>
      </c>
    </row>
    <row r="33" spans="1:23" x14ac:dyDescent="0.3">
      <c r="A33" s="75"/>
      <c r="B33" s="12"/>
      <c r="C33" s="75"/>
      <c r="D33" s="13"/>
      <c r="E33" s="38"/>
      <c r="F33" s="40"/>
      <c r="G33" s="51"/>
      <c r="H33" s="13"/>
      <c r="I33" s="15"/>
      <c r="J33" s="15"/>
      <c r="K33" s="13"/>
      <c r="L33" s="13"/>
      <c r="M33" s="13"/>
      <c r="N33" s="13"/>
      <c r="O33" s="13"/>
      <c r="P33" s="13"/>
      <c r="Q33" s="13"/>
      <c r="R33" s="13"/>
      <c r="S33" s="113"/>
      <c r="T33" s="64"/>
      <c r="U33" s="103"/>
      <c r="V33" s="13"/>
      <c r="W33" s="75" t="s">
        <v>43</v>
      </c>
    </row>
    <row r="34" spans="1:23" x14ac:dyDescent="0.3">
      <c r="A34" s="75"/>
      <c r="B34" s="12"/>
      <c r="C34" s="75"/>
      <c r="D34" s="13"/>
      <c r="E34" s="38"/>
      <c r="F34" s="40"/>
      <c r="G34" s="51"/>
      <c r="H34" s="13"/>
      <c r="I34" s="15"/>
      <c r="J34" s="15"/>
      <c r="K34" s="13"/>
      <c r="L34" s="13"/>
      <c r="M34" s="13"/>
      <c r="N34" s="13"/>
      <c r="O34" s="13"/>
      <c r="P34" s="13"/>
      <c r="Q34" s="13"/>
      <c r="R34" s="13"/>
      <c r="S34" s="113"/>
      <c r="T34" s="64"/>
      <c r="U34" s="103"/>
      <c r="V34" s="13"/>
      <c r="W34" s="75" t="s">
        <v>43</v>
      </c>
    </row>
    <row r="35" spans="1:23" x14ac:dyDescent="0.3">
      <c r="A35" s="75"/>
      <c r="B35" s="12"/>
      <c r="C35" s="75"/>
      <c r="D35" s="13"/>
      <c r="E35" s="38"/>
      <c r="F35" s="40"/>
      <c r="G35" s="51"/>
      <c r="H35" s="13"/>
      <c r="I35" s="15"/>
      <c r="J35" s="15"/>
      <c r="K35" s="13"/>
      <c r="L35" s="13"/>
      <c r="M35" s="13"/>
      <c r="N35" s="13"/>
      <c r="O35" s="13"/>
      <c r="P35" s="13"/>
      <c r="Q35" s="13"/>
      <c r="R35" s="13"/>
      <c r="S35" s="113"/>
      <c r="T35" s="64"/>
      <c r="U35" s="103"/>
      <c r="V35" s="13"/>
      <c r="W35" s="75" t="s">
        <v>43</v>
      </c>
    </row>
    <row r="36" spans="1:23" x14ac:dyDescent="0.3">
      <c r="A36" s="75"/>
      <c r="B36" s="12"/>
      <c r="C36" s="75"/>
      <c r="D36" s="13"/>
      <c r="E36" s="38"/>
      <c r="F36" s="40"/>
      <c r="G36" s="51"/>
      <c r="H36" s="13"/>
      <c r="I36" s="15"/>
      <c r="J36" s="15"/>
      <c r="K36" s="13"/>
      <c r="L36" s="13"/>
      <c r="M36" s="13"/>
      <c r="N36" s="13"/>
      <c r="O36" s="13"/>
      <c r="P36" s="13"/>
      <c r="Q36" s="13"/>
      <c r="R36" s="13"/>
      <c r="S36" s="113"/>
      <c r="T36" s="64"/>
      <c r="U36" s="103"/>
      <c r="V36" s="13"/>
      <c r="W36" s="75" t="s">
        <v>43</v>
      </c>
    </row>
    <row r="37" spans="1:23" x14ac:dyDescent="0.3">
      <c r="A37" s="75"/>
      <c r="B37" s="12"/>
      <c r="C37" s="75"/>
      <c r="D37" s="13"/>
      <c r="E37" s="38"/>
      <c r="F37" s="40"/>
      <c r="G37" s="51"/>
      <c r="H37" s="13"/>
      <c r="I37" s="15"/>
      <c r="J37" s="15"/>
      <c r="K37" s="13"/>
      <c r="L37" s="13"/>
      <c r="M37" s="13"/>
      <c r="N37" s="13"/>
      <c r="O37" s="13"/>
      <c r="P37" s="13"/>
      <c r="Q37" s="13"/>
      <c r="R37" s="13"/>
      <c r="S37" s="113"/>
      <c r="T37" s="64"/>
      <c r="U37" s="103"/>
      <c r="V37" s="13"/>
      <c r="W37" s="75" t="s">
        <v>43</v>
      </c>
    </row>
    <row r="38" spans="1:23" x14ac:dyDescent="0.3">
      <c r="A38" s="75"/>
      <c r="B38" s="12"/>
      <c r="C38" s="75"/>
      <c r="D38" s="13"/>
      <c r="E38" s="38"/>
      <c r="F38" s="40"/>
      <c r="G38" s="51"/>
      <c r="H38" s="13"/>
      <c r="I38" s="15"/>
      <c r="J38" s="15"/>
      <c r="K38" s="13"/>
      <c r="L38" s="13"/>
      <c r="M38" s="13"/>
      <c r="N38" s="13"/>
      <c r="O38" s="13"/>
      <c r="P38" s="13"/>
      <c r="Q38" s="13"/>
      <c r="R38" s="13"/>
      <c r="S38" s="113"/>
      <c r="T38" s="64"/>
      <c r="U38" s="103"/>
      <c r="V38" s="13"/>
      <c r="W38" s="75" t="s">
        <v>43</v>
      </c>
    </row>
    <row r="39" spans="1:23" x14ac:dyDescent="0.3">
      <c r="A39" s="75"/>
      <c r="B39" s="12"/>
      <c r="C39" s="75"/>
      <c r="D39" s="13"/>
      <c r="E39" s="38"/>
      <c r="F39" s="40"/>
      <c r="G39" s="51"/>
      <c r="H39" s="13"/>
      <c r="I39" s="15"/>
      <c r="J39" s="15"/>
      <c r="K39" s="13"/>
      <c r="L39" s="13"/>
      <c r="M39" s="13"/>
      <c r="N39" s="13"/>
      <c r="O39" s="13"/>
      <c r="P39" s="13"/>
      <c r="Q39" s="13"/>
      <c r="R39" s="13"/>
      <c r="S39" s="113"/>
      <c r="T39" s="64"/>
      <c r="U39" s="103"/>
      <c r="V39" s="13"/>
      <c r="W39" s="75" t="s">
        <v>43</v>
      </c>
    </row>
    <row r="40" spans="1:23" x14ac:dyDescent="0.3">
      <c r="A40" s="75"/>
      <c r="B40" s="12"/>
      <c r="C40" s="75"/>
      <c r="D40" s="13"/>
      <c r="E40" s="38"/>
      <c r="F40" s="40"/>
      <c r="G40" s="51"/>
      <c r="H40" s="13"/>
      <c r="I40" s="15"/>
      <c r="J40" s="15"/>
      <c r="K40" s="13"/>
      <c r="L40" s="13"/>
      <c r="M40" s="13"/>
      <c r="N40" s="13"/>
      <c r="O40" s="13"/>
      <c r="P40" s="13"/>
      <c r="Q40" s="13"/>
      <c r="R40" s="13"/>
      <c r="S40" s="113"/>
      <c r="T40" s="64"/>
      <c r="U40" s="103"/>
      <c r="V40" s="13"/>
      <c r="W40" s="75" t="s">
        <v>43</v>
      </c>
    </row>
    <row r="41" spans="1:23" x14ac:dyDescent="0.3">
      <c r="A41" s="75"/>
      <c r="B41" s="12"/>
      <c r="C41" s="75"/>
      <c r="D41" s="13"/>
      <c r="E41" s="38"/>
      <c r="F41" s="40"/>
      <c r="G41" s="51"/>
      <c r="H41" s="13"/>
      <c r="I41" s="15"/>
      <c r="J41" s="15"/>
      <c r="K41" s="13"/>
      <c r="L41" s="13"/>
      <c r="M41" s="13"/>
      <c r="N41" s="13"/>
      <c r="O41" s="13"/>
      <c r="P41" s="13"/>
      <c r="Q41" s="13"/>
      <c r="R41" s="13"/>
      <c r="S41" s="113"/>
      <c r="T41" s="64"/>
      <c r="U41" s="103"/>
      <c r="V41" s="13"/>
      <c r="W41" s="75" t="s">
        <v>43</v>
      </c>
    </row>
    <row r="42" spans="1:23" x14ac:dyDescent="0.3">
      <c r="A42" s="75"/>
      <c r="B42" s="12"/>
      <c r="C42" s="75"/>
      <c r="D42" s="13"/>
      <c r="E42" s="38"/>
      <c r="F42" s="40"/>
      <c r="G42" s="51"/>
      <c r="H42" s="13"/>
      <c r="I42" s="15"/>
      <c r="J42" s="15"/>
      <c r="K42" s="13"/>
      <c r="L42" s="13"/>
      <c r="M42" s="13"/>
      <c r="N42" s="13"/>
      <c r="O42" s="13"/>
      <c r="P42" s="13"/>
      <c r="Q42" s="13"/>
      <c r="R42" s="13"/>
      <c r="S42" s="113"/>
      <c r="T42" s="64"/>
      <c r="U42" s="103"/>
      <c r="V42" s="13"/>
      <c r="W42" s="75" t="s">
        <v>43</v>
      </c>
    </row>
    <row r="43" spans="1:23" x14ac:dyDescent="0.3">
      <c r="A43" s="75"/>
      <c r="B43" s="12"/>
      <c r="C43" s="75"/>
      <c r="D43" s="13"/>
      <c r="E43" s="38"/>
      <c r="F43" s="40"/>
      <c r="G43" s="51"/>
      <c r="H43" s="13"/>
      <c r="I43" s="15"/>
      <c r="J43" s="15"/>
      <c r="K43" s="13"/>
      <c r="L43" s="13"/>
      <c r="M43" s="13"/>
      <c r="N43" s="13"/>
      <c r="O43" s="13"/>
      <c r="P43" s="13"/>
      <c r="Q43" s="13"/>
      <c r="R43" s="13"/>
      <c r="S43" s="113"/>
      <c r="T43" s="64"/>
      <c r="U43" s="103"/>
      <c r="V43" s="13"/>
      <c r="W43" s="75" t="s">
        <v>43</v>
      </c>
    </row>
    <row r="44" spans="1:23" x14ac:dyDescent="0.3">
      <c r="A44" s="75"/>
      <c r="B44" s="12"/>
      <c r="C44" s="75"/>
      <c r="D44" s="13"/>
      <c r="E44" s="38"/>
      <c r="F44" s="40"/>
      <c r="G44" s="51"/>
      <c r="H44" s="13"/>
      <c r="I44" s="15"/>
      <c r="J44" s="15"/>
      <c r="K44" s="13"/>
      <c r="L44" s="13"/>
      <c r="M44" s="13"/>
      <c r="N44" s="13"/>
      <c r="O44" s="13"/>
      <c r="P44" s="13"/>
      <c r="Q44" s="13"/>
      <c r="R44" s="13"/>
      <c r="S44" s="113"/>
      <c r="T44" s="64"/>
      <c r="U44" s="103"/>
      <c r="V44" s="13"/>
      <c r="W44" s="75" t="s">
        <v>43</v>
      </c>
    </row>
    <row r="45" spans="1:23" x14ac:dyDescent="0.3">
      <c r="A45" s="75" t="str">
        <f>IF(DSP[[#This Row],[Data Monitoria]]="","",((((WEEKNUM(B45)-WEEKNUM(DATE(YEAR(B45),MONTH(B45),1))+1)))))</f>
        <v/>
      </c>
      <c r="B45" s="12"/>
      <c r="C45" s="13"/>
      <c r="D45" s="13"/>
      <c r="E45" s="13"/>
      <c r="F45" s="70" t="str">
        <f>IF(PANVEL[[#This Row],[Produtos]]="","",((VLOOKUP(E45,'TAB PROD'!B:D,3,))))</f>
        <v/>
      </c>
      <c r="G45" s="14" t="str">
        <f>IF(PANVEL[[#This Row],[Produtos]]="","",((VLOOKUP(E45,'TAB PROD'!B:C,2,))))</f>
        <v/>
      </c>
      <c r="H45" s="13"/>
      <c r="I45" s="15"/>
      <c r="J45" s="15"/>
      <c r="K45" s="13"/>
      <c r="L45" s="13"/>
      <c r="M45" s="13"/>
      <c r="N45" s="13"/>
      <c r="O45" s="13"/>
      <c r="P45" s="13"/>
      <c r="Q45" s="13"/>
      <c r="R45" s="13"/>
      <c r="S45" s="13"/>
      <c r="T45" s="64"/>
      <c r="U45" s="21" t="str">
        <f>IF(DSP[[#This Row],[Abertura de chamado]]="","",NETWORKDAYS(DSP[[#This Row],[Abertura de chamado]],U$6))</f>
        <v/>
      </c>
      <c r="V45" s="13"/>
      <c r="W45" s="75" t="s">
        <v>43</v>
      </c>
    </row>
    <row r="46" spans="1:23" x14ac:dyDescent="0.3">
      <c r="A46" s="75" t="str">
        <f>IF(DSP[[#This Row],[Data Monitoria]]="","",((((WEEKNUM(B46)-WEEKNUM(DATE(YEAR(B46),MONTH(B46),1))+1)))))</f>
        <v/>
      </c>
      <c r="B46" s="12"/>
      <c r="C46" s="13"/>
      <c r="D46" s="13"/>
      <c r="E46" s="13"/>
      <c r="F46" s="70" t="str">
        <f>IF(PANVEL[[#This Row],[Produtos]]="","",((VLOOKUP(E46,'TAB PROD'!B:D,3,))))</f>
        <v/>
      </c>
      <c r="G46" s="14" t="str">
        <f>IF(PANVEL[[#This Row],[Produtos]]="","",((VLOOKUP(E46,'TAB PROD'!B:C,2,))))</f>
        <v/>
      </c>
      <c r="H46" s="13"/>
      <c r="I46" s="15"/>
      <c r="J46" s="15"/>
      <c r="K46" s="13"/>
      <c r="L46" s="13"/>
      <c r="M46" s="13"/>
      <c r="N46" s="13"/>
      <c r="O46" s="13"/>
      <c r="P46" s="13"/>
      <c r="Q46" s="13"/>
      <c r="R46" s="13"/>
      <c r="S46" s="13"/>
      <c r="T46" s="64"/>
      <c r="U46" s="21" t="str">
        <f>IF(DSP[[#This Row],[Abertura de chamado]]="","",NETWORKDAYS(DSP[[#This Row],[Abertura de chamado]],U$6))</f>
        <v/>
      </c>
      <c r="V46" s="13"/>
      <c r="W46" s="75" t="s">
        <v>43</v>
      </c>
    </row>
    <row r="47" spans="1:23" x14ac:dyDescent="0.3">
      <c r="A47" s="75" t="str">
        <f>IF(DSP[[#This Row],[Data Monitoria]]="","",((((WEEKNUM(B47)-WEEKNUM(DATE(YEAR(B47),MONTH(B47),1))+1)))))</f>
        <v/>
      </c>
      <c r="B47" s="12"/>
      <c r="C47" s="13"/>
      <c r="D47" s="13"/>
      <c r="E47" s="13"/>
      <c r="F47" s="70" t="str">
        <f>IF(PANVEL[[#This Row],[Produtos]]="","",((VLOOKUP(E47,'TAB PROD'!B:D,3,))))</f>
        <v/>
      </c>
      <c r="G47" s="14" t="str">
        <f>IF(PANVEL[[#This Row],[Produtos]]="","",((VLOOKUP(E47,'TAB PROD'!B:C,2,))))</f>
        <v/>
      </c>
      <c r="H47" s="13"/>
      <c r="I47" s="15"/>
      <c r="J47" s="15"/>
      <c r="K47" s="13"/>
      <c r="L47" s="13"/>
      <c r="M47" s="13"/>
      <c r="N47" s="13"/>
      <c r="O47" s="13"/>
      <c r="P47" s="13"/>
      <c r="Q47" s="13"/>
      <c r="R47" s="13"/>
      <c r="S47" s="13"/>
      <c r="T47" s="64"/>
      <c r="U47" s="21" t="str">
        <f>IF(DSP[[#This Row],[Abertura de chamado]]="","",NETWORKDAYS(DSP[[#This Row],[Abertura de chamado]],U$6))</f>
        <v/>
      </c>
      <c r="V47" s="13"/>
      <c r="W47" s="75" t="s">
        <v>43</v>
      </c>
    </row>
    <row r="48" spans="1:23" x14ac:dyDescent="0.3">
      <c r="A48" s="75" t="str">
        <f>IF(DSP[[#This Row],[Data Monitoria]]="","",((((WEEKNUM(B48)-WEEKNUM(DATE(YEAR(B48),MONTH(B48),1))+1)))))</f>
        <v/>
      </c>
      <c r="B48" s="12"/>
      <c r="C48" s="13"/>
      <c r="D48" s="13"/>
      <c r="E48" s="13"/>
      <c r="F48" s="70" t="str">
        <f>IF(PANVEL[[#This Row],[Produtos]]="","",((VLOOKUP(E48,'TAB PROD'!B:D,3,))))</f>
        <v/>
      </c>
      <c r="G48" s="14" t="str">
        <f>IF(PANVEL[[#This Row],[Produtos]]="","",((VLOOKUP(E48,'TAB PROD'!B:C,2,))))</f>
        <v/>
      </c>
      <c r="H48" s="13"/>
      <c r="I48" s="15"/>
      <c r="J48" s="15"/>
      <c r="K48" s="13"/>
      <c r="L48" s="13"/>
      <c r="M48" s="13"/>
      <c r="N48" s="13"/>
      <c r="O48" s="13"/>
      <c r="P48" s="13"/>
      <c r="Q48" s="13"/>
      <c r="R48" s="13"/>
      <c r="S48" s="13"/>
      <c r="T48" s="64"/>
      <c r="U48" s="21" t="str">
        <f>IF(DSP[[#This Row],[Abertura de chamado]]="","",NETWORKDAYS(DSP[[#This Row],[Abertura de chamado]],U$6))</f>
        <v/>
      </c>
      <c r="V48" s="13"/>
      <c r="W48" s="75" t="s">
        <v>43</v>
      </c>
    </row>
    <row r="49" spans="1:23" x14ac:dyDescent="0.3">
      <c r="A49" s="75" t="str">
        <f>IF(DSP[[#This Row],[Data Monitoria]]="","",((((WEEKNUM(B49)-WEEKNUM(DATE(YEAR(B49),MONTH(B49),1))+1)))))</f>
        <v/>
      </c>
      <c r="B49" s="12"/>
      <c r="C49" s="13"/>
      <c r="D49" s="13"/>
      <c r="E49" s="13"/>
      <c r="F49" s="70" t="str">
        <f>IF(PANVEL[[#This Row],[Produtos]]="","",((VLOOKUP(E49,'TAB PROD'!B:D,3,))))</f>
        <v/>
      </c>
      <c r="G49" s="14" t="str">
        <f>IF(PANVEL[[#This Row],[Produtos]]="","",((VLOOKUP(E49,'TAB PROD'!B:C,2,))))</f>
        <v/>
      </c>
      <c r="H49" s="13"/>
      <c r="I49" s="15"/>
      <c r="J49" s="15"/>
      <c r="K49" s="13"/>
      <c r="L49" s="13"/>
      <c r="M49" s="13"/>
      <c r="N49" s="13"/>
      <c r="O49" s="13"/>
      <c r="P49" s="13"/>
      <c r="Q49" s="13"/>
      <c r="R49" s="13"/>
      <c r="S49" s="13"/>
      <c r="T49" s="64"/>
      <c r="U49" s="21" t="str">
        <f>IF(DSP[[#This Row],[Abertura de chamado]]="","",NETWORKDAYS(DSP[[#This Row],[Abertura de chamado]],U$6))</f>
        <v/>
      </c>
      <c r="V49" s="13"/>
      <c r="W49" s="75" t="s">
        <v>43</v>
      </c>
    </row>
    <row r="50" spans="1:23" x14ac:dyDescent="0.3">
      <c r="A50" s="75" t="str">
        <f>IF(DSP[[#This Row],[Data Monitoria]]="","",((((WEEKNUM(B50)-WEEKNUM(DATE(YEAR(B50),MONTH(B50),1))+1)))))</f>
        <v/>
      </c>
      <c r="B50" s="12"/>
      <c r="C50" s="13"/>
      <c r="D50" s="13"/>
      <c r="E50" s="13"/>
      <c r="F50" s="70" t="str">
        <f>IF(PANVEL[[#This Row],[Produtos]]="","",((VLOOKUP(E50,'TAB PROD'!B:D,3,))))</f>
        <v/>
      </c>
      <c r="G50" s="14" t="str">
        <f>IF(PANVEL[[#This Row],[Produtos]]="","",((VLOOKUP(E50,'TAB PROD'!B:C,2,))))</f>
        <v/>
      </c>
      <c r="H50" s="13"/>
      <c r="I50" s="15"/>
      <c r="J50" s="15"/>
      <c r="K50" s="13"/>
      <c r="L50" s="13"/>
      <c r="M50" s="13"/>
      <c r="N50" s="13"/>
      <c r="O50" s="13"/>
      <c r="P50" s="13"/>
      <c r="Q50" s="13"/>
      <c r="R50" s="13"/>
      <c r="S50" s="13"/>
      <c r="T50" s="64"/>
      <c r="U50" s="21" t="str">
        <f>IF(DSP[[#This Row],[Abertura de chamado]]="","",NETWORKDAYS(DSP[[#This Row],[Abertura de chamado]],U$6))</f>
        <v/>
      </c>
      <c r="V50" s="13"/>
      <c r="W50" s="75" t="s">
        <v>43</v>
      </c>
    </row>
    <row r="51" spans="1:23" x14ac:dyDescent="0.3">
      <c r="A51" s="75" t="str">
        <f>IF(DSP[[#This Row],[Data Monitoria]]="","",((((WEEKNUM(B51)-WEEKNUM(DATE(YEAR(B51),MONTH(B51),1))+1)))))</f>
        <v/>
      </c>
      <c r="B51" s="12"/>
      <c r="C51" s="13"/>
      <c r="D51" s="13"/>
      <c r="E51" s="13"/>
      <c r="F51" s="70" t="str">
        <f>IF(PANVEL[[#This Row],[Produtos]]="","",((VLOOKUP(E51,'TAB PROD'!B:D,3,))))</f>
        <v/>
      </c>
      <c r="G51" s="14" t="str">
        <f>IF(PANVEL[[#This Row],[Produtos]]="","",((VLOOKUP(E51,'TAB PROD'!B:C,2,))))</f>
        <v/>
      </c>
      <c r="H51" s="13"/>
      <c r="I51" s="15"/>
      <c r="J51" s="15"/>
      <c r="K51" s="13"/>
      <c r="L51" s="13"/>
      <c r="M51" s="13"/>
      <c r="N51" s="13"/>
      <c r="O51" s="13"/>
      <c r="P51" s="13"/>
      <c r="Q51" s="13"/>
      <c r="R51" s="13"/>
      <c r="S51" s="13"/>
      <c r="T51" s="64"/>
      <c r="U51" s="21" t="str">
        <f>IF(DSP[[#This Row],[Abertura de chamado]]="","",NETWORKDAYS(DSP[[#This Row],[Abertura de chamado]],U$6))</f>
        <v/>
      </c>
      <c r="V51" s="13"/>
      <c r="W51" s="75" t="s">
        <v>43</v>
      </c>
    </row>
    <row r="52" spans="1:23" x14ac:dyDescent="0.3">
      <c r="A52" s="75" t="str">
        <f>IF(DSP[[#This Row],[Data Monitoria]]="","",((((WEEKNUM(B52)-WEEKNUM(DATE(YEAR(B52),MONTH(B52),1))+1)))))</f>
        <v/>
      </c>
      <c r="B52" s="12"/>
      <c r="C52" s="13"/>
      <c r="D52" s="13"/>
      <c r="E52" s="13"/>
      <c r="F52" s="70" t="str">
        <f>IF(PANVEL[[#This Row],[Produtos]]="","",((VLOOKUP(E52,'TAB PROD'!B:D,3,))))</f>
        <v/>
      </c>
      <c r="G52" s="14" t="str">
        <f>IF(PANVEL[[#This Row],[Produtos]]="","",((VLOOKUP(E52,'TAB PROD'!B:C,2,))))</f>
        <v/>
      </c>
      <c r="H52" s="13"/>
      <c r="I52" s="15"/>
      <c r="J52" s="15"/>
      <c r="K52" s="13"/>
      <c r="L52" s="13"/>
      <c r="M52" s="13"/>
      <c r="N52" s="13"/>
      <c r="O52" s="13"/>
      <c r="P52" s="13"/>
      <c r="Q52" s="13"/>
      <c r="R52" s="13"/>
      <c r="S52" s="13"/>
      <c r="T52" s="64"/>
      <c r="U52" s="21" t="str">
        <f>IF(DSP[[#This Row],[Abertura de chamado]]="","",NETWORKDAYS(DSP[[#This Row],[Abertura de chamado]],U$6))</f>
        <v/>
      </c>
      <c r="V52" s="13"/>
      <c r="W52" s="75" t="s">
        <v>43</v>
      </c>
    </row>
    <row r="53" spans="1:23" x14ac:dyDescent="0.3">
      <c r="A53" s="75" t="str">
        <f>IF(DSP[[#This Row],[Data Monitoria]]="","",((((WEEKNUM(B53)-WEEKNUM(DATE(YEAR(B53),MONTH(B53),1))+1)))))</f>
        <v/>
      </c>
      <c r="B53" s="12"/>
      <c r="C53" s="13"/>
      <c r="D53" s="13"/>
      <c r="E53" s="13"/>
      <c r="F53" s="70" t="str">
        <f>IF(PANVEL[[#This Row],[Produtos]]="","",((VLOOKUP(E53,'TAB PROD'!B:D,3,))))</f>
        <v/>
      </c>
      <c r="G53" s="14" t="str">
        <f>IF(PANVEL[[#This Row],[Produtos]]="","",((VLOOKUP(E53,'TAB PROD'!B:C,2,))))</f>
        <v/>
      </c>
      <c r="H53" s="13"/>
      <c r="I53" s="15"/>
      <c r="J53" s="15"/>
      <c r="K53" s="13"/>
      <c r="L53" s="13"/>
      <c r="M53" s="13"/>
      <c r="N53" s="13"/>
      <c r="O53" s="13"/>
      <c r="P53" s="13"/>
      <c r="Q53" s="13"/>
      <c r="R53" s="13"/>
      <c r="S53" s="13"/>
      <c r="T53" s="64"/>
      <c r="U53" s="21" t="str">
        <f>IF(DSP[[#This Row],[Abertura de chamado]]="","",NETWORKDAYS(DSP[[#This Row],[Abertura de chamado]],U$6))</f>
        <v/>
      </c>
      <c r="V53" s="13"/>
      <c r="W53" s="75" t="s">
        <v>43</v>
      </c>
    </row>
    <row r="54" spans="1:23" x14ac:dyDescent="0.3">
      <c r="A54" s="75" t="str">
        <f>IF(DSP[[#This Row],[Data Monitoria]]="","",((((WEEKNUM(B54)-WEEKNUM(DATE(YEAR(B54),MONTH(B54),1))+1)))))</f>
        <v/>
      </c>
      <c r="B54" s="12"/>
      <c r="C54" s="13"/>
      <c r="D54" s="13"/>
      <c r="E54" s="13"/>
      <c r="F54" s="70" t="str">
        <f>IF(PANVEL[[#This Row],[Produtos]]="","",((VLOOKUP(E54,'TAB PROD'!B:D,3,))))</f>
        <v/>
      </c>
      <c r="G54" s="14" t="str">
        <f>IF(PANVEL[[#This Row],[Produtos]]="","",((VLOOKUP(E54,'TAB PROD'!B:C,2,))))</f>
        <v/>
      </c>
      <c r="H54" s="13"/>
      <c r="I54" s="15"/>
      <c r="J54" s="15"/>
      <c r="K54" s="13"/>
      <c r="L54" s="13"/>
      <c r="M54" s="13"/>
      <c r="N54" s="13"/>
      <c r="O54" s="13"/>
      <c r="P54" s="13"/>
      <c r="Q54" s="13"/>
      <c r="R54" s="13"/>
      <c r="S54" s="13"/>
      <c r="T54" s="64"/>
      <c r="U54" s="21" t="str">
        <f>IF(DSP[[#This Row],[Abertura de chamado]]="","",NETWORKDAYS(DSP[[#This Row],[Abertura de chamado]],U$6))</f>
        <v/>
      </c>
      <c r="V54" s="13"/>
      <c r="W54" s="75" t="s">
        <v>43</v>
      </c>
    </row>
    <row r="55" spans="1:23" x14ac:dyDescent="0.3">
      <c r="A55" s="75" t="str">
        <f>IF(DSP[[#This Row],[Data Monitoria]]="","",((((WEEKNUM(B55)-WEEKNUM(DATE(YEAR(B55),MONTH(B55),1))+1)))))</f>
        <v/>
      </c>
      <c r="B55" s="12"/>
      <c r="C55" s="13"/>
      <c r="D55" s="13"/>
      <c r="E55" s="13"/>
      <c r="F55" s="70" t="str">
        <f>IF(PANVEL[[#This Row],[Produtos]]="","",((VLOOKUP(E55,'TAB PROD'!B:D,3,))))</f>
        <v/>
      </c>
      <c r="G55" s="14" t="str">
        <f>IF(PANVEL[[#This Row],[Produtos]]="","",((VLOOKUP(E55,'TAB PROD'!B:C,2,))))</f>
        <v/>
      </c>
      <c r="H55" s="13"/>
      <c r="I55" s="15"/>
      <c r="J55" s="15"/>
      <c r="K55" s="13"/>
      <c r="L55" s="13"/>
      <c r="M55" s="13"/>
      <c r="N55" s="13"/>
      <c r="O55" s="13"/>
      <c r="P55" s="13"/>
      <c r="Q55" s="13"/>
      <c r="R55" s="13"/>
      <c r="S55" s="13"/>
      <c r="T55" s="64"/>
      <c r="U55" s="21" t="str">
        <f>IF(DSP[[#This Row],[Abertura de chamado]]="","",NETWORKDAYS(DSP[[#This Row],[Abertura de chamado]],U$6))</f>
        <v/>
      </c>
      <c r="V55" s="13"/>
      <c r="W55" s="75" t="s">
        <v>43</v>
      </c>
    </row>
    <row r="56" spans="1:23" x14ac:dyDescent="0.3">
      <c r="A56" s="75" t="str">
        <f>IF(DSP[[#This Row],[Data Monitoria]]="","",((((WEEKNUM(B56)-WEEKNUM(DATE(YEAR(B56),MONTH(B56),1))+1)))))</f>
        <v/>
      </c>
      <c r="B56" s="12"/>
      <c r="C56" s="13"/>
      <c r="D56" s="13"/>
      <c r="E56" s="13"/>
      <c r="F56" s="70" t="str">
        <f>IF(PANVEL[[#This Row],[Produtos]]="","",((VLOOKUP(E56,'TAB PROD'!B:D,3,))))</f>
        <v/>
      </c>
      <c r="G56" s="14" t="str">
        <f>IF(PANVEL[[#This Row],[Produtos]]="","",((VLOOKUP(E56,'TAB PROD'!B:C,2,))))</f>
        <v/>
      </c>
      <c r="H56" s="13"/>
      <c r="I56" s="15"/>
      <c r="J56" s="15"/>
      <c r="K56" s="13"/>
      <c r="L56" s="13"/>
      <c r="M56" s="13"/>
      <c r="N56" s="13"/>
      <c r="O56" s="13"/>
      <c r="P56" s="13"/>
      <c r="Q56" s="13"/>
      <c r="R56" s="13"/>
      <c r="S56" s="13"/>
      <c r="T56" s="64"/>
      <c r="U56" s="21" t="str">
        <f>IF(DSP[[#This Row],[Abertura de chamado]]="","",NETWORKDAYS(DSP[[#This Row],[Abertura de chamado]],U$6))</f>
        <v/>
      </c>
      <c r="V56" s="13"/>
      <c r="W56" s="75" t="s">
        <v>43</v>
      </c>
    </row>
    <row r="57" spans="1:23" x14ac:dyDescent="0.3">
      <c r="A57" s="75" t="str">
        <f>IF(DSP[[#This Row],[Data Monitoria]]="","",((((WEEKNUM(B57)-WEEKNUM(DATE(YEAR(B57),MONTH(B57),1))+1)))))</f>
        <v/>
      </c>
      <c r="B57" s="12"/>
      <c r="C57" s="13"/>
      <c r="D57" s="13"/>
      <c r="E57" s="13"/>
      <c r="F57" s="70" t="str">
        <f>IF(PANVEL[[#This Row],[Produtos]]="","",((VLOOKUP(E57,'TAB PROD'!B:D,3,))))</f>
        <v/>
      </c>
      <c r="G57" s="14" t="str">
        <f>IF(PANVEL[[#This Row],[Produtos]]="","",((VLOOKUP(E57,'TAB PROD'!B:C,2,))))</f>
        <v/>
      </c>
      <c r="H57" s="13"/>
      <c r="I57" s="15"/>
      <c r="J57" s="15"/>
      <c r="K57" s="13"/>
      <c r="L57" s="13"/>
      <c r="M57" s="13"/>
      <c r="N57" s="13"/>
      <c r="O57" s="13"/>
      <c r="P57" s="13"/>
      <c r="Q57" s="13"/>
      <c r="R57" s="13"/>
      <c r="S57" s="13"/>
      <c r="T57" s="64"/>
      <c r="U57" s="21" t="str">
        <f>IF(DSP[[#This Row],[Abertura de chamado]]="","",NETWORKDAYS(DSP[[#This Row],[Abertura de chamado]],U$6))</f>
        <v/>
      </c>
      <c r="V57" s="13"/>
      <c r="W57" s="75" t="s">
        <v>43</v>
      </c>
    </row>
    <row r="58" spans="1:23" x14ac:dyDescent="0.3">
      <c r="A58" s="75" t="str">
        <f>IF(DSP[[#This Row],[Data Monitoria]]="","",((((WEEKNUM(B58)-WEEKNUM(DATE(YEAR(B58),MONTH(B58),1))+1)))))</f>
        <v/>
      </c>
      <c r="B58" s="12"/>
      <c r="C58" s="13"/>
      <c r="D58" s="13"/>
      <c r="E58" s="13"/>
      <c r="F58" s="70" t="str">
        <f>IF(PANVEL[[#This Row],[Produtos]]="","",((VLOOKUP(E58,'TAB PROD'!B:D,3,))))</f>
        <v/>
      </c>
      <c r="G58" s="14" t="str">
        <f>IF(PANVEL[[#This Row],[Produtos]]="","",((VLOOKUP(E58,'TAB PROD'!B:C,2,))))</f>
        <v/>
      </c>
      <c r="H58" s="13"/>
      <c r="I58" s="15"/>
      <c r="J58" s="15"/>
      <c r="K58" s="13"/>
      <c r="L58" s="13"/>
      <c r="M58" s="13"/>
      <c r="N58" s="13"/>
      <c r="O58" s="13"/>
      <c r="P58" s="13"/>
      <c r="Q58" s="13"/>
      <c r="R58" s="13"/>
      <c r="S58" s="13"/>
      <c r="T58" s="64"/>
      <c r="U58" s="21" t="str">
        <f>IF(DSP[[#This Row],[Abertura de chamado]]="","",NETWORKDAYS(DSP[[#This Row],[Abertura de chamado]],U$6))</f>
        <v/>
      </c>
      <c r="V58" s="13"/>
      <c r="W58" s="75" t="s">
        <v>43</v>
      </c>
    </row>
    <row r="59" spans="1:23" x14ac:dyDescent="0.3">
      <c r="A59" s="75" t="str">
        <f>IF(DSP[[#This Row],[Data Monitoria]]="","",((((WEEKNUM(B59)-WEEKNUM(DATE(YEAR(B59),MONTH(B59),1))+1)))))</f>
        <v/>
      </c>
      <c r="B59" s="12"/>
      <c r="C59" s="13"/>
      <c r="D59" s="13"/>
      <c r="E59" s="13"/>
      <c r="F59" s="70" t="str">
        <f>IF(PANVEL[[#This Row],[Produtos]]="","",((VLOOKUP(E59,'TAB PROD'!B:D,3,))))</f>
        <v/>
      </c>
      <c r="G59" s="14" t="str">
        <f>IF(PANVEL[[#This Row],[Produtos]]="","",((VLOOKUP(E59,'TAB PROD'!B:C,2,))))</f>
        <v/>
      </c>
      <c r="H59" s="13"/>
      <c r="I59" s="15"/>
      <c r="J59" s="15"/>
      <c r="K59" s="13"/>
      <c r="L59" s="13"/>
      <c r="M59" s="13"/>
      <c r="N59" s="13"/>
      <c r="O59" s="13"/>
      <c r="P59" s="13"/>
      <c r="Q59" s="13"/>
      <c r="R59" s="13"/>
      <c r="S59" s="13"/>
      <c r="T59" s="64"/>
      <c r="U59" s="21" t="str">
        <f>IF(DSP[[#This Row],[Abertura de chamado]]="","",NETWORKDAYS(DSP[[#This Row],[Abertura de chamado]],U$6))</f>
        <v/>
      </c>
      <c r="V59" s="13"/>
      <c r="W59" s="75" t="s">
        <v>43</v>
      </c>
    </row>
    <row r="60" spans="1:23" x14ac:dyDescent="0.3">
      <c r="A60" s="75" t="str">
        <f>IF(DSP[[#This Row],[Data Monitoria]]="","",((((WEEKNUM(B60)-WEEKNUM(DATE(YEAR(B60),MONTH(B60),1))+1)))))</f>
        <v/>
      </c>
      <c r="B60" s="12"/>
      <c r="C60" s="13"/>
      <c r="D60" s="13"/>
      <c r="E60" s="13"/>
      <c r="F60" s="70" t="str">
        <f>IF(PANVEL[[#This Row],[Produtos]]="","",((VLOOKUP(E60,'TAB PROD'!B:D,3,))))</f>
        <v/>
      </c>
      <c r="G60" s="14" t="str">
        <f>IF(PANVEL[[#This Row],[Produtos]]="","",((VLOOKUP(E60,'TAB PROD'!B:C,2,))))</f>
        <v/>
      </c>
      <c r="H60" s="13"/>
      <c r="I60" s="15"/>
      <c r="J60" s="15"/>
      <c r="K60" s="13"/>
      <c r="L60" s="13"/>
      <c r="M60" s="13"/>
      <c r="N60" s="13"/>
      <c r="O60" s="13"/>
      <c r="P60" s="13"/>
      <c r="Q60" s="13"/>
      <c r="R60" s="13"/>
      <c r="S60" s="13"/>
      <c r="T60" s="64"/>
      <c r="U60" s="21" t="str">
        <f>IF(DSP[[#This Row],[Abertura de chamado]]="","",NETWORKDAYS(DSP[[#This Row],[Abertura de chamado]],U$6))</f>
        <v/>
      </c>
      <c r="V60" s="13"/>
      <c r="W60" s="75" t="s">
        <v>43</v>
      </c>
    </row>
    <row r="61" spans="1:23" x14ac:dyDescent="0.3">
      <c r="A61" s="75" t="str">
        <f>IF(DSP[[#This Row],[Data Monitoria]]="","",((((WEEKNUM(B61)-WEEKNUM(DATE(YEAR(B61),MONTH(B61),1))+1)))))</f>
        <v/>
      </c>
      <c r="B61" s="12"/>
      <c r="C61" s="13"/>
      <c r="D61" s="13"/>
      <c r="E61" s="13"/>
      <c r="F61" s="70" t="str">
        <f>IF(PANVEL[[#This Row],[Produtos]]="","",((VLOOKUP(E61,'TAB PROD'!B:D,3,))))</f>
        <v/>
      </c>
      <c r="G61" s="14" t="str">
        <f>IF(PANVEL[[#This Row],[Produtos]]="","",((VLOOKUP(E61,'TAB PROD'!B:C,2,))))</f>
        <v/>
      </c>
      <c r="H61" s="13"/>
      <c r="I61" s="15"/>
      <c r="J61" s="15"/>
      <c r="K61" s="13"/>
      <c r="L61" s="13"/>
      <c r="M61" s="13"/>
      <c r="N61" s="13"/>
      <c r="O61" s="13"/>
      <c r="P61" s="13"/>
      <c r="Q61" s="13"/>
      <c r="R61" s="13"/>
      <c r="S61" s="13"/>
      <c r="T61" s="64"/>
      <c r="U61" s="21" t="str">
        <f>IF(DSP[[#This Row],[Abertura de chamado]]="","",NETWORKDAYS(DSP[[#This Row],[Abertura de chamado]],U$6))</f>
        <v/>
      </c>
      <c r="V61" s="13"/>
      <c r="W61" s="75" t="s">
        <v>43</v>
      </c>
    </row>
    <row r="62" spans="1:23" x14ac:dyDescent="0.3">
      <c r="A62" s="75" t="str">
        <f>IF(DSP[[#This Row],[Data Monitoria]]="","",((((WEEKNUM(B62)-WEEKNUM(DATE(YEAR(B62),MONTH(B62),1))+1)))))</f>
        <v/>
      </c>
      <c r="B62" s="12"/>
      <c r="C62" s="13"/>
      <c r="D62" s="13"/>
      <c r="E62" s="13"/>
      <c r="F62" s="70" t="str">
        <f>IF(PANVEL[[#This Row],[Produtos]]="","",((VLOOKUP(E62,'TAB PROD'!B:D,3,))))</f>
        <v/>
      </c>
      <c r="G62" s="14" t="str">
        <f>IF(PANVEL[[#This Row],[Produtos]]="","",((VLOOKUP(E62,'TAB PROD'!B:C,2,))))</f>
        <v/>
      </c>
      <c r="H62" s="13"/>
      <c r="I62" s="15"/>
      <c r="J62" s="15"/>
      <c r="K62" s="13"/>
      <c r="L62" s="13"/>
      <c r="M62" s="13"/>
      <c r="N62" s="13"/>
      <c r="O62" s="13"/>
      <c r="P62" s="13"/>
      <c r="Q62" s="13"/>
      <c r="R62" s="13"/>
      <c r="S62" s="13"/>
      <c r="T62" s="64"/>
      <c r="U62" s="21" t="str">
        <f>IF(DSP[[#This Row],[Abertura de chamado]]="","",NETWORKDAYS(DSP[[#This Row],[Abertura de chamado]],U$6))</f>
        <v/>
      </c>
      <c r="V62" s="13"/>
      <c r="W62" s="75" t="s">
        <v>43</v>
      </c>
    </row>
    <row r="63" spans="1:23" x14ac:dyDescent="0.3">
      <c r="A63" s="75" t="str">
        <f>IF(DSP[[#This Row],[Data Monitoria]]="","",((((WEEKNUM(B63)-WEEKNUM(DATE(YEAR(B63),MONTH(B63),1))+1)))))</f>
        <v/>
      </c>
      <c r="B63" s="12"/>
      <c r="C63" s="13"/>
      <c r="D63" s="13"/>
      <c r="E63" s="13"/>
      <c r="F63" s="70" t="str">
        <f>IF(PANVEL[[#This Row],[Produtos]]="","",((VLOOKUP(E63,'TAB PROD'!B:D,3,))))</f>
        <v/>
      </c>
      <c r="G63" s="14" t="str">
        <f>IF(PANVEL[[#This Row],[Produtos]]="","",((VLOOKUP(E63,'TAB PROD'!B:C,2,))))</f>
        <v/>
      </c>
      <c r="H63" s="13"/>
      <c r="I63" s="15"/>
      <c r="J63" s="15"/>
      <c r="K63" s="13"/>
      <c r="L63" s="13"/>
      <c r="M63" s="13"/>
      <c r="N63" s="13"/>
      <c r="O63" s="13"/>
      <c r="P63" s="13"/>
      <c r="Q63" s="13"/>
      <c r="R63" s="13"/>
      <c r="S63" s="13"/>
      <c r="T63" s="64"/>
      <c r="U63" s="21" t="str">
        <f>IF(DSP[[#This Row],[Abertura de chamado]]="","",NETWORKDAYS(DSP[[#This Row],[Abertura de chamado]],U$6))</f>
        <v/>
      </c>
      <c r="V63" s="13"/>
      <c r="W63" s="75" t="s">
        <v>43</v>
      </c>
    </row>
    <row r="64" spans="1:23" x14ac:dyDescent="0.3">
      <c r="A64" s="75" t="str">
        <f>IF(DSP[[#This Row],[Data Monitoria]]="","",((((WEEKNUM(B64)-WEEKNUM(DATE(YEAR(B64),MONTH(B64),1))+1)))))</f>
        <v/>
      </c>
      <c r="B64" s="12"/>
      <c r="C64" s="13"/>
      <c r="D64" s="13"/>
      <c r="E64" s="13"/>
      <c r="F64" s="70" t="str">
        <f>IF(PANVEL[[#This Row],[Produtos]]="","",((VLOOKUP(E64,'TAB PROD'!B:D,3,))))</f>
        <v/>
      </c>
      <c r="G64" s="14" t="str">
        <f>IF(PANVEL[[#This Row],[Produtos]]="","",((VLOOKUP(E64,'TAB PROD'!B:C,2,))))</f>
        <v/>
      </c>
      <c r="H64" s="13"/>
      <c r="I64" s="15"/>
      <c r="J64" s="15"/>
      <c r="K64" s="13"/>
      <c r="L64" s="13"/>
      <c r="M64" s="13"/>
      <c r="N64" s="13"/>
      <c r="O64" s="13"/>
      <c r="P64" s="13"/>
      <c r="Q64" s="13"/>
      <c r="R64" s="13"/>
      <c r="S64" s="13"/>
      <c r="T64" s="64"/>
      <c r="U64" s="21" t="str">
        <f>IF(DSP[[#This Row],[Abertura de chamado]]="","",NETWORKDAYS(DSP[[#This Row],[Abertura de chamado]],U$6))</f>
        <v/>
      </c>
      <c r="V64" s="13"/>
      <c r="W64" s="75" t="s">
        <v>43</v>
      </c>
    </row>
    <row r="65" spans="1:23" x14ac:dyDescent="0.3">
      <c r="A65" s="75" t="str">
        <f>IF(DSP[[#This Row],[Data Monitoria]]="","",((((WEEKNUM(B65)-WEEKNUM(DATE(YEAR(B65),MONTH(B65),1))+1)))))</f>
        <v/>
      </c>
      <c r="B65" s="12"/>
      <c r="C65" s="13"/>
      <c r="D65" s="13"/>
      <c r="E65" s="13"/>
      <c r="F65" s="70" t="str">
        <f>IF(PANVEL[[#This Row],[Produtos]]="","",((VLOOKUP(E65,'TAB PROD'!B:D,3,))))</f>
        <v/>
      </c>
      <c r="G65" s="14" t="str">
        <f>IF(PANVEL[[#This Row],[Produtos]]="","",((VLOOKUP(E65,'TAB PROD'!B:C,2,))))</f>
        <v/>
      </c>
      <c r="H65" s="13"/>
      <c r="I65" s="15"/>
      <c r="J65" s="15"/>
      <c r="K65" s="13"/>
      <c r="L65" s="13"/>
      <c r="M65" s="13"/>
      <c r="N65" s="13"/>
      <c r="O65" s="13"/>
      <c r="P65" s="13"/>
      <c r="Q65" s="13"/>
      <c r="R65" s="13"/>
      <c r="S65" s="13"/>
      <c r="T65" s="64"/>
      <c r="U65" s="21" t="str">
        <f>IF(DSP[[#This Row],[Abertura de chamado]]="","",NETWORKDAYS(DSP[[#This Row],[Abertura de chamado]],U$6))</f>
        <v/>
      </c>
      <c r="V65" s="13"/>
      <c r="W65" s="75" t="s">
        <v>43</v>
      </c>
    </row>
    <row r="66" spans="1:23" x14ac:dyDescent="0.3">
      <c r="A66" s="75" t="str">
        <f>IF(DSP[[#This Row],[Data Monitoria]]="","",((((WEEKNUM(B66)-WEEKNUM(DATE(YEAR(B66),MONTH(B66),1))+1)))))</f>
        <v/>
      </c>
      <c r="B66" s="12"/>
      <c r="C66" s="13"/>
      <c r="D66" s="13"/>
      <c r="E66" s="13"/>
      <c r="F66" s="70" t="str">
        <f>IF(PANVEL[[#This Row],[Produtos]]="","",((VLOOKUP(E66,'TAB PROD'!B:D,3,))))</f>
        <v/>
      </c>
      <c r="G66" s="14" t="str">
        <f>IF(PANVEL[[#This Row],[Produtos]]="","",((VLOOKUP(E66,'TAB PROD'!B:C,2,))))</f>
        <v/>
      </c>
      <c r="H66" s="13"/>
      <c r="I66" s="15"/>
      <c r="J66" s="15"/>
      <c r="K66" s="13"/>
      <c r="L66" s="13"/>
      <c r="M66" s="13"/>
      <c r="N66" s="13"/>
      <c r="O66" s="13"/>
      <c r="P66" s="13"/>
      <c r="Q66" s="13"/>
      <c r="R66" s="13"/>
      <c r="S66" s="13"/>
      <c r="T66" s="64"/>
      <c r="U66" s="21" t="str">
        <f>IF(DSP[[#This Row],[Abertura de chamado]]="","",NETWORKDAYS(DSP[[#This Row],[Abertura de chamado]],U$6))</f>
        <v/>
      </c>
      <c r="V66" s="13"/>
      <c r="W66" s="75" t="s">
        <v>43</v>
      </c>
    </row>
    <row r="67" spans="1:23" x14ac:dyDescent="0.3">
      <c r="A67" s="75" t="str">
        <f>IF(DSP[[#This Row],[Data Monitoria]]="","",((((WEEKNUM(B67)-WEEKNUM(DATE(YEAR(B67),MONTH(B67),1))+1)))))</f>
        <v/>
      </c>
      <c r="B67" s="12"/>
      <c r="C67" s="13"/>
      <c r="D67" s="13"/>
      <c r="E67" s="13"/>
      <c r="F67" s="70" t="str">
        <f>IF(PANVEL[[#This Row],[Produtos]]="","",((VLOOKUP(E67,'TAB PROD'!B:D,3,))))</f>
        <v/>
      </c>
      <c r="G67" s="14" t="str">
        <f>IF(PANVEL[[#This Row],[Produtos]]="","",((VLOOKUP(E67,'TAB PROD'!B:C,2,))))</f>
        <v/>
      </c>
      <c r="H67" s="13"/>
      <c r="I67" s="15"/>
      <c r="J67" s="15"/>
      <c r="K67" s="13"/>
      <c r="L67" s="13"/>
      <c r="M67" s="13"/>
      <c r="N67" s="13"/>
      <c r="O67" s="13"/>
      <c r="P67" s="13"/>
      <c r="Q67" s="13"/>
      <c r="R67" s="13"/>
      <c r="S67" s="13"/>
      <c r="T67" s="64"/>
      <c r="U67" s="21" t="str">
        <f>IF(DSP[[#This Row],[Abertura de chamado]]="","",NETWORKDAYS(DSP[[#This Row],[Abertura de chamado]],U$6))</f>
        <v/>
      </c>
      <c r="V67" s="13"/>
      <c r="W67" s="75" t="s">
        <v>43</v>
      </c>
    </row>
    <row r="68" spans="1:23" x14ac:dyDescent="0.3">
      <c r="A68" s="75" t="str">
        <f>IF(DSP[[#This Row],[Data Monitoria]]="","",((((WEEKNUM(B68)-WEEKNUM(DATE(YEAR(B68),MONTH(B68),1))+1)))))</f>
        <v/>
      </c>
      <c r="B68" s="12"/>
      <c r="C68" s="13"/>
      <c r="D68" s="13"/>
      <c r="E68" s="13"/>
      <c r="F68" s="70" t="str">
        <f>IF(PANVEL[[#This Row],[Produtos]]="","",((VLOOKUP(E68,'TAB PROD'!B:D,3,))))</f>
        <v/>
      </c>
      <c r="G68" s="14" t="str">
        <f>IF(PANVEL[[#This Row],[Produtos]]="","",((VLOOKUP(E68,'TAB PROD'!B:C,2,))))</f>
        <v/>
      </c>
      <c r="H68" s="13"/>
      <c r="I68" s="15"/>
      <c r="J68" s="15"/>
      <c r="K68" s="13"/>
      <c r="L68" s="13"/>
      <c r="M68" s="13"/>
      <c r="N68" s="13"/>
      <c r="O68" s="13"/>
      <c r="P68" s="13"/>
      <c r="Q68" s="13"/>
      <c r="R68" s="13"/>
      <c r="S68" s="13"/>
      <c r="T68" s="64"/>
      <c r="U68" s="21" t="str">
        <f>IF(DSP[[#This Row],[Abertura de chamado]]="","",NETWORKDAYS(DSP[[#This Row],[Abertura de chamado]],U$6))</f>
        <v/>
      </c>
      <c r="V68" s="13"/>
      <c r="W68" s="75" t="s">
        <v>43</v>
      </c>
    </row>
    <row r="69" spans="1:23" x14ac:dyDescent="0.3">
      <c r="A69" s="75" t="str">
        <f>IF(DSP[[#This Row],[Data Monitoria]]="","",((((WEEKNUM(B69)-WEEKNUM(DATE(YEAR(B69),MONTH(B69),1))+1)))))</f>
        <v/>
      </c>
      <c r="B69" s="12"/>
      <c r="C69" s="13"/>
      <c r="D69" s="13"/>
      <c r="E69" s="13"/>
      <c r="F69" s="70" t="str">
        <f>IF(PANVEL[[#This Row],[Produtos]]="","",((VLOOKUP(E69,'TAB PROD'!B:D,3,))))</f>
        <v/>
      </c>
      <c r="G69" s="14" t="str">
        <f>IF(PANVEL[[#This Row],[Produtos]]="","",((VLOOKUP(E69,'TAB PROD'!B:C,2,))))</f>
        <v/>
      </c>
      <c r="H69" s="13"/>
      <c r="I69" s="15"/>
      <c r="J69" s="15"/>
      <c r="K69" s="13"/>
      <c r="L69" s="13"/>
      <c r="M69" s="13"/>
      <c r="N69" s="13"/>
      <c r="O69" s="13"/>
      <c r="P69" s="13"/>
      <c r="Q69" s="13"/>
      <c r="R69" s="13"/>
      <c r="S69" s="13"/>
      <c r="T69" s="64"/>
      <c r="U69" s="21" t="str">
        <f>IF(DSP[[#This Row],[Abertura de chamado]]="","",NETWORKDAYS(DSP[[#This Row],[Abertura de chamado]],U$6))</f>
        <v/>
      </c>
      <c r="V69" s="13"/>
      <c r="W69" s="75" t="s">
        <v>43</v>
      </c>
    </row>
    <row r="70" spans="1:23" x14ac:dyDescent="0.3">
      <c r="A70" s="75" t="str">
        <f>IF(DSP[[#This Row],[Data Monitoria]]="","",((((WEEKNUM(B70)-WEEKNUM(DATE(YEAR(B70),MONTH(B70),1))+1)))))</f>
        <v/>
      </c>
      <c r="B70" s="12"/>
      <c r="C70" s="13"/>
      <c r="D70" s="13"/>
      <c r="E70" s="13"/>
      <c r="F70" s="70" t="str">
        <f>IF(PANVEL[[#This Row],[Produtos]]="","",((VLOOKUP(E70,'TAB PROD'!B:D,3,))))</f>
        <v/>
      </c>
      <c r="G70" s="14" t="str">
        <f>IF(PANVEL[[#This Row],[Produtos]]="","",((VLOOKUP(E70,'TAB PROD'!B:C,2,))))</f>
        <v/>
      </c>
      <c r="H70" s="13"/>
      <c r="I70" s="15"/>
      <c r="J70" s="15"/>
      <c r="K70" s="13"/>
      <c r="L70" s="13"/>
      <c r="M70" s="13"/>
      <c r="N70" s="13"/>
      <c r="O70" s="13"/>
      <c r="P70" s="13"/>
      <c r="Q70" s="13"/>
      <c r="R70" s="13"/>
      <c r="S70" s="13"/>
      <c r="T70" s="64"/>
      <c r="U70" s="21" t="str">
        <f>IF(DSP[[#This Row],[Abertura de chamado]]="","",NETWORKDAYS(DSP[[#This Row],[Abertura de chamado]],U$6))</f>
        <v/>
      </c>
      <c r="V70" s="13"/>
      <c r="W70" s="75" t="s">
        <v>43</v>
      </c>
    </row>
    <row r="71" spans="1:23" x14ac:dyDescent="0.3">
      <c r="A71" s="75" t="str">
        <f>IF(DSP[[#This Row],[Data Monitoria]]="","",((((WEEKNUM(B71)-WEEKNUM(DATE(YEAR(B71),MONTH(B71),1))+1)))))</f>
        <v/>
      </c>
      <c r="B71" s="12"/>
      <c r="C71" s="13"/>
      <c r="D71" s="13"/>
      <c r="E71" s="13"/>
      <c r="F71" s="70" t="str">
        <f>IF(PANVEL[[#This Row],[Produtos]]="","",((VLOOKUP(E71,'TAB PROD'!B:D,3,))))</f>
        <v/>
      </c>
      <c r="G71" s="14" t="str">
        <f>IF(PANVEL[[#This Row],[Produtos]]="","",((VLOOKUP(E71,'TAB PROD'!B:C,2,))))</f>
        <v/>
      </c>
      <c r="H71" s="13"/>
      <c r="I71" s="15"/>
      <c r="J71" s="15"/>
      <c r="K71" s="13"/>
      <c r="L71" s="13"/>
      <c r="M71" s="13"/>
      <c r="N71" s="13"/>
      <c r="O71" s="13"/>
      <c r="P71" s="13"/>
      <c r="Q71" s="13"/>
      <c r="R71" s="13"/>
      <c r="S71" s="13"/>
      <c r="T71" s="64"/>
      <c r="U71" s="21" t="str">
        <f>IF(DSP[[#This Row],[Abertura de chamado]]="","",NETWORKDAYS(DSP[[#This Row],[Abertura de chamado]],U$6))</f>
        <v/>
      </c>
      <c r="V71" s="13"/>
      <c r="W71" s="75" t="s">
        <v>43</v>
      </c>
    </row>
    <row r="72" spans="1:23" x14ac:dyDescent="0.3">
      <c r="A72" s="75" t="str">
        <f>IF(DSP[[#This Row],[Data Monitoria]]="","",((((WEEKNUM(B72)-WEEKNUM(DATE(YEAR(B72),MONTH(B72),1))+1)))))</f>
        <v/>
      </c>
      <c r="B72" s="88"/>
      <c r="C72" s="22"/>
      <c r="D72" s="22"/>
      <c r="E72" s="22"/>
      <c r="F72" s="70" t="str">
        <f>IF(PANVEL[[#This Row],[Produtos]]="","",((VLOOKUP(E72,'TAB PROD'!B:D,3,))))</f>
        <v/>
      </c>
      <c r="G72" s="14" t="str">
        <f>IF(PANVEL[[#This Row],[Produtos]]="","",((VLOOKUP(E72,'TAB PROD'!B:C,2,))))</f>
        <v/>
      </c>
      <c r="H72" s="22"/>
      <c r="I72" s="23"/>
      <c r="J72" s="23"/>
      <c r="K72" s="22"/>
      <c r="L72" s="22"/>
      <c r="M72" s="22"/>
      <c r="N72" s="22"/>
      <c r="O72" s="22"/>
      <c r="P72" s="22"/>
      <c r="Q72" s="22"/>
      <c r="R72" s="22"/>
      <c r="S72" s="13"/>
      <c r="T72" s="76"/>
      <c r="U72" s="21" t="str">
        <f>IF(DSP[[#This Row],[Abertura de chamado]]="","",NETWORKDAYS(DSP[[#This Row],[Abertura de chamado]],U$6))</f>
        <v/>
      </c>
      <c r="V72" s="22"/>
      <c r="W72" s="75" t="s">
        <v>43</v>
      </c>
    </row>
    <row r="73" spans="1:23" x14ac:dyDescent="0.3">
      <c r="A73" s="75" t="str">
        <f>IF(DSP[[#This Row],[Data Monitoria]]="","",((((WEEKNUM(B73)-WEEKNUM(DATE(YEAR(B73),MONTH(B73),1))+1)))))</f>
        <v/>
      </c>
      <c r="B73" s="13"/>
      <c r="C73" s="13"/>
      <c r="D73" s="13"/>
      <c r="E73" s="13"/>
      <c r="F73" s="13" t="str">
        <f>IF(DSP[[#This Row],[Produtos]]="","",((VLOOKUP(E73,'TAB PROD'!B:D,3,))))</f>
        <v/>
      </c>
      <c r="G73" s="21" t="str">
        <f>IF(DSP[[#This Row],[Produtos]]="","",((VLOOKUP(E73,'TAB PROD'!B:C,2,))))</f>
        <v/>
      </c>
      <c r="H73" s="13"/>
      <c r="I73" s="15"/>
      <c r="J73" s="15"/>
      <c r="K73" s="13"/>
      <c r="L73" s="13"/>
      <c r="M73" s="13"/>
      <c r="N73" s="13"/>
      <c r="O73" s="13"/>
      <c r="P73" s="13"/>
      <c r="R73" s="13"/>
      <c r="S73" s="13"/>
      <c r="T73" s="13"/>
      <c r="U73" s="21" t="str">
        <f>IF(DSP[[#This Row],[Abertura de chamado]]="","",NETWORKDAYS(DSP[[#This Row],[Abertura de chamado]],U$6))</f>
        <v/>
      </c>
      <c r="V73" s="22"/>
      <c r="W73" s="75" t="s">
        <v>43</v>
      </c>
    </row>
    <row r="74" spans="1:23" x14ac:dyDescent="0.3">
      <c r="A74" s="75" t="str">
        <f>IF(DSP[[#This Row],[Data Monitoria]]="","",((((WEEKNUM(B74)-WEEKNUM(DATE(YEAR(B74),MONTH(B74),1))+1)))))</f>
        <v/>
      </c>
      <c r="B74" s="13"/>
      <c r="C74" s="13"/>
      <c r="D74" s="13"/>
      <c r="E74" s="13"/>
      <c r="F74" s="13" t="str">
        <f>IF(DSP[[#This Row],[Produtos]]="","",((VLOOKUP(E74,'TAB PROD'!B:D,3,))))</f>
        <v/>
      </c>
      <c r="G74" s="13" t="str">
        <f>IF(DSP[[#This Row],[Produtos]]="","",((VLOOKUP(E74,'TAB PROD'!B:C,2,))))</f>
        <v/>
      </c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22"/>
      <c r="T74" s="13"/>
      <c r="U74" s="21" t="str">
        <f>IF(DSP[[#This Row],[Abertura de chamado]]="","",NETWORKDAYS(DSP[[#This Row],[Abertura de chamado]],U$6))</f>
        <v/>
      </c>
      <c r="V74" s="13"/>
      <c r="W74" s="75" t="s">
        <v>43</v>
      </c>
    </row>
    <row r="75" spans="1:23" x14ac:dyDescent="0.3">
      <c r="A75" s="75" t="str">
        <f>IF(DSP[[#This Row],[Data Monitoria]]="","",((((WEEKNUM(B75)-WEEKNUM(DATE(YEAR(B75),MONTH(B75),1))+1)))))</f>
        <v/>
      </c>
      <c r="B75" s="13"/>
      <c r="C75" s="13"/>
      <c r="D75" s="13"/>
      <c r="E75" s="13"/>
      <c r="F75" s="13" t="str">
        <f>IF(DSP[[#This Row],[Produtos]]="","",((VLOOKUP(E75,'TAB PROD'!B:D,3,))))</f>
        <v/>
      </c>
      <c r="G75" s="13" t="str">
        <f>IF(DSP[[#This Row],[Produtos]]="","",((VLOOKUP(E75,'TAB PROD'!B:C,2,))))</f>
        <v/>
      </c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21" t="str">
        <f>IF(DSP[[#This Row],[Abertura de chamado]]="","",NETWORKDAYS(DSP[[#This Row],[Abertura de chamado]],U$6))</f>
        <v/>
      </c>
      <c r="V75" s="13"/>
      <c r="W75" s="75" t="s">
        <v>43</v>
      </c>
    </row>
    <row r="76" spans="1:23" x14ac:dyDescent="0.3">
      <c r="A76" s="75" t="str">
        <f>IF(DSP[[#This Row],[Data Monitoria]]="","",((((WEEKNUM(B76)-WEEKNUM(DATE(YEAR(B76),MONTH(B76),1))+1)))))</f>
        <v/>
      </c>
      <c r="B76" s="13"/>
      <c r="C76" s="13"/>
      <c r="D76" s="13"/>
      <c r="E76" s="13"/>
      <c r="F76" s="13" t="str">
        <f>IF(DSP[[#This Row],[Produtos]]="","",((VLOOKUP(E76,'TAB PROD'!B:D,3,))))</f>
        <v/>
      </c>
      <c r="G76" s="13" t="str">
        <f>IF(DSP[[#This Row],[Produtos]]="","",((VLOOKUP(E76,'TAB PROD'!B:C,2,))))</f>
        <v/>
      </c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21" t="str">
        <f>IF(DSP[[#This Row],[Abertura de chamado]]="","",NETWORKDAYS(DSP[[#This Row],[Abertura de chamado]],U$6))</f>
        <v/>
      </c>
      <c r="V76" s="13"/>
      <c r="W76" s="22"/>
    </row>
    <row r="77" spans="1:23" x14ac:dyDescent="0.3">
      <c r="A77" s="75" t="str">
        <f>IF(DSP[[#This Row],[Data Monitoria]]="","",((((WEEKNUM(B77)-WEEKNUM(DATE(YEAR(B77),MONTH(B77),1))+1)))))</f>
        <v/>
      </c>
      <c r="B77" s="13"/>
      <c r="C77" s="13"/>
      <c r="D77" s="13"/>
      <c r="E77" s="13"/>
      <c r="F77" s="13" t="str">
        <f>IF(DSP[[#This Row],[Produtos]]="","",((VLOOKUP(E77,'TAB PROD'!B:D,3,))))</f>
        <v/>
      </c>
      <c r="G77" s="13" t="str">
        <f>IF(DSP[[#This Row],[Produtos]]="","",((VLOOKUP(E77,'TAB PROD'!B:C,2,))))</f>
        <v/>
      </c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21" t="str">
        <f>IF(DSP[[#This Row],[Abertura de chamado]]="","",NETWORKDAYS(DSP[[#This Row],[Abertura de chamado]],U$6))</f>
        <v/>
      </c>
      <c r="V77" s="13"/>
      <c r="W77" s="13"/>
    </row>
    <row r="78" spans="1:23" x14ac:dyDescent="0.3">
      <c r="S78" s="13"/>
    </row>
    <row r="79" spans="1:23" x14ac:dyDescent="0.3">
      <c r="S79" s="13"/>
    </row>
  </sheetData>
  <mergeCells count="2">
    <mergeCell ref="A8:P8"/>
    <mergeCell ref="Q8:W8"/>
  </mergeCells>
  <conditionalFormatting sqref="U45:U77">
    <cfRule type="cellIs" dxfId="70" priority="23" operator="between">
      <formula>6</formula>
      <formula>10</formula>
    </cfRule>
    <cfRule type="cellIs" dxfId="69" priority="24" operator="between">
      <formula>1</formula>
      <formula>5</formula>
    </cfRule>
  </conditionalFormatting>
  <conditionalFormatting sqref="U45:U77">
    <cfRule type="cellIs" dxfId="68" priority="22" operator="between">
      <formula>11</formula>
      <formula>30</formula>
    </cfRule>
  </conditionalFormatting>
  <conditionalFormatting sqref="U9">
    <cfRule type="cellIs" dxfId="67" priority="20" operator="between">
      <formula>6</formula>
      <formula>10</formula>
    </cfRule>
    <cfRule type="cellIs" dxfId="66" priority="21" operator="between">
      <formula>1</formula>
      <formula>5</formula>
    </cfRule>
  </conditionalFormatting>
  <conditionalFormatting sqref="U9">
    <cfRule type="cellIs" dxfId="65" priority="19" operator="between">
      <formula>11</formula>
      <formula>30</formula>
    </cfRule>
  </conditionalFormatting>
  <dataValidations count="3">
    <dataValidation type="list" allowBlank="1" showInputMessage="1" showErrorMessage="1" sqref="L10:N72" xr:uid="{1E6C2811-1F35-4DDC-B3E3-367FEF202207}">
      <formula1>"Sim,Não"</formula1>
    </dataValidation>
    <dataValidation type="list" allowBlank="1" showInputMessage="1" showErrorMessage="1" sqref="K10:K72" xr:uid="{1C1323B8-EA5E-400A-B16F-5DFC7CED1ADF}">
      <formula1>"Legado,Novo"</formula1>
    </dataValidation>
    <dataValidation type="list" allowBlank="1" showInputMessage="1" showErrorMessage="1" sqref="D10:D77" xr:uid="{B1740FAF-0EDC-4673-A234-4335575F1CD6}">
      <formula1>"Sim, Não"</formula1>
    </dataValidation>
  </dataValidations>
  <pageMargins left="0.511811024" right="0.511811024" top="0.78740157499999996" bottom="0.78740157499999996" header="0.31496062000000002" footer="0.31496062000000002"/>
  <ignoredErrors>
    <ignoredError sqref="F73:G77" calculatedColumn="1"/>
  </ignoredErrors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F8990-3CE2-4ABB-A67A-1455F8F1A8E8}">
  <sheetPr codeName="Planilha6"/>
  <dimension ref="A2:W79"/>
  <sheetViews>
    <sheetView showGridLines="0" zoomScaleNormal="100" workbookViewId="0">
      <selection activeCell="A6" sqref="A6"/>
    </sheetView>
  </sheetViews>
  <sheetFormatPr defaultRowHeight="14.4" x14ac:dyDescent="0.3"/>
  <cols>
    <col min="1" max="1" width="22.88671875" style="18" bestFit="1" customWidth="1"/>
    <col min="2" max="2" width="24.88671875" style="17" bestFit="1" customWidth="1"/>
    <col min="3" max="3" width="30.5546875" bestFit="1" customWidth="1"/>
    <col min="4" max="4" width="16.33203125" customWidth="1"/>
    <col min="5" max="5" width="59.33203125" bestFit="1" customWidth="1"/>
    <col min="6" max="6" width="18.109375" bestFit="1" customWidth="1"/>
    <col min="7" max="7" width="17.44140625" bestFit="1" customWidth="1"/>
    <col min="8" max="8" width="38.88671875" bestFit="1" customWidth="1"/>
    <col min="9" max="9" width="18.109375" customWidth="1"/>
    <col min="10" max="10" width="18.5546875" bestFit="1" customWidth="1"/>
    <col min="11" max="11" width="24.33203125" bestFit="1" customWidth="1"/>
    <col min="12" max="12" width="14.88671875" bestFit="1" customWidth="1"/>
    <col min="13" max="13" width="16.6640625" bestFit="1" customWidth="1"/>
    <col min="14" max="14" width="16.6640625" customWidth="1"/>
    <col min="15" max="15" width="65.109375" bestFit="1" customWidth="1"/>
    <col min="16" max="16" width="39.6640625" bestFit="1" customWidth="1"/>
    <col min="17" max="17" width="18.33203125" bestFit="1" customWidth="1"/>
    <col min="18" max="18" width="23" bestFit="1" customWidth="1"/>
    <col min="19" max="19" width="30" bestFit="1" customWidth="1"/>
    <col min="20" max="20" width="29.33203125" bestFit="1" customWidth="1"/>
    <col min="21" max="21" width="15" bestFit="1" customWidth="1"/>
    <col min="22" max="22" width="33.109375" bestFit="1" customWidth="1"/>
    <col min="23" max="23" width="9.109375" bestFit="1" customWidth="1"/>
  </cols>
  <sheetData>
    <row r="2" spans="1:23" x14ac:dyDescent="0.3">
      <c r="I2" s="4"/>
    </row>
    <row r="3" spans="1:23" x14ac:dyDescent="0.3">
      <c r="I3" s="4"/>
    </row>
    <row r="4" spans="1:23" x14ac:dyDescent="0.3">
      <c r="I4" s="4"/>
    </row>
    <row r="5" spans="1:23" x14ac:dyDescent="0.3">
      <c r="T5" s="66"/>
    </row>
    <row r="6" spans="1:23" x14ac:dyDescent="0.3">
      <c r="U6" s="17">
        <f ca="1">TODAY()</f>
        <v>44543</v>
      </c>
    </row>
    <row r="7" spans="1:23" ht="2.25" customHeight="1" thickBot="1" x14ac:dyDescent="0.35">
      <c r="A7" s="20"/>
      <c r="B7" s="19"/>
      <c r="C7" s="8"/>
      <c r="D7" s="8"/>
      <c r="E7" s="20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</row>
    <row r="8" spans="1:23" ht="15" thickBot="1" x14ac:dyDescent="0.35">
      <c r="A8" s="123" t="s">
        <v>62</v>
      </c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4"/>
      <c r="Q8" s="125" t="s">
        <v>63</v>
      </c>
      <c r="R8" s="126"/>
      <c r="S8" s="126"/>
      <c r="T8" s="126"/>
      <c r="U8" s="126"/>
      <c r="V8" s="126"/>
      <c r="W8" s="126"/>
    </row>
    <row r="9" spans="1:23" x14ac:dyDescent="0.3">
      <c r="A9" s="77" t="s">
        <v>1</v>
      </c>
      <c r="B9" s="78" t="s">
        <v>2</v>
      </c>
      <c r="C9" s="79" t="s">
        <v>3</v>
      </c>
      <c r="D9" s="79" t="s">
        <v>4</v>
      </c>
      <c r="E9" s="80" t="s">
        <v>5</v>
      </c>
      <c r="F9" s="81" t="s">
        <v>64</v>
      </c>
      <c r="G9" s="80" t="s">
        <v>6</v>
      </c>
      <c r="H9" s="82" t="s">
        <v>7</v>
      </c>
      <c r="I9" s="83" t="s">
        <v>8</v>
      </c>
      <c r="J9" s="84" t="s">
        <v>9</v>
      </c>
      <c r="K9" s="85" t="s">
        <v>10</v>
      </c>
      <c r="L9" s="79" t="s">
        <v>11</v>
      </c>
      <c r="M9" s="79" t="s">
        <v>12</v>
      </c>
      <c r="N9" s="79" t="s">
        <v>13</v>
      </c>
      <c r="O9" s="79" t="s">
        <v>14</v>
      </c>
      <c r="P9" s="79" t="s">
        <v>15</v>
      </c>
      <c r="Q9" s="79" t="s">
        <v>16</v>
      </c>
      <c r="R9" s="79" t="s">
        <v>17</v>
      </c>
      <c r="S9" s="79" t="s">
        <v>18</v>
      </c>
      <c r="T9" s="81" t="s">
        <v>19</v>
      </c>
      <c r="U9" s="86" t="s">
        <v>20</v>
      </c>
      <c r="V9" s="79" t="s">
        <v>21</v>
      </c>
      <c r="W9" s="77" t="s">
        <v>0</v>
      </c>
    </row>
    <row r="10" spans="1:23" x14ac:dyDescent="0.3">
      <c r="A10" s="75"/>
      <c r="B10" s="12"/>
      <c r="C10" s="75"/>
      <c r="D10" s="13"/>
      <c r="E10" s="38"/>
      <c r="F10" s="40"/>
      <c r="G10" s="51"/>
      <c r="H10" s="13"/>
      <c r="I10" s="15"/>
      <c r="J10" s="15"/>
      <c r="K10" s="13"/>
      <c r="L10" s="13"/>
      <c r="M10" s="13"/>
      <c r="N10" s="13"/>
      <c r="O10" s="13"/>
      <c r="P10" s="13"/>
      <c r="Q10" s="13"/>
      <c r="R10" s="13"/>
      <c r="S10" s="113"/>
      <c r="T10" s="64"/>
      <c r="U10" s="103"/>
      <c r="V10" s="13"/>
      <c r="W10" s="75" t="s">
        <v>45</v>
      </c>
    </row>
    <row r="11" spans="1:23" x14ac:dyDescent="0.3">
      <c r="A11" s="75"/>
      <c r="B11" s="12"/>
      <c r="C11" s="75"/>
      <c r="D11" s="13"/>
      <c r="E11" s="38"/>
      <c r="F11" s="40"/>
      <c r="G11" s="51"/>
      <c r="H11" s="13"/>
      <c r="I11" s="15"/>
      <c r="J11" s="15"/>
      <c r="K11" s="13"/>
      <c r="L11" s="13"/>
      <c r="M11" s="13"/>
      <c r="N11" s="13"/>
      <c r="O11" s="13"/>
      <c r="P11" s="13"/>
      <c r="Q11" s="13"/>
      <c r="R11" s="13"/>
      <c r="S11" s="113"/>
      <c r="T11" s="64"/>
      <c r="U11" s="103"/>
      <c r="V11" s="13"/>
      <c r="W11" s="75" t="s">
        <v>45</v>
      </c>
    </row>
    <row r="12" spans="1:23" x14ac:dyDescent="0.3">
      <c r="A12" s="75"/>
      <c r="B12" s="12"/>
      <c r="C12" s="75"/>
      <c r="D12" s="13"/>
      <c r="E12" s="38"/>
      <c r="F12" s="40"/>
      <c r="G12" s="51"/>
      <c r="H12" s="13"/>
      <c r="I12" s="15"/>
      <c r="J12" s="15"/>
      <c r="K12" s="13"/>
      <c r="L12" s="13"/>
      <c r="M12" s="13"/>
      <c r="N12" s="13"/>
      <c r="O12" s="13"/>
      <c r="P12" s="13"/>
      <c r="Q12" s="13"/>
      <c r="R12" s="13"/>
      <c r="S12" s="113"/>
      <c r="T12" s="64"/>
      <c r="U12" s="103"/>
      <c r="V12" s="13"/>
      <c r="W12" s="75" t="s">
        <v>45</v>
      </c>
    </row>
    <row r="13" spans="1:23" x14ac:dyDescent="0.3">
      <c r="A13" s="75"/>
      <c r="B13" s="12"/>
      <c r="C13" s="75"/>
      <c r="D13" s="13"/>
      <c r="E13" s="38"/>
      <c r="F13" s="40"/>
      <c r="G13" s="51"/>
      <c r="H13" s="13"/>
      <c r="I13" s="15"/>
      <c r="J13" s="15"/>
      <c r="K13" s="13"/>
      <c r="L13" s="13"/>
      <c r="M13" s="13"/>
      <c r="N13" s="13"/>
      <c r="O13" s="13"/>
      <c r="P13" s="13"/>
      <c r="Q13" s="13"/>
      <c r="R13" s="13"/>
      <c r="S13" s="113"/>
      <c r="T13" s="64"/>
      <c r="U13" s="103"/>
      <c r="V13" s="13"/>
      <c r="W13" s="75" t="s">
        <v>45</v>
      </c>
    </row>
    <row r="14" spans="1:23" x14ac:dyDescent="0.3">
      <c r="A14" s="75"/>
      <c r="B14" s="12"/>
      <c r="C14" s="75"/>
      <c r="D14" s="13"/>
      <c r="E14" s="38"/>
      <c r="F14" s="40"/>
      <c r="G14" s="51"/>
      <c r="H14" s="13"/>
      <c r="I14" s="15"/>
      <c r="J14" s="15"/>
      <c r="K14" s="13"/>
      <c r="L14" s="13"/>
      <c r="M14" s="13"/>
      <c r="N14" s="13"/>
      <c r="O14" s="13"/>
      <c r="P14" s="13"/>
      <c r="Q14" s="13"/>
      <c r="R14" s="13"/>
      <c r="S14" s="113"/>
      <c r="T14" s="64"/>
      <c r="U14" s="103"/>
      <c r="V14" s="13"/>
      <c r="W14" s="75" t="s">
        <v>45</v>
      </c>
    </row>
    <row r="15" spans="1:23" x14ac:dyDescent="0.3">
      <c r="A15" s="75"/>
      <c r="B15" s="12"/>
      <c r="C15" s="75"/>
      <c r="D15" s="13"/>
      <c r="E15" s="38"/>
      <c r="F15" s="40"/>
      <c r="G15" s="51"/>
      <c r="H15" s="13"/>
      <c r="I15" s="15"/>
      <c r="J15" s="15"/>
      <c r="K15" s="13"/>
      <c r="L15" s="13"/>
      <c r="M15" s="13"/>
      <c r="N15" s="13"/>
      <c r="O15" s="13"/>
      <c r="P15" s="13"/>
      <c r="Q15" s="13"/>
      <c r="R15" s="13"/>
      <c r="S15" s="113"/>
      <c r="T15" s="64"/>
      <c r="U15" s="103"/>
      <c r="V15" s="13"/>
      <c r="W15" s="75" t="s">
        <v>45</v>
      </c>
    </row>
    <row r="16" spans="1:23" x14ac:dyDescent="0.3">
      <c r="A16" s="75"/>
      <c r="B16" s="12"/>
      <c r="C16" s="75"/>
      <c r="D16" s="13"/>
      <c r="E16" s="38"/>
      <c r="F16" s="40"/>
      <c r="G16" s="51"/>
      <c r="H16" s="13"/>
      <c r="I16" s="15"/>
      <c r="J16" s="15"/>
      <c r="K16" s="13"/>
      <c r="L16" s="13"/>
      <c r="M16" s="13"/>
      <c r="N16" s="13"/>
      <c r="O16" s="13"/>
      <c r="P16" s="13"/>
      <c r="Q16" s="13"/>
      <c r="R16" s="13"/>
      <c r="S16" s="113"/>
      <c r="T16" s="64"/>
      <c r="U16" s="103"/>
      <c r="V16" s="13"/>
      <c r="W16" s="75" t="s">
        <v>45</v>
      </c>
    </row>
    <row r="17" spans="1:23" x14ac:dyDescent="0.3">
      <c r="A17" s="75"/>
      <c r="B17" s="12"/>
      <c r="C17" s="75"/>
      <c r="D17" s="13"/>
      <c r="E17" s="38"/>
      <c r="F17" s="40"/>
      <c r="G17" s="51"/>
      <c r="H17" s="13"/>
      <c r="I17" s="15"/>
      <c r="J17" s="15"/>
      <c r="K17" s="13"/>
      <c r="L17" s="13"/>
      <c r="M17" s="13"/>
      <c r="N17" s="13"/>
      <c r="O17" s="13"/>
      <c r="P17" s="13"/>
      <c r="Q17" s="13"/>
      <c r="R17" s="13"/>
      <c r="S17" s="113"/>
      <c r="T17" s="64"/>
      <c r="U17" s="103"/>
      <c r="V17" s="13"/>
      <c r="W17" s="75" t="s">
        <v>45</v>
      </c>
    </row>
    <row r="18" spans="1:23" x14ac:dyDescent="0.3">
      <c r="A18" s="75"/>
      <c r="B18" s="12"/>
      <c r="C18" s="75"/>
      <c r="D18" s="13"/>
      <c r="E18" s="38"/>
      <c r="F18" s="40"/>
      <c r="G18" s="51"/>
      <c r="H18" s="13"/>
      <c r="I18" s="15"/>
      <c r="J18" s="15"/>
      <c r="K18" s="13"/>
      <c r="L18" s="13"/>
      <c r="M18" s="13"/>
      <c r="N18" s="13"/>
      <c r="O18" s="13"/>
      <c r="P18" s="13"/>
      <c r="Q18" s="13"/>
      <c r="R18" s="13"/>
      <c r="S18" s="113"/>
      <c r="T18" s="64"/>
      <c r="U18" s="103"/>
      <c r="V18" s="13"/>
      <c r="W18" s="75" t="s">
        <v>45</v>
      </c>
    </row>
    <row r="19" spans="1:23" x14ac:dyDescent="0.3">
      <c r="A19" s="75"/>
      <c r="B19" s="12"/>
      <c r="C19" s="75"/>
      <c r="D19" s="13"/>
      <c r="E19" s="38"/>
      <c r="F19" s="40"/>
      <c r="G19" s="51"/>
      <c r="H19" s="13"/>
      <c r="I19" s="15"/>
      <c r="J19" s="15"/>
      <c r="K19" s="13"/>
      <c r="L19" s="13"/>
      <c r="M19" s="13"/>
      <c r="N19" s="13"/>
      <c r="O19" s="13"/>
      <c r="P19" s="13"/>
      <c r="Q19" s="13"/>
      <c r="R19" s="13"/>
      <c r="S19" s="113"/>
      <c r="T19" s="64"/>
      <c r="U19" s="103"/>
      <c r="V19" s="13"/>
      <c r="W19" s="75" t="s">
        <v>45</v>
      </c>
    </row>
    <row r="20" spans="1:23" x14ac:dyDescent="0.3">
      <c r="A20" s="75"/>
      <c r="B20" s="12"/>
      <c r="C20" s="75"/>
      <c r="D20" s="13"/>
      <c r="E20" s="38"/>
      <c r="F20" s="40"/>
      <c r="G20" s="51"/>
      <c r="H20" s="13"/>
      <c r="I20" s="15"/>
      <c r="J20" s="15"/>
      <c r="K20" s="13"/>
      <c r="L20" s="13"/>
      <c r="M20" s="13"/>
      <c r="N20" s="13"/>
      <c r="O20" s="13"/>
      <c r="P20" s="13"/>
      <c r="Q20" s="13"/>
      <c r="R20" s="13"/>
      <c r="S20" s="113"/>
      <c r="T20" s="64"/>
      <c r="U20" s="103"/>
      <c r="V20" s="13"/>
      <c r="W20" s="75" t="s">
        <v>45</v>
      </c>
    </row>
    <row r="21" spans="1:23" x14ac:dyDescent="0.3">
      <c r="A21" s="75"/>
      <c r="B21" s="12"/>
      <c r="C21" s="75"/>
      <c r="D21" s="13"/>
      <c r="E21" s="38"/>
      <c r="F21" s="40"/>
      <c r="G21" s="51"/>
      <c r="H21" s="13"/>
      <c r="I21" s="15"/>
      <c r="J21" s="15"/>
      <c r="K21" s="13"/>
      <c r="L21" s="13"/>
      <c r="M21" s="13"/>
      <c r="N21" s="13"/>
      <c r="O21" s="13"/>
      <c r="P21" s="13"/>
      <c r="Q21" s="13"/>
      <c r="R21" s="13"/>
      <c r="S21" s="113"/>
      <c r="T21" s="64"/>
      <c r="U21" s="103"/>
      <c r="V21" s="13"/>
      <c r="W21" s="75" t="s">
        <v>45</v>
      </c>
    </row>
    <row r="22" spans="1:23" x14ac:dyDescent="0.3">
      <c r="A22" s="75"/>
      <c r="B22" s="12"/>
      <c r="C22" s="75"/>
      <c r="D22" s="13"/>
      <c r="E22" s="38"/>
      <c r="F22" s="40"/>
      <c r="G22" s="51"/>
      <c r="H22" s="13"/>
      <c r="I22" s="15"/>
      <c r="J22" s="15"/>
      <c r="K22" s="13"/>
      <c r="L22" s="13"/>
      <c r="M22" s="13"/>
      <c r="N22" s="13"/>
      <c r="O22" s="13"/>
      <c r="P22" s="13"/>
      <c r="Q22" s="13"/>
      <c r="R22" s="13"/>
      <c r="S22" s="113"/>
      <c r="T22" s="64"/>
      <c r="U22" s="103"/>
      <c r="V22" s="13"/>
      <c r="W22" s="75" t="s">
        <v>45</v>
      </c>
    </row>
    <row r="23" spans="1:23" x14ac:dyDescent="0.3">
      <c r="A23" s="75"/>
      <c r="B23" s="12"/>
      <c r="C23" s="75"/>
      <c r="D23" s="13"/>
      <c r="E23" s="38"/>
      <c r="F23" s="40"/>
      <c r="G23" s="51"/>
      <c r="H23" s="13"/>
      <c r="I23" s="15"/>
      <c r="J23" s="15"/>
      <c r="K23" s="13"/>
      <c r="L23" s="13"/>
      <c r="M23" s="13"/>
      <c r="N23" s="13"/>
      <c r="O23" s="13"/>
      <c r="P23" s="13"/>
      <c r="Q23" s="13"/>
      <c r="R23" s="13"/>
      <c r="S23" s="113"/>
      <c r="T23" s="64"/>
      <c r="U23" s="103"/>
      <c r="V23" s="13"/>
      <c r="W23" s="75" t="s">
        <v>45</v>
      </c>
    </row>
    <row r="24" spans="1:23" x14ac:dyDescent="0.3">
      <c r="A24" s="75"/>
      <c r="B24" s="12"/>
      <c r="C24" s="75"/>
      <c r="D24" s="13"/>
      <c r="E24" s="38"/>
      <c r="F24" s="40"/>
      <c r="G24" s="51"/>
      <c r="H24" s="13"/>
      <c r="I24" s="15"/>
      <c r="J24" s="15"/>
      <c r="K24" s="13"/>
      <c r="L24" s="13"/>
      <c r="M24" s="13"/>
      <c r="N24" s="13"/>
      <c r="O24" s="13"/>
      <c r="P24" s="13"/>
      <c r="Q24" s="13"/>
      <c r="R24" s="13"/>
      <c r="S24" s="113"/>
      <c r="T24" s="64"/>
      <c r="U24" s="103"/>
      <c r="V24" s="13"/>
      <c r="W24" s="75" t="s">
        <v>45</v>
      </c>
    </row>
    <row r="25" spans="1:23" x14ac:dyDescent="0.3">
      <c r="A25" s="75"/>
      <c r="B25" s="12"/>
      <c r="C25" s="75"/>
      <c r="D25" s="13"/>
      <c r="E25" s="38"/>
      <c r="F25" s="40"/>
      <c r="G25" s="51"/>
      <c r="H25" s="13"/>
      <c r="I25" s="15"/>
      <c r="J25" s="15"/>
      <c r="K25" s="13"/>
      <c r="L25" s="13"/>
      <c r="M25" s="13"/>
      <c r="N25" s="13"/>
      <c r="O25" s="13"/>
      <c r="P25" s="13"/>
      <c r="Q25" s="13"/>
      <c r="R25" s="13"/>
      <c r="S25" s="113"/>
      <c r="T25" s="64"/>
      <c r="U25" s="103"/>
      <c r="V25" s="13"/>
      <c r="W25" s="75" t="s">
        <v>45</v>
      </c>
    </row>
    <row r="26" spans="1:23" s="121" customFormat="1" x14ac:dyDescent="0.3">
      <c r="A26" s="75"/>
      <c r="B26" s="12"/>
      <c r="C26" s="75"/>
      <c r="D26" s="13"/>
      <c r="E26" s="38"/>
      <c r="F26" s="40"/>
      <c r="G26" s="51"/>
      <c r="H26" s="13"/>
      <c r="I26" s="15"/>
      <c r="J26" s="15"/>
      <c r="K26" s="13"/>
      <c r="L26" s="13"/>
      <c r="M26" s="13"/>
      <c r="N26" s="13"/>
      <c r="O26" s="13"/>
      <c r="P26" s="13"/>
      <c r="Q26" s="13"/>
      <c r="R26" s="13"/>
      <c r="S26" s="113"/>
      <c r="T26" s="64"/>
      <c r="U26" s="103"/>
      <c r="V26" s="13"/>
      <c r="W26" s="120"/>
    </row>
    <row r="27" spans="1:23" x14ac:dyDescent="0.3">
      <c r="A27" s="75"/>
      <c r="B27" s="12"/>
      <c r="C27" s="75"/>
      <c r="D27" s="13"/>
      <c r="E27" s="38"/>
      <c r="F27" s="40"/>
      <c r="G27" s="51"/>
      <c r="H27" s="13"/>
      <c r="I27" s="15"/>
      <c r="J27" s="15"/>
      <c r="K27" s="13"/>
      <c r="L27" s="13"/>
      <c r="M27" s="13"/>
      <c r="N27" s="13"/>
      <c r="O27" s="13"/>
      <c r="P27" s="13"/>
      <c r="Q27" s="13"/>
      <c r="R27" s="13"/>
      <c r="S27" s="113"/>
      <c r="T27" s="64"/>
      <c r="U27" s="103"/>
      <c r="V27" s="13"/>
      <c r="W27" s="75" t="s">
        <v>45</v>
      </c>
    </row>
    <row r="28" spans="1:23" x14ac:dyDescent="0.3">
      <c r="A28" s="75"/>
      <c r="B28" s="12"/>
      <c r="C28" s="75"/>
      <c r="D28" s="13"/>
      <c r="E28" s="38"/>
      <c r="F28" s="40"/>
      <c r="G28" s="51"/>
      <c r="H28" s="13"/>
      <c r="I28" s="15"/>
      <c r="J28" s="15"/>
      <c r="K28" s="13"/>
      <c r="L28" s="13"/>
      <c r="M28" s="13"/>
      <c r="N28" s="13"/>
      <c r="O28" s="13"/>
      <c r="P28" s="13"/>
      <c r="Q28" s="13"/>
      <c r="R28" s="13"/>
      <c r="S28" s="113"/>
      <c r="T28" s="64"/>
      <c r="U28" s="103"/>
      <c r="V28" s="13"/>
      <c r="W28" s="75" t="s">
        <v>45</v>
      </c>
    </row>
    <row r="29" spans="1:23" x14ac:dyDescent="0.3">
      <c r="A29" s="75"/>
      <c r="B29" s="12"/>
      <c r="C29" s="75"/>
      <c r="D29" s="13"/>
      <c r="E29" s="38"/>
      <c r="F29" s="40"/>
      <c r="G29" s="51"/>
      <c r="H29" s="13"/>
      <c r="I29" s="15"/>
      <c r="J29" s="15"/>
      <c r="K29" s="13"/>
      <c r="L29" s="13"/>
      <c r="M29" s="13"/>
      <c r="N29" s="13"/>
      <c r="O29" s="13"/>
      <c r="P29" s="13"/>
      <c r="Q29" s="13"/>
      <c r="R29" s="13"/>
      <c r="S29" s="113"/>
      <c r="T29" s="64"/>
      <c r="U29" s="103"/>
      <c r="V29" s="13"/>
      <c r="W29" s="75" t="s">
        <v>45</v>
      </c>
    </row>
    <row r="30" spans="1:23" x14ac:dyDescent="0.3">
      <c r="A30" s="75"/>
      <c r="B30" s="12"/>
      <c r="C30" s="75"/>
      <c r="D30" s="13"/>
      <c r="E30" s="38"/>
      <c r="F30" s="40"/>
      <c r="G30" s="51"/>
      <c r="H30" s="13"/>
      <c r="I30" s="15"/>
      <c r="J30" s="15"/>
      <c r="K30" s="13"/>
      <c r="L30" s="13"/>
      <c r="M30" s="13"/>
      <c r="N30" s="13"/>
      <c r="O30" s="13"/>
      <c r="P30" s="13"/>
      <c r="Q30" s="13"/>
      <c r="R30" s="13"/>
      <c r="S30" s="113"/>
      <c r="T30" s="64"/>
      <c r="U30" s="103"/>
      <c r="V30" s="13"/>
      <c r="W30" s="75" t="s">
        <v>45</v>
      </c>
    </row>
    <row r="31" spans="1:23" x14ac:dyDescent="0.3">
      <c r="A31" s="75"/>
      <c r="B31" s="12"/>
      <c r="C31" s="75"/>
      <c r="D31" s="13"/>
      <c r="E31" s="38"/>
      <c r="F31" s="40"/>
      <c r="G31" s="51"/>
      <c r="H31" s="13"/>
      <c r="I31" s="15"/>
      <c r="J31" s="15"/>
      <c r="K31" s="13"/>
      <c r="L31" s="13"/>
      <c r="M31" s="13"/>
      <c r="N31" s="13"/>
      <c r="O31" s="13"/>
      <c r="P31" s="13"/>
      <c r="Q31" s="13"/>
      <c r="R31" s="13"/>
      <c r="S31" s="113"/>
      <c r="T31" s="64"/>
      <c r="U31" s="103"/>
      <c r="V31" s="13"/>
      <c r="W31" s="75" t="s">
        <v>45</v>
      </c>
    </row>
    <row r="32" spans="1:23" x14ac:dyDescent="0.3">
      <c r="A32" s="75"/>
      <c r="B32" s="12"/>
      <c r="C32" s="75"/>
      <c r="D32" s="13"/>
      <c r="E32" s="38"/>
      <c r="F32" s="40"/>
      <c r="G32" s="51"/>
      <c r="H32" s="13"/>
      <c r="I32" s="15"/>
      <c r="J32" s="15"/>
      <c r="K32" s="13"/>
      <c r="L32" s="13"/>
      <c r="M32" s="13"/>
      <c r="N32" s="13"/>
      <c r="O32" s="13"/>
      <c r="P32" s="13"/>
      <c r="Q32" s="13"/>
      <c r="R32" s="13"/>
      <c r="S32" s="113"/>
      <c r="T32" s="64"/>
      <c r="U32" s="103"/>
      <c r="V32" s="13"/>
      <c r="W32" s="75" t="s">
        <v>45</v>
      </c>
    </row>
    <row r="33" spans="1:23" x14ac:dyDescent="0.3">
      <c r="A33" s="75"/>
      <c r="B33" s="12"/>
      <c r="C33" s="75"/>
      <c r="D33" s="13"/>
      <c r="E33" s="38"/>
      <c r="F33" s="40"/>
      <c r="G33" s="51"/>
      <c r="H33" s="13"/>
      <c r="I33" s="15"/>
      <c r="J33" s="15"/>
      <c r="K33" s="13"/>
      <c r="L33" s="13"/>
      <c r="M33" s="13"/>
      <c r="N33" s="13"/>
      <c r="O33" s="13"/>
      <c r="P33" s="13"/>
      <c r="Q33" s="13"/>
      <c r="R33" s="13"/>
      <c r="S33" s="113"/>
      <c r="T33" s="64"/>
      <c r="U33" s="103"/>
      <c r="V33" s="13"/>
      <c r="W33" s="75" t="s">
        <v>45</v>
      </c>
    </row>
    <row r="34" spans="1:23" x14ac:dyDescent="0.3">
      <c r="A34" s="75"/>
      <c r="B34" s="12"/>
      <c r="C34" s="75"/>
      <c r="D34" s="13"/>
      <c r="E34" s="38"/>
      <c r="F34" s="40"/>
      <c r="G34" s="51"/>
      <c r="H34" s="13"/>
      <c r="I34" s="15"/>
      <c r="J34" s="15"/>
      <c r="K34" s="13"/>
      <c r="L34" s="13"/>
      <c r="M34" s="13"/>
      <c r="N34" s="13"/>
      <c r="O34" s="13"/>
      <c r="P34" s="13"/>
      <c r="Q34" s="13"/>
      <c r="R34" s="13"/>
      <c r="S34" s="113"/>
      <c r="T34" s="64"/>
      <c r="U34" s="103"/>
      <c r="V34" s="13"/>
      <c r="W34" s="75" t="s">
        <v>45</v>
      </c>
    </row>
    <row r="35" spans="1:23" x14ac:dyDescent="0.3">
      <c r="A35" s="75"/>
      <c r="B35" s="12"/>
      <c r="C35" s="75"/>
      <c r="D35" s="13"/>
      <c r="E35" s="38"/>
      <c r="F35" s="40"/>
      <c r="G35" s="51"/>
      <c r="H35" s="13"/>
      <c r="I35" s="15"/>
      <c r="J35" s="15"/>
      <c r="K35" s="13"/>
      <c r="L35" s="13"/>
      <c r="M35" s="13"/>
      <c r="N35" s="13"/>
      <c r="O35" s="13"/>
      <c r="P35" s="13"/>
      <c r="Q35" s="13"/>
      <c r="R35" s="13"/>
      <c r="S35" s="113"/>
      <c r="T35" s="64"/>
      <c r="U35" s="103"/>
      <c r="V35" s="13"/>
      <c r="W35" s="75" t="s">
        <v>45</v>
      </c>
    </row>
    <row r="36" spans="1:23" x14ac:dyDescent="0.3">
      <c r="A36" s="75"/>
      <c r="B36" s="12"/>
      <c r="C36" s="75"/>
      <c r="D36" s="13"/>
      <c r="E36" s="38"/>
      <c r="F36" s="40"/>
      <c r="G36" s="51"/>
      <c r="H36" s="13"/>
      <c r="I36" s="15"/>
      <c r="J36" s="15"/>
      <c r="K36" s="13"/>
      <c r="L36" s="13"/>
      <c r="M36" s="13"/>
      <c r="N36" s="13"/>
      <c r="O36" s="13"/>
      <c r="P36" s="13"/>
      <c r="Q36" s="13"/>
      <c r="R36" s="13"/>
      <c r="S36" s="113"/>
      <c r="T36" s="64"/>
      <c r="U36" s="103"/>
      <c r="V36" s="13"/>
      <c r="W36" s="75" t="s">
        <v>45</v>
      </c>
    </row>
    <row r="37" spans="1:23" x14ac:dyDescent="0.3">
      <c r="A37" s="75"/>
      <c r="B37" s="12"/>
      <c r="C37" s="75"/>
      <c r="D37" s="13"/>
      <c r="E37" s="38"/>
      <c r="F37" s="40"/>
      <c r="G37" s="51"/>
      <c r="H37" s="13"/>
      <c r="I37" s="15"/>
      <c r="J37" s="15"/>
      <c r="K37" s="13"/>
      <c r="L37" s="13"/>
      <c r="M37" s="13"/>
      <c r="N37" s="13"/>
      <c r="O37" s="13"/>
      <c r="P37" s="13"/>
      <c r="Q37" s="13"/>
      <c r="R37" s="13"/>
      <c r="S37" s="113"/>
      <c r="T37" s="64"/>
      <c r="U37" s="103"/>
      <c r="V37" s="13"/>
      <c r="W37" s="75" t="s">
        <v>45</v>
      </c>
    </row>
    <row r="38" spans="1:23" x14ac:dyDescent="0.3">
      <c r="A38" s="75"/>
      <c r="B38" s="12"/>
      <c r="C38" s="75"/>
      <c r="D38" s="13"/>
      <c r="E38" s="38"/>
      <c r="F38" s="40"/>
      <c r="G38" s="51"/>
      <c r="H38" s="13"/>
      <c r="I38" s="15"/>
      <c r="J38" s="15"/>
      <c r="K38" s="13"/>
      <c r="L38" s="13"/>
      <c r="M38" s="13"/>
      <c r="N38" s="13"/>
      <c r="O38" s="13"/>
      <c r="P38" s="13"/>
      <c r="Q38" s="13"/>
      <c r="R38" s="13"/>
      <c r="S38" s="113"/>
      <c r="T38" s="64"/>
      <c r="U38" s="103"/>
      <c r="V38" s="13"/>
      <c r="W38" s="75" t="s">
        <v>45</v>
      </c>
    </row>
    <row r="39" spans="1:23" x14ac:dyDescent="0.3">
      <c r="A39" s="75"/>
      <c r="B39" s="12"/>
      <c r="C39" s="75"/>
      <c r="D39" s="13"/>
      <c r="E39" s="38"/>
      <c r="F39" s="40"/>
      <c r="G39" s="51"/>
      <c r="H39" s="13"/>
      <c r="I39" s="15"/>
      <c r="J39" s="15"/>
      <c r="K39" s="13"/>
      <c r="L39" s="13"/>
      <c r="M39" s="13"/>
      <c r="N39" s="13"/>
      <c r="O39" s="13"/>
      <c r="P39" s="13"/>
      <c r="Q39" s="13"/>
      <c r="R39" s="13"/>
      <c r="S39" s="113"/>
      <c r="T39" s="64"/>
      <c r="U39" s="103"/>
      <c r="V39" s="13"/>
      <c r="W39" s="75" t="s">
        <v>45</v>
      </c>
    </row>
    <row r="40" spans="1:23" x14ac:dyDescent="0.3">
      <c r="A40" s="75"/>
      <c r="B40" s="12"/>
      <c r="C40" s="75"/>
      <c r="D40" s="13"/>
      <c r="E40" s="38"/>
      <c r="F40" s="40"/>
      <c r="G40" s="51"/>
      <c r="H40" s="13"/>
      <c r="I40" s="15"/>
      <c r="J40" s="15"/>
      <c r="K40" s="13"/>
      <c r="L40" s="13"/>
      <c r="M40" s="13"/>
      <c r="N40" s="13"/>
      <c r="O40" s="13"/>
      <c r="P40" s="13"/>
      <c r="Q40" s="13"/>
      <c r="R40" s="13"/>
      <c r="S40" s="113"/>
      <c r="T40" s="64"/>
      <c r="U40" s="103"/>
      <c r="V40" s="13"/>
      <c r="W40" s="75" t="s">
        <v>45</v>
      </c>
    </row>
    <row r="41" spans="1:23" x14ac:dyDescent="0.3">
      <c r="A41" s="75"/>
      <c r="B41" s="12"/>
      <c r="C41" s="75"/>
      <c r="D41" s="13"/>
      <c r="E41" s="38"/>
      <c r="F41" s="40"/>
      <c r="G41" s="51"/>
      <c r="H41" s="13"/>
      <c r="I41" s="15"/>
      <c r="J41" s="15"/>
      <c r="K41" s="13"/>
      <c r="L41" s="13"/>
      <c r="M41" s="13"/>
      <c r="N41" s="13"/>
      <c r="O41" s="13"/>
      <c r="P41" s="13"/>
      <c r="Q41" s="13"/>
      <c r="R41" s="13"/>
      <c r="S41" s="113"/>
      <c r="T41" s="64"/>
      <c r="U41" s="103"/>
      <c r="V41" s="13"/>
      <c r="W41" s="75" t="s">
        <v>45</v>
      </c>
    </row>
    <row r="42" spans="1:23" x14ac:dyDescent="0.3">
      <c r="A42" s="75"/>
      <c r="B42" s="12"/>
      <c r="C42" s="75"/>
      <c r="D42" s="13"/>
      <c r="E42" s="38"/>
      <c r="F42" s="40"/>
      <c r="G42" s="51"/>
      <c r="H42" s="13"/>
      <c r="I42" s="15"/>
      <c r="J42" s="15"/>
      <c r="K42" s="13"/>
      <c r="L42" s="13"/>
      <c r="M42" s="13"/>
      <c r="N42" s="13"/>
      <c r="O42" s="13"/>
      <c r="P42" s="13"/>
      <c r="Q42" s="13"/>
      <c r="R42" s="13"/>
      <c r="S42" s="113"/>
      <c r="T42" s="64"/>
      <c r="U42" s="103"/>
      <c r="V42" s="13"/>
      <c r="W42" s="75" t="s">
        <v>45</v>
      </c>
    </row>
    <row r="43" spans="1:23" x14ac:dyDescent="0.3">
      <c r="A43" s="75"/>
      <c r="B43" s="12"/>
      <c r="C43" s="75"/>
      <c r="D43" s="13"/>
      <c r="E43" s="38"/>
      <c r="F43" s="40"/>
      <c r="G43" s="51"/>
      <c r="H43" s="13"/>
      <c r="I43" s="15"/>
      <c r="J43" s="15"/>
      <c r="K43" s="13"/>
      <c r="L43" s="13"/>
      <c r="M43" s="13"/>
      <c r="N43" s="13"/>
      <c r="O43" s="13"/>
      <c r="P43" s="13"/>
      <c r="Q43" s="13"/>
      <c r="R43" s="13"/>
      <c r="S43" s="113"/>
      <c r="T43" s="64"/>
      <c r="U43" s="103"/>
      <c r="V43" s="13"/>
      <c r="W43" s="75" t="s">
        <v>45</v>
      </c>
    </row>
    <row r="44" spans="1:23" x14ac:dyDescent="0.3">
      <c r="A44" s="75"/>
      <c r="B44" s="12"/>
      <c r="C44" s="75"/>
      <c r="D44" s="13"/>
      <c r="E44" s="38"/>
      <c r="F44" s="40"/>
      <c r="G44" s="51"/>
      <c r="H44" s="13"/>
      <c r="I44" s="15"/>
      <c r="J44" s="15"/>
      <c r="K44" s="13"/>
      <c r="L44" s="13"/>
      <c r="M44" s="13"/>
      <c r="N44" s="13"/>
      <c r="O44" s="13"/>
      <c r="P44" s="13"/>
      <c r="Q44" s="13"/>
      <c r="R44" s="13"/>
      <c r="S44" s="113"/>
      <c r="T44" s="64"/>
      <c r="U44" s="103"/>
      <c r="V44" s="13"/>
      <c r="W44" s="75" t="s">
        <v>45</v>
      </c>
    </row>
    <row r="45" spans="1:23" x14ac:dyDescent="0.3">
      <c r="A45" s="75"/>
      <c r="B45" s="12"/>
      <c r="C45" s="75"/>
      <c r="D45" s="13"/>
      <c r="E45" s="38"/>
      <c r="F45" s="40"/>
      <c r="G45" s="51"/>
      <c r="H45" s="13"/>
      <c r="I45" s="15"/>
      <c r="J45" s="15"/>
      <c r="K45" s="13"/>
      <c r="L45" s="13"/>
      <c r="M45" s="13"/>
      <c r="N45" s="13"/>
      <c r="O45" s="13"/>
      <c r="P45" s="13"/>
      <c r="Q45" s="13"/>
      <c r="R45" s="13"/>
      <c r="S45" s="113"/>
      <c r="T45" s="64"/>
      <c r="U45" s="103"/>
      <c r="V45" s="13"/>
      <c r="W45" s="75" t="s">
        <v>45</v>
      </c>
    </row>
    <row r="46" spans="1:23" x14ac:dyDescent="0.3">
      <c r="A46" s="75"/>
      <c r="B46" s="12"/>
      <c r="C46" s="75"/>
      <c r="D46" s="13"/>
      <c r="E46" s="38"/>
      <c r="F46" s="40"/>
      <c r="G46" s="51"/>
      <c r="H46" s="13"/>
      <c r="I46" s="15"/>
      <c r="J46" s="15"/>
      <c r="K46" s="13"/>
      <c r="L46" s="13"/>
      <c r="M46" s="13"/>
      <c r="N46" s="13"/>
      <c r="O46" s="13"/>
      <c r="P46" s="13"/>
      <c r="Q46" s="13"/>
      <c r="R46" s="13"/>
      <c r="S46" s="113"/>
      <c r="T46" s="64"/>
      <c r="U46" s="103"/>
      <c r="V46" s="13"/>
      <c r="W46" s="75" t="s">
        <v>45</v>
      </c>
    </row>
    <row r="47" spans="1:23" x14ac:dyDescent="0.3">
      <c r="A47" s="75"/>
      <c r="B47" s="12"/>
      <c r="C47" s="75"/>
      <c r="D47" s="13"/>
      <c r="E47" s="38"/>
      <c r="F47" s="40"/>
      <c r="G47" s="51"/>
      <c r="H47" s="13"/>
      <c r="I47" s="15"/>
      <c r="J47" s="15"/>
      <c r="K47" s="13"/>
      <c r="L47" s="13"/>
      <c r="M47" s="13"/>
      <c r="N47" s="13"/>
      <c r="O47" s="13"/>
      <c r="P47" s="13"/>
      <c r="Q47" s="13"/>
      <c r="R47" s="13"/>
      <c r="S47" s="113"/>
      <c r="T47" s="64"/>
      <c r="U47" s="103"/>
      <c r="V47" s="13"/>
      <c r="W47" s="75" t="s">
        <v>45</v>
      </c>
    </row>
    <row r="48" spans="1:23" x14ac:dyDescent="0.3">
      <c r="A48" s="75"/>
      <c r="B48" s="12"/>
      <c r="C48" s="75"/>
      <c r="D48" s="13"/>
      <c r="E48" s="38"/>
      <c r="F48" s="40"/>
      <c r="G48" s="51"/>
      <c r="H48" s="13"/>
      <c r="I48" s="15"/>
      <c r="J48" s="15"/>
      <c r="K48" s="13"/>
      <c r="L48" s="13"/>
      <c r="M48" s="13"/>
      <c r="N48" s="13"/>
      <c r="O48" s="13"/>
      <c r="P48" s="13"/>
      <c r="Q48" s="13"/>
      <c r="R48" s="13"/>
      <c r="S48" s="113"/>
      <c r="T48" s="64"/>
      <c r="U48" s="103"/>
      <c r="V48" s="13"/>
      <c r="W48" s="75" t="s">
        <v>45</v>
      </c>
    </row>
    <row r="49" spans="1:23" x14ac:dyDescent="0.3">
      <c r="A49" s="75"/>
      <c r="B49" s="12"/>
      <c r="C49" s="75"/>
      <c r="D49" s="13"/>
      <c r="E49" s="38"/>
      <c r="F49" s="40"/>
      <c r="G49" s="51"/>
      <c r="H49" s="13"/>
      <c r="I49" s="15"/>
      <c r="J49" s="15"/>
      <c r="K49" s="13"/>
      <c r="L49" s="13"/>
      <c r="M49" s="13"/>
      <c r="N49" s="13"/>
      <c r="O49" s="13"/>
      <c r="P49" s="13"/>
      <c r="Q49" s="13"/>
      <c r="R49" s="13"/>
      <c r="S49" s="113"/>
      <c r="T49" s="64"/>
      <c r="U49" s="103"/>
      <c r="V49" s="13"/>
      <c r="W49" s="75" t="s">
        <v>45</v>
      </c>
    </row>
    <row r="50" spans="1:23" x14ac:dyDescent="0.3">
      <c r="A50" s="75"/>
      <c r="B50" s="12"/>
      <c r="C50" s="75"/>
      <c r="D50" s="13"/>
      <c r="E50" s="38"/>
      <c r="F50" s="40"/>
      <c r="G50" s="51"/>
      <c r="H50" s="13"/>
      <c r="I50" s="15"/>
      <c r="J50" s="15"/>
      <c r="K50" s="13"/>
      <c r="L50" s="13"/>
      <c r="M50" s="13"/>
      <c r="N50" s="13"/>
      <c r="O50" s="13"/>
      <c r="P50" s="13"/>
      <c r="Q50" s="13"/>
      <c r="R50" s="13"/>
      <c r="S50" s="113"/>
      <c r="T50" s="64"/>
      <c r="U50" s="103"/>
      <c r="V50" s="13"/>
      <c r="W50" s="75" t="s">
        <v>45</v>
      </c>
    </row>
    <row r="51" spans="1:23" x14ac:dyDescent="0.3">
      <c r="A51" s="75"/>
      <c r="B51" s="12"/>
      <c r="C51" s="75"/>
      <c r="D51" s="13"/>
      <c r="E51" s="38"/>
      <c r="F51" s="40"/>
      <c r="G51" s="51"/>
      <c r="H51" s="13"/>
      <c r="I51" s="15"/>
      <c r="J51" s="15"/>
      <c r="K51" s="13"/>
      <c r="L51" s="13"/>
      <c r="M51" s="13"/>
      <c r="N51" s="13"/>
      <c r="O51" s="13"/>
      <c r="P51" s="13"/>
      <c r="Q51" s="13"/>
      <c r="R51" s="13"/>
      <c r="S51" s="113"/>
      <c r="T51" s="64"/>
      <c r="U51" s="103"/>
      <c r="V51" s="13"/>
      <c r="W51" s="75" t="s">
        <v>45</v>
      </c>
    </row>
    <row r="52" spans="1:23" x14ac:dyDescent="0.3">
      <c r="A52" s="75"/>
      <c r="B52" s="12"/>
      <c r="C52" s="75"/>
      <c r="D52" s="13"/>
      <c r="E52" s="38"/>
      <c r="F52" s="40"/>
      <c r="G52" s="51"/>
      <c r="H52" s="13"/>
      <c r="I52" s="15"/>
      <c r="J52" s="15"/>
      <c r="K52" s="13"/>
      <c r="L52" s="13"/>
      <c r="M52" s="13"/>
      <c r="N52" s="13"/>
      <c r="O52" s="13"/>
      <c r="P52" s="13"/>
      <c r="Q52" s="13"/>
      <c r="R52" s="13"/>
      <c r="S52" s="113"/>
      <c r="T52" s="64"/>
      <c r="U52" s="103"/>
      <c r="V52" s="13"/>
      <c r="W52" s="75" t="s">
        <v>45</v>
      </c>
    </row>
    <row r="53" spans="1:23" x14ac:dyDescent="0.3">
      <c r="A53" s="75"/>
      <c r="B53" s="12"/>
      <c r="C53" s="75"/>
      <c r="D53" s="13"/>
      <c r="E53" s="38"/>
      <c r="F53" s="40"/>
      <c r="G53" s="51"/>
      <c r="H53" s="13"/>
      <c r="I53" s="15"/>
      <c r="J53" s="15"/>
      <c r="K53" s="13"/>
      <c r="L53" s="13"/>
      <c r="M53" s="13"/>
      <c r="N53" s="13"/>
      <c r="O53" s="13"/>
      <c r="P53" s="13"/>
      <c r="Q53" s="13"/>
      <c r="R53" s="13"/>
      <c r="S53" s="113"/>
      <c r="T53" s="64"/>
      <c r="U53" s="103"/>
      <c r="V53" s="13"/>
      <c r="W53" s="75" t="s">
        <v>45</v>
      </c>
    </row>
    <row r="54" spans="1:23" x14ac:dyDescent="0.3">
      <c r="A54" s="75"/>
      <c r="B54" s="12"/>
      <c r="C54" s="75"/>
      <c r="D54" s="13"/>
      <c r="E54" s="38"/>
      <c r="F54" s="40"/>
      <c r="G54" s="51"/>
      <c r="H54" s="13"/>
      <c r="I54" s="15"/>
      <c r="J54" s="15"/>
      <c r="K54" s="13"/>
      <c r="L54" s="13"/>
      <c r="M54" s="13"/>
      <c r="N54" s="13"/>
      <c r="O54" s="13"/>
      <c r="P54" s="13"/>
      <c r="Q54" s="13"/>
      <c r="R54" s="13"/>
      <c r="S54" s="113"/>
      <c r="T54" s="64"/>
      <c r="U54" s="103"/>
      <c r="V54" s="13"/>
      <c r="W54" s="75" t="s">
        <v>45</v>
      </c>
    </row>
    <row r="55" spans="1:23" x14ac:dyDescent="0.3">
      <c r="A55" s="75"/>
      <c r="B55" s="12"/>
      <c r="C55" s="75"/>
      <c r="D55" s="13"/>
      <c r="E55" s="38"/>
      <c r="F55" s="40"/>
      <c r="G55" s="51"/>
      <c r="H55" s="13"/>
      <c r="I55" s="15"/>
      <c r="J55" s="15"/>
      <c r="K55" s="13"/>
      <c r="L55" s="13"/>
      <c r="M55" s="13"/>
      <c r="N55" s="13"/>
      <c r="O55" s="13"/>
      <c r="P55" s="13"/>
      <c r="Q55" s="13"/>
      <c r="R55" s="13"/>
      <c r="S55" s="113"/>
      <c r="T55" s="64"/>
      <c r="U55" s="103"/>
      <c r="V55" s="13"/>
      <c r="W55" s="75" t="s">
        <v>45</v>
      </c>
    </row>
    <row r="56" spans="1:23" x14ac:dyDescent="0.3">
      <c r="A56" s="75"/>
      <c r="B56" s="12"/>
      <c r="C56" s="75"/>
      <c r="D56" s="13"/>
      <c r="E56" s="38"/>
      <c r="F56" s="40"/>
      <c r="G56" s="51"/>
      <c r="H56" s="13"/>
      <c r="I56" s="15"/>
      <c r="J56" s="15"/>
      <c r="K56" s="13"/>
      <c r="L56" s="13"/>
      <c r="M56" s="13"/>
      <c r="N56" s="13"/>
      <c r="O56" s="13"/>
      <c r="P56" s="13"/>
      <c r="Q56" s="13"/>
      <c r="R56" s="13"/>
      <c r="S56" s="113"/>
      <c r="T56" s="64"/>
      <c r="U56" s="103"/>
      <c r="V56" s="13"/>
      <c r="W56" s="75" t="s">
        <v>45</v>
      </c>
    </row>
    <row r="57" spans="1:23" x14ac:dyDescent="0.3">
      <c r="A57" s="75"/>
      <c r="B57" s="12"/>
      <c r="C57" s="75"/>
      <c r="D57" s="13"/>
      <c r="E57" s="38"/>
      <c r="F57" s="40"/>
      <c r="G57" s="51"/>
      <c r="H57" s="13"/>
      <c r="I57" s="15"/>
      <c r="J57" s="15"/>
      <c r="K57" s="13"/>
      <c r="L57" s="13"/>
      <c r="M57" s="13"/>
      <c r="N57" s="13"/>
      <c r="O57" s="13"/>
      <c r="P57" s="13"/>
      <c r="Q57" s="13"/>
      <c r="R57" s="13"/>
      <c r="S57" s="113"/>
      <c r="T57" s="64"/>
      <c r="U57" s="103"/>
      <c r="V57" s="13"/>
      <c r="W57" s="75" t="s">
        <v>45</v>
      </c>
    </row>
    <row r="58" spans="1:23" x14ac:dyDescent="0.3">
      <c r="A58" s="75"/>
      <c r="B58" s="12"/>
      <c r="C58" s="75"/>
      <c r="D58" s="13"/>
      <c r="E58" s="38"/>
      <c r="F58" s="40"/>
      <c r="G58" s="51"/>
      <c r="H58" s="13"/>
      <c r="I58" s="15"/>
      <c r="J58" s="15"/>
      <c r="K58" s="13"/>
      <c r="L58" s="13"/>
      <c r="M58" s="13"/>
      <c r="N58" s="13"/>
      <c r="O58" s="13"/>
      <c r="P58" s="13"/>
      <c r="Q58" s="13"/>
      <c r="R58" s="13"/>
      <c r="S58" s="113"/>
      <c r="T58" s="64"/>
      <c r="U58" s="103"/>
      <c r="V58" s="13"/>
      <c r="W58" s="75" t="s">
        <v>45</v>
      </c>
    </row>
    <row r="59" spans="1:23" x14ac:dyDescent="0.3">
      <c r="A59" s="75"/>
      <c r="B59" s="12"/>
      <c r="C59" s="75"/>
      <c r="D59" s="13"/>
      <c r="E59" s="38"/>
      <c r="F59" s="40"/>
      <c r="G59" s="51"/>
      <c r="H59" s="13"/>
      <c r="I59" s="15"/>
      <c r="J59" s="15"/>
      <c r="K59" s="13"/>
      <c r="L59" s="13"/>
      <c r="M59" s="13"/>
      <c r="N59" s="13"/>
      <c r="O59" s="13"/>
      <c r="P59" s="13"/>
      <c r="Q59" s="13"/>
      <c r="R59" s="13"/>
      <c r="S59" s="113"/>
      <c r="T59" s="64"/>
      <c r="U59" s="103"/>
      <c r="V59" s="13"/>
      <c r="W59" s="75" t="s">
        <v>45</v>
      </c>
    </row>
    <row r="60" spans="1:23" x14ac:dyDescent="0.3">
      <c r="A60" s="75"/>
      <c r="B60" s="12"/>
      <c r="C60" s="75"/>
      <c r="D60" s="13"/>
      <c r="E60" s="38"/>
      <c r="F60" s="40"/>
      <c r="G60" s="51"/>
      <c r="H60" s="13"/>
      <c r="I60" s="15"/>
      <c r="J60" s="15"/>
      <c r="K60" s="13"/>
      <c r="L60" s="13"/>
      <c r="M60" s="13"/>
      <c r="N60" s="13"/>
      <c r="O60" s="13"/>
      <c r="P60" s="13"/>
      <c r="Q60" s="13"/>
      <c r="R60" s="13"/>
      <c r="S60" s="113"/>
      <c r="T60" s="64"/>
      <c r="U60" s="103"/>
      <c r="V60" s="13"/>
      <c r="W60" s="75" t="s">
        <v>45</v>
      </c>
    </row>
    <row r="61" spans="1:23" x14ac:dyDescent="0.3">
      <c r="A61" s="75"/>
      <c r="B61" s="12"/>
      <c r="C61" s="75"/>
      <c r="D61" s="13"/>
      <c r="E61" s="38"/>
      <c r="F61" s="40"/>
      <c r="G61" s="51"/>
      <c r="H61" s="13"/>
      <c r="I61" s="15"/>
      <c r="J61" s="15"/>
      <c r="K61" s="13"/>
      <c r="L61" s="13"/>
      <c r="M61" s="13"/>
      <c r="N61" s="13"/>
      <c r="O61" s="13"/>
      <c r="P61" s="13"/>
      <c r="Q61" s="13"/>
      <c r="R61" s="13"/>
      <c r="S61" s="113"/>
      <c r="T61" s="64"/>
      <c r="U61" s="103"/>
      <c r="V61" s="13"/>
      <c r="W61" s="75" t="s">
        <v>45</v>
      </c>
    </row>
    <row r="62" spans="1:23" x14ac:dyDescent="0.3">
      <c r="A62" s="75"/>
      <c r="B62" s="12"/>
      <c r="C62" s="75"/>
      <c r="D62" s="13"/>
      <c r="E62" s="38"/>
      <c r="F62" s="40"/>
      <c r="G62" s="51"/>
      <c r="H62" s="13"/>
      <c r="I62" s="15"/>
      <c r="J62" s="15"/>
      <c r="K62" s="13"/>
      <c r="L62" s="13"/>
      <c r="M62" s="13"/>
      <c r="N62" s="13"/>
      <c r="O62" s="13"/>
      <c r="P62" s="13"/>
      <c r="Q62" s="13"/>
      <c r="R62" s="13"/>
      <c r="S62" s="113"/>
      <c r="T62" s="64"/>
      <c r="U62" s="103"/>
      <c r="V62" s="13"/>
      <c r="W62" s="75" t="s">
        <v>45</v>
      </c>
    </row>
    <row r="63" spans="1:23" x14ac:dyDescent="0.3">
      <c r="A63" s="75"/>
      <c r="B63" s="12"/>
      <c r="C63" s="75"/>
      <c r="D63" s="13"/>
      <c r="E63" s="38"/>
      <c r="F63" s="40"/>
      <c r="G63" s="51"/>
      <c r="H63" s="13"/>
      <c r="I63" s="15"/>
      <c r="J63" s="15"/>
      <c r="K63" s="13"/>
      <c r="L63" s="13"/>
      <c r="M63" s="13"/>
      <c r="N63" s="13"/>
      <c r="O63" s="13"/>
      <c r="P63" s="13"/>
      <c r="Q63" s="13"/>
      <c r="R63" s="13"/>
      <c r="S63" s="113"/>
      <c r="T63" s="64"/>
      <c r="U63" s="103"/>
      <c r="V63" s="13"/>
      <c r="W63" s="75" t="s">
        <v>45</v>
      </c>
    </row>
    <row r="64" spans="1:23" x14ac:dyDescent="0.3">
      <c r="A64" s="75"/>
      <c r="B64" s="12"/>
      <c r="C64" s="75"/>
      <c r="D64" s="13"/>
      <c r="E64" s="38"/>
      <c r="F64" s="40"/>
      <c r="G64" s="51"/>
      <c r="H64" s="13"/>
      <c r="I64" s="15"/>
      <c r="J64" s="15"/>
      <c r="K64" s="13"/>
      <c r="L64" s="13"/>
      <c r="M64" s="13"/>
      <c r="N64" s="13"/>
      <c r="O64" s="13"/>
      <c r="P64" s="13"/>
      <c r="Q64" s="13"/>
      <c r="R64" s="13"/>
      <c r="S64" s="113"/>
      <c r="T64" s="64"/>
      <c r="U64" s="103"/>
      <c r="V64" s="13"/>
      <c r="W64" s="75" t="s">
        <v>45</v>
      </c>
    </row>
    <row r="65" spans="1:23" x14ac:dyDescent="0.3">
      <c r="A65" s="75"/>
      <c r="B65" s="12"/>
      <c r="C65" s="75"/>
      <c r="D65" s="13"/>
      <c r="E65" s="38"/>
      <c r="F65" s="40"/>
      <c r="G65" s="51"/>
      <c r="H65" s="13"/>
      <c r="I65" s="15"/>
      <c r="J65" s="15"/>
      <c r="K65" s="13"/>
      <c r="L65" s="13"/>
      <c r="M65" s="13"/>
      <c r="N65" s="13"/>
      <c r="O65" s="13"/>
      <c r="P65" s="13"/>
      <c r="Q65" s="13"/>
      <c r="R65" s="13"/>
      <c r="S65" s="113"/>
      <c r="T65" s="64"/>
      <c r="U65" s="103"/>
      <c r="V65" s="13"/>
      <c r="W65" s="75" t="s">
        <v>45</v>
      </c>
    </row>
    <row r="66" spans="1:23" x14ac:dyDescent="0.3">
      <c r="A66" s="75"/>
      <c r="B66" s="12"/>
      <c r="C66" s="75"/>
      <c r="D66" s="13"/>
      <c r="E66" s="38"/>
      <c r="F66" s="40"/>
      <c r="G66" s="51"/>
      <c r="H66" s="13"/>
      <c r="I66" s="15"/>
      <c r="J66" s="15"/>
      <c r="K66" s="13"/>
      <c r="L66" s="13"/>
      <c r="M66" s="13"/>
      <c r="N66" s="13"/>
      <c r="O66" s="13"/>
      <c r="P66" s="13"/>
      <c r="Q66" s="13"/>
      <c r="R66" s="13"/>
      <c r="S66" s="113"/>
      <c r="T66" s="64"/>
      <c r="U66" s="103"/>
      <c r="V66" s="13"/>
      <c r="W66" s="75" t="s">
        <v>45</v>
      </c>
    </row>
    <row r="67" spans="1:23" x14ac:dyDescent="0.3">
      <c r="A67" s="75"/>
      <c r="B67" s="12"/>
      <c r="C67" s="75"/>
      <c r="D67" s="13"/>
      <c r="E67" s="38"/>
      <c r="F67" s="40"/>
      <c r="G67" s="51"/>
      <c r="H67" s="13"/>
      <c r="I67" s="15"/>
      <c r="J67" s="15"/>
      <c r="K67" s="13"/>
      <c r="L67" s="13"/>
      <c r="M67" s="13"/>
      <c r="N67" s="13"/>
      <c r="O67" s="13"/>
      <c r="P67" s="13"/>
      <c r="Q67" s="13"/>
      <c r="R67" s="13"/>
      <c r="S67" s="113"/>
      <c r="T67" s="64"/>
      <c r="U67" s="103"/>
      <c r="V67" s="13"/>
      <c r="W67" s="75" t="s">
        <v>45</v>
      </c>
    </row>
    <row r="68" spans="1:23" x14ac:dyDescent="0.3">
      <c r="A68" s="75"/>
      <c r="B68" s="12"/>
      <c r="C68" s="75"/>
      <c r="D68" s="13"/>
      <c r="E68" s="38"/>
      <c r="F68" s="40"/>
      <c r="G68" s="51"/>
      <c r="H68" s="13"/>
      <c r="I68" s="15"/>
      <c r="J68" s="15"/>
      <c r="K68" s="13"/>
      <c r="L68" s="13"/>
      <c r="M68" s="13"/>
      <c r="N68" s="13"/>
      <c r="O68" s="13"/>
      <c r="P68" s="13"/>
      <c r="Q68" s="13"/>
      <c r="R68" s="13"/>
      <c r="S68" s="113"/>
      <c r="T68" s="64"/>
      <c r="U68" s="103"/>
      <c r="V68" s="13"/>
      <c r="W68" s="75" t="s">
        <v>45</v>
      </c>
    </row>
    <row r="69" spans="1:23" x14ac:dyDescent="0.3">
      <c r="A69" s="75"/>
      <c r="B69" s="12"/>
      <c r="C69" s="75"/>
      <c r="D69" s="13"/>
      <c r="E69" s="38"/>
      <c r="F69" s="40"/>
      <c r="G69" s="51"/>
      <c r="H69" s="13"/>
      <c r="I69" s="15"/>
      <c r="J69" s="15"/>
      <c r="K69" s="13"/>
      <c r="L69" s="13"/>
      <c r="M69" s="13"/>
      <c r="N69" s="13"/>
      <c r="O69" s="13"/>
      <c r="P69" s="13"/>
      <c r="Q69" s="13"/>
      <c r="R69" s="13"/>
      <c r="S69" s="113"/>
      <c r="T69" s="64"/>
      <c r="U69" s="103"/>
      <c r="V69" s="13"/>
      <c r="W69" s="75" t="s">
        <v>45</v>
      </c>
    </row>
    <row r="70" spans="1:23" x14ac:dyDescent="0.3">
      <c r="A70" s="75"/>
      <c r="B70" s="12"/>
      <c r="C70" s="75"/>
      <c r="D70" s="13"/>
      <c r="E70" s="38"/>
      <c r="F70" s="40"/>
      <c r="G70" s="51"/>
      <c r="H70" s="13"/>
      <c r="I70" s="15"/>
      <c r="J70" s="15"/>
      <c r="K70" s="13"/>
      <c r="L70" s="13"/>
      <c r="M70" s="13"/>
      <c r="N70" s="13"/>
      <c r="O70" s="13"/>
      <c r="P70" s="13"/>
      <c r="Q70" s="13"/>
      <c r="R70" s="13"/>
      <c r="S70" s="113"/>
      <c r="T70" s="64"/>
      <c r="U70" s="103"/>
      <c r="V70" s="13"/>
      <c r="W70" s="75" t="s">
        <v>45</v>
      </c>
    </row>
    <row r="71" spans="1:23" x14ac:dyDescent="0.3">
      <c r="A71" s="75"/>
      <c r="B71" s="12"/>
      <c r="C71" s="75"/>
      <c r="D71" s="13"/>
      <c r="E71" s="38"/>
      <c r="F71" s="40"/>
      <c r="G71" s="51"/>
      <c r="H71" s="13"/>
      <c r="I71" s="15"/>
      <c r="J71" s="15"/>
      <c r="K71" s="13"/>
      <c r="L71" s="13"/>
      <c r="M71" s="13"/>
      <c r="N71" s="13"/>
      <c r="O71" s="13"/>
      <c r="P71" s="13"/>
      <c r="Q71" s="13"/>
      <c r="R71" s="13"/>
      <c r="S71" s="113"/>
      <c r="T71" s="64"/>
      <c r="U71" s="103"/>
      <c r="V71" s="13"/>
      <c r="W71" s="75" t="s">
        <v>45</v>
      </c>
    </row>
    <row r="72" spans="1:23" x14ac:dyDescent="0.3">
      <c r="A72" s="75"/>
      <c r="B72" s="12"/>
      <c r="C72" s="75"/>
      <c r="D72" s="13"/>
      <c r="E72" s="38"/>
      <c r="F72" s="40"/>
      <c r="G72" s="51"/>
      <c r="H72" s="13"/>
      <c r="I72" s="15"/>
      <c r="J72" s="15"/>
      <c r="K72" s="13"/>
      <c r="L72" s="13"/>
      <c r="M72" s="13"/>
      <c r="N72" s="13"/>
      <c r="O72" s="13"/>
      <c r="P72" s="13"/>
      <c r="Q72" s="13"/>
      <c r="R72" s="13"/>
      <c r="S72" s="113"/>
      <c r="T72" s="64"/>
      <c r="U72" s="103"/>
      <c r="V72" s="13"/>
      <c r="W72" s="75" t="s">
        <v>45</v>
      </c>
    </row>
    <row r="73" spans="1:23" x14ac:dyDescent="0.3">
      <c r="A73" s="75"/>
      <c r="B73" s="12"/>
      <c r="C73" s="75"/>
      <c r="D73" s="13"/>
      <c r="E73" s="38"/>
      <c r="F73" s="40"/>
      <c r="G73" s="51"/>
      <c r="H73" s="13"/>
      <c r="I73" s="15"/>
      <c r="J73" s="15"/>
      <c r="K73" s="13"/>
      <c r="L73" s="13"/>
      <c r="M73" s="13"/>
      <c r="N73" s="13"/>
      <c r="O73" s="13"/>
      <c r="P73" s="13"/>
      <c r="Q73" s="13"/>
      <c r="R73" s="13"/>
      <c r="S73" s="113"/>
      <c r="T73" s="64"/>
      <c r="U73" s="103"/>
      <c r="V73" s="13"/>
      <c r="W73" s="75" t="s">
        <v>45</v>
      </c>
    </row>
    <row r="74" spans="1:23" x14ac:dyDescent="0.3">
      <c r="A74" s="75"/>
      <c r="B74" s="12"/>
      <c r="C74" s="75"/>
      <c r="D74" s="13"/>
      <c r="E74" s="38"/>
      <c r="F74" s="40"/>
      <c r="G74" s="51"/>
      <c r="H74" s="13"/>
      <c r="I74" s="15"/>
      <c r="J74" s="15"/>
      <c r="K74" s="13"/>
      <c r="L74" s="13"/>
      <c r="M74" s="13"/>
      <c r="N74" s="13"/>
      <c r="O74" s="13"/>
      <c r="P74" s="13"/>
      <c r="Q74" s="13"/>
      <c r="R74" s="13"/>
      <c r="S74" s="113"/>
      <c r="T74" s="64"/>
      <c r="U74" s="103"/>
      <c r="V74" s="13"/>
      <c r="W74" s="75" t="s">
        <v>45</v>
      </c>
    </row>
    <row r="75" spans="1:23" x14ac:dyDescent="0.3">
      <c r="A75" s="75"/>
      <c r="B75" s="12"/>
      <c r="C75" s="75"/>
      <c r="D75" s="13"/>
      <c r="E75" s="38"/>
      <c r="F75" s="40"/>
      <c r="G75" s="51"/>
      <c r="H75" s="13"/>
      <c r="I75" s="15"/>
      <c r="J75" s="15"/>
      <c r="K75" s="13"/>
      <c r="L75" s="13"/>
      <c r="M75" s="13"/>
      <c r="N75" s="13"/>
      <c r="O75" s="13"/>
      <c r="P75" s="13"/>
      <c r="Q75" s="13"/>
      <c r="R75" s="13"/>
      <c r="S75" s="113"/>
      <c r="T75" s="64"/>
      <c r="U75" s="103"/>
      <c r="V75" s="13"/>
      <c r="W75" s="75" t="s">
        <v>45</v>
      </c>
    </row>
    <row r="76" spans="1:23" x14ac:dyDescent="0.3">
      <c r="A76" s="75"/>
      <c r="B76" s="12"/>
      <c r="C76" s="75"/>
      <c r="D76" s="13"/>
      <c r="E76" s="38"/>
      <c r="F76" s="40"/>
      <c r="G76" s="51"/>
      <c r="H76" s="13"/>
      <c r="I76" s="15"/>
      <c r="J76" s="15"/>
      <c r="K76" s="13"/>
      <c r="L76" s="13"/>
      <c r="M76" s="13"/>
      <c r="N76" s="13"/>
      <c r="O76" s="13"/>
      <c r="P76" s="13"/>
      <c r="Q76" s="13"/>
      <c r="R76" s="13"/>
      <c r="S76" s="113"/>
      <c r="T76" s="64"/>
      <c r="U76" s="103"/>
      <c r="V76" s="13"/>
      <c r="W76" s="22"/>
    </row>
    <row r="77" spans="1:23" x14ac:dyDescent="0.3">
      <c r="A77" s="75"/>
      <c r="B77" s="12"/>
      <c r="C77" s="75"/>
      <c r="D77" s="13"/>
      <c r="E77" s="38"/>
      <c r="F77" s="40"/>
      <c r="G77" s="51"/>
      <c r="H77" s="13"/>
      <c r="I77" s="15"/>
      <c r="J77" s="15"/>
      <c r="K77" s="13"/>
      <c r="L77" s="13"/>
      <c r="M77" s="13"/>
      <c r="N77" s="13"/>
      <c r="O77" s="13"/>
      <c r="P77" s="13"/>
      <c r="Q77" s="13"/>
      <c r="R77" s="13"/>
      <c r="S77" s="113"/>
      <c r="T77" s="64"/>
      <c r="U77" s="103"/>
      <c r="V77" s="13"/>
      <c r="W77" s="13"/>
    </row>
    <row r="78" spans="1:23" x14ac:dyDescent="0.3">
      <c r="S78" s="13"/>
    </row>
    <row r="79" spans="1:23" x14ac:dyDescent="0.3">
      <c r="S79" s="13"/>
    </row>
  </sheetData>
  <mergeCells count="2">
    <mergeCell ref="A8:P8"/>
    <mergeCell ref="Q8:W8"/>
  </mergeCells>
  <conditionalFormatting sqref="U9">
    <cfRule type="cellIs" dxfId="64" priority="17" operator="between">
      <formula>6</formula>
      <formula>10</formula>
    </cfRule>
    <cfRule type="cellIs" dxfId="63" priority="18" operator="between">
      <formula>1</formula>
      <formula>5</formula>
    </cfRule>
  </conditionalFormatting>
  <conditionalFormatting sqref="U9">
    <cfRule type="cellIs" dxfId="62" priority="16" operator="between">
      <formula>11</formula>
      <formula>30</formula>
    </cfRule>
  </conditionalFormatting>
  <dataValidations count="3">
    <dataValidation type="list" allowBlank="1" showInputMessage="1" showErrorMessage="1" sqref="L10:N77" xr:uid="{E12FD33B-D91B-420C-B810-21D4EC38401F}">
      <formula1>"Sim,Não"</formula1>
    </dataValidation>
    <dataValidation type="list" allowBlank="1" showInputMessage="1" showErrorMessage="1" sqref="K10:K77" xr:uid="{9DABE528-72D2-46B6-9786-653A28730853}">
      <formula1>"Legado,Novo"</formula1>
    </dataValidation>
    <dataValidation type="list" allowBlank="1" showInputMessage="1" showErrorMessage="1" sqref="D10:D77" xr:uid="{08C2C116-0396-4387-8372-7FAEF5AAE58E}">
      <formula1>"Sim, Não"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5F251-899F-40AE-B951-0729E14C820E}">
  <sheetPr codeName="Planilha2"/>
  <dimension ref="A1:W79"/>
  <sheetViews>
    <sheetView showGridLines="0" zoomScaleNormal="100" workbookViewId="0">
      <selection activeCell="D1" sqref="D1:L6"/>
    </sheetView>
  </sheetViews>
  <sheetFormatPr defaultRowHeight="14.4" x14ac:dyDescent="0.3"/>
  <cols>
    <col min="1" max="1" width="25.6640625" style="18" customWidth="1"/>
    <col min="2" max="2" width="21.5546875" style="16" bestFit="1" customWidth="1"/>
    <col min="3" max="3" width="27.33203125" bestFit="1" customWidth="1"/>
    <col min="4" max="4" width="33.109375" customWidth="1"/>
    <col min="5" max="5" width="59.33203125" style="2" bestFit="1" customWidth="1"/>
    <col min="6" max="6" width="18.109375" style="3" bestFit="1" customWidth="1"/>
    <col min="7" max="7" width="17.44140625" style="2" bestFit="1" customWidth="1"/>
    <col min="8" max="8" width="38.88671875" bestFit="1" customWidth="1"/>
    <col min="9" max="9" width="27.88671875" style="4" bestFit="1" customWidth="1"/>
    <col min="10" max="10" width="14.33203125" style="4" customWidth="1"/>
    <col min="11" max="11" width="21" bestFit="1" customWidth="1"/>
    <col min="12" max="12" width="11.5546875" bestFit="1" customWidth="1"/>
    <col min="13" max="13" width="13.44140625" bestFit="1" customWidth="1"/>
    <col min="14" max="14" width="21.33203125" bestFit="1" customWidth="1"/>
    <col min="15" max="15" width="74.77734375" bestFit="1" customWidth="1"/>
    <col min="16" max="16" width="36.44140625" bestFit="1" customWidth="1"/>
    <col min="17" max="17" width="18.33203125" bestFit="1" customWidth="1"/>
    <col min="18" max="18" width="23" bestFit="1" customWidth="1"/>
    <col min="19" max="19" width="30" bestFit="1" customWidth="1"/>
    <col min="20" max="20" width="29.33203125" style="3" bestFit="1" customWidth="1"/>
    <col min="21" max="21" width="23.5546875" style="18" customWidth="1"/>
    <col min="22" max="22" width="30" bestFit="1" customWidth="1"/>
    <col min="23" max="23" width="8.6640625" bestFit="1" customWidth="1"/>
  </cols>
  <sheetData>
    <row r="1" spans="1:23" x14ac:dyDescent="0.3">
      <c r="B1" s="71"/>
    </row>
    <row r="5" spans="1:23" x14ac:dyDescent="0.3">
      <c r="T5" s="66"/>
    </row>
    <row r="6" spans="1:23" x14ac:dyDescent="0.3">
      <c r="B6" s="67" t="s">
        <v>73</v>
      </c>
      <c r="C6" s="17">
        <f ca="1">TODAY()</f>
        <v>44543</v>
      </c>
      <c r="U6" s="111">
        <f ca="1">TODAY()</f>
        <v>44543</v>
      </c>
    </row>
    <row r="7" spans="1:23" s="8" customFormat="1" ht="3.75" customHeight="1" thickBot="1" x14ac:dyDescent="0.35">
      <c r="A7" s="20"/>
      <c r="B7" s="7"/>
      <c r="E7" s="9"/>
      <c r="F7" s="10"/>
      <c r="G7" s="9"/>
      <c r="I7" s="11"/>
      <c r="J7" s="11"/>
      <c r="T7" s="10"/>
      <c r="U7" s="20"/>
    </row>
    <row r="8" spans="1:23" ht="15" thickBot="1" x14ac:dyDescent="0.35">
      <c r="A8" s="123" t="s">
        <v>62</v>
      </c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4"/>
      <c r="Q8" s="125" t="s">
        <v>63</v>
      </c>
      <c r="R8" s="126"/>
      <c r="S8" s="126"/>
      <c r="T8" s="126"/>
      <c r="U8" s="126"/>
      <c r="V8" s="126"/>
      <c r="W8" s="126"/>
    </row>
    <row r="9" spans="1:23" ht="28.8" x14ac:dyDescent="0.3">
      <c r="A9" s="77" t="s">
        <v>1</v>
      </c>
      <c r="B9" s="78" t="s">
        <v>2</v>
      </c>
      <c r="C9" s="79" t="s">
        <v>3</v>
      </c>
      <c r="D9" s="79" t="s">
        <v>4</v>
      </c>
      <c r="E9" s="80" t="s">
        <v>5</v>
      </c>
      <c r="F9" s="81" t="s">
        <v>64</v>
      </c>
      <c r="G9" s="80" t="s">
        <v>6</v>
      </c>
      <c r="H9" s="82" t="s">
        <v>7</v>
      </c>
      <c r="I9" s="83" t="s">
        <v>8</v>
      </c>
      <c r="J9" s="84" t="s">
        <v>9</v>
      </c>
      <c r="K9" s="85" t="s">
        <v>10</v>
      </c>
      <c r="L9" s="79" t="s">
        <v>11</v>
      </c>
      <c r="M9" s="79" t="s">
        <v>12</v>
      </c>
      <c r="N9" s="79" t="s">
        <v>13</v>
      </c>
      <c r="O9" s="79" t="s">
        <v>14</v>
      </c>
      <c r="P9" s="79" t="s">
        <v>15</v>
      </c>
      <c r="Q9" s="79" t="s">
        <v>16</v>
      </c>
      <c r="R9" s="79" t="s">
        <v>17</v>
      </c>
      <c r="S9" s="79" t="s">
        <v>18</v>
      </c>
      <c r="T9" s="81" t="s">
        <v>19</v>
      </c>
      <c r="U9" s="86" t="s">
        <v>20</v>
      </c>
      <c r="V9" s="79" t="s">
        <v>21</v>
      </c>
      <c r="W9" s="77" t="s">
        <v>0</v>
      </c>
    </row>
    <row r="10" spans="1:23" x14ac:dyDescent="0.3">
      <c r="A10" s="75"/>
      <c r="B10" s="12"/>
      <c r="C10" s="75"/>
      <c r="D10" s="13"/>
      <c r="E10" s="38"/>
      <c r="F10" s="40"/>
      <c r="G10" s="51"/>
      <c r="H10" s="13"/>
      <c r="I10" s="15"/>
      <c r="J10" s="15"/>
      <c r="K10" s="13"/>
      <c r="L10" s="13"/>
      <c r="M10" s="13"/>
      <c r="N10" s="13"/>
      <c r="O10" s="13"/>
      <c r="P10" s="13"/>
      <c r="Q10" s="13"/>
      <c r="R10" s="13"/>
      <c r="S10" s="113"/>
      <c r="T10" s="64"/>
      <c r="U10" s="103"/>
      <c r="V10" s="13"/>
      <c r="W10" s="75" t="s">
        <v>46</v>
      </c>
    </row>
    <row r="11" spans="1:23" x14ac:dyDescent="0.3">
      <c r="A11" s="75"/>
      <c r="B11" s="12"/>
      <c r="C11" s="75"/>
      <c r="D11" s="13"/>
      <c r="E11" s="38"/>
      <c r="F11" s="40"/>
      <c r="G11" s="51"/>
      <c r="H11" s="13"/>
      <c r="I11" s="15"/>
      <c r="J11" s="15"/>
      <c r="K11" s="13"/>
      <c r="L11" s="13"/>
      <c r="M11" s="13"/>
      <c r="N11" s="13"/>
      <c r="O11" s="13"/>
      <c r="P11" s="13"/>
      <c r="Q11" s="13"/>
      <c r="R11" s="13"/>
      <c r="S11" s="113"/>
      <c r="T11" s="64"/>
      <c r="U11" s="103"/>
      <c r="V11" s="13"/>
      <c r="W11" s="75" t="s">
        <v>46</v>
      </c>
    </row>
    <row r="12" spans="1:23" x14ac:dyDescent="0.3">
      <c r="A12" s="75"/>
      <c r="B12" s="12"/>
      <c r="C12" s="75"/>
      <c r="D12" s="13"/>
      <c r="E12" s="38"/>
      <c r="F12" s="40"/>
      <c r="G12" s="51"/>
      <c r="H12" s="13"/>
      <c r="I12" s="15"/>
      <c r="J12" s="15"/>
      <c r="K12" s="13"/>
      <c r="L12" s="13"/>
      <c r="M12" s="13"/>
      <c r="N12" s="13"/>
      <c r="O12" s="13"/>
      <c r="P12" s="13"/>
      <c r="Q12" s="13"/>
      <c r="R12" s="13"/>
      <c r="S12" s="113"/>
      <c r="T12" s="64"/>
      <c r="U12" s="103"/>
      <c r="V12" s="13"/>
      <c r="W12" s="75" t="s">
        <v>46</v>
      </c>
    </row>
    <row r="13" spans="1:23" x14ac:dyDescent="0.3">
      <c r="A13" s="75"/>
      <c r="B13" s="12"/>
      <c r="C13" s="75"/>
      <c r="D13" s="13"/>
      <c r="E13" s="38"/>
      <c r="F13" s="40"/>
      <c r="G13" s="51"/>
      <c r="H13" s="13"/>
      <c r="I13" s="15"/>
      <c r="J13" s="15"/>
      <c r="K13" s="13"/>
      <c r="L13" s="13"/>
      <c r="M13" s="13"/>
      <c r="N13" s="13"/>
      <c r="O13" s="13"/>
      <c r="P13" s="13"/>
      <c r="Q13" s="13"/>
      <c r="R13" s="13"/>
      <c r="S13" s="113"/>
      <c r="T13" s="64"/>
      <c r="U13" s="103"/>
      <c r="V13" s="13"/>
      <c r="W13" s="75" t="s">
        <v>46</v>
      </c>
    </row>
    <row r="14" spans="1:23" x14ac:dyDescent="0.3">
      <c r="A14" s="75"/>
      <c r="B14" s="12"/>
      <c r="C14" s="75"/>
      <c r="D14" s="13"/>
      <c r="E14" s="38"/>
      <c r="F14" s="40"/>
      <c r="G14" s="51"/>
      <c r="H14" s="13"/>
      <c r="I14" s="15"/>
      <c r="J14" s="15"/>
      <c r="K14" s="13"/>
      <c r="L14" s="13"/>
      <c r="M14" s="13"/>
      <c r="N14" s="13"/>
      <c r="O14" s="13"/>
      <c r="P14" s="13"/>
      <c r="Q14" s="13"/>
      <c r="R14" s="13"/>
      <c r="S14" s="113"/>
      <c r="T14" s="64"/>
      <c r="U14" s="103"/>
      <c r="V14" s="13"/>
      <c r="W14" s="75" t="s">
        <v>46</v>
      </c>
    </row>
    <row r="15" spans="1:23" x14ac:dyDescent="0.3">
      <c r="A15" s="75"/>
      <c r="B15" s="12"/>
      <c r="C15" s="75"/>
      <c r="D15" s="13"/>
      <c r="E15" s="38"/>
      <c r="F15" s="40"/>
      <c r="G15" s="51"/>
      <c r="H15" s="13"/>
      <c r="I15" s="15"/>
      <c r="J15" s="15"/>
      <c r="K15" s="13"/>
      <c r="L15" s="13"/>
      <c r="M15" s="13"/>
      <c r="N15" s="13"/>
      <c r="O15" s="13"/>
      <c r="P15" s="13"/>
      <c r="Q15" s="13"/>
      <c r="R15" s="13"/>
      <c r="S15" s="113"/>
      <c r="T15" s="64"/>
      <c r="U15" s="103"/>
      <c r="V15" s="13"/>
      <c r="W15" s="75" t="s">
        <v>46</v>
      </c>
    </row>
    <row r="16" spans="1:23" x14ac:dyDescent="0.3">
      <c r="A16" s="75"/>
      <c r="B16" s="12"/>
      <c r="C16" s="75"/>
      <c r="D16" s="13"/>
      <c r="E16" s="38"/>
      <c r="F16" s="40"/>
      <c r="G16" s="51"/>
      <c r="H16" s="13"/>
      <c r="I16" s="15"/>
      <c r="J16" s="15"/>
      <c r="K16" s="13"/>
      <c r="L16" s="13"/>
      <c r="M16" s="13"/>
      <c r="N16" s="13"/>
      <c r="O16" s="13"/>
      <c r="P16" s="13"/>
      <c r="Q16" s="13"/>
      <c r="R16" s="13"/>
      <c r="S16" s="113"/>
      <c r="T16" s="64"/>
      <c r="U16" s="103"/>
      <c r="V16" s="13"/>
      <c r="W16" s="75" t="s">
        <v>46</v>
      </c>
    </row>
    <row r="17" spans="1:23" x14ac:dyDescent="0.3">
      <c r="A17" s="75"/>
      <c r="B17" s="12"/>
      <c r="C17" s="75"/>
      <c r="D17" s="13"/>
      <c r="E17" s="38"/>
      <c r="F17" s="40"/>
      <c r="G17" s="51"/>
      <c r="H17" s="13"/>
      <c r="I17" s="15"/>
      <c r="J17" s="15"/>
      <c r="K17" s="13"/>
      <c r="L17" s="13"/>
      <c r="M17" s="13"/>
      <c r="N17" s="13"/>
      <c r="O17" s="13"/>
      <c r="P17" s="13"/>
      <c r="Q17" s="13"/>
      <c r="R17" s="13"/>
      <c r="S17" s="113"/>
      <c r="T17" s="64"/>
      <c r="U17" s="103"/>
      <c r="V17" s="13"/>
      <c r="W17" s="75" t="s">
        <v>46</v>
      </c>
    </row>
    <row r="18" spans="1:23" x14ac:dyDescent="0.3">
      <c r="A18" s="75"/>
      <c r="B18" s="12"/>
      <c r="C18" s="75"/>
      <c r="D18" s="13"/>
      <c r="E18" s="38"/>
      <c r="F18" s="40"/>
      <c r="G18" s="51"/>
      <c r="H18" s="13"/>
      <c r="I18" s="15"/>
      <c r="J18" s="15"/>
      <c r="K18" s="13"/>
      <c r="L18" s="13"/>
      <c r="M18" s="13"/>
      <c r="N18" s="13"/>
      <c r="O18" s="13"/>
      <c r="P18" s="13"/>
      <c r="Q18" s="13"/>
      <c r="R18" s="13"/>
      <c r="S18" s="113"/>
      <c r="T18" s="64"/>
      <c r="U18" s="103"/>
      <c r="V18" s="13"/>
      <c r="W18" s="75" t="s">
        <v>46</v>
      </c>
    </row>
    <row r="19" spans="1:23" x14ac:dyDescent="0.3">
      <c r="A19" s="75"/>
      <c r="B19" s="12"/>
      <c r="C19" s="75"/>
      <c r="D19" s="13"/>
      <c r="E19" s="38"/>
      <c r="F19" s="40"/>
      <c r="G19" s="51"/>
      <c r="H19" s="13"/>
      <c r="I19" s="15"/>
      <c r="J19" s="15"/>
      <c r="K19" s="13"/>
      <c r="L19" s="13"/>
      <c r="M19" s="13"/>
      <c r="N19" s="13"/>
      <c r="O19" s="13"/>
      <c r="P19" s="13"/>
      <c r="Q19" s="13"/>
      <c r="R19" s="13"/>
      <c r="S19" s="113"/>
      <c r="T19" s="64"/>
      <c r="U19" s="103"/>
      <c r="V19" s="13"/>
      <c r="W19" s="75" t="s">
        <v>46</v>
      </c>
    </row>
    <row r="20" spans="1:23" x14ac:dyDescent="0.3">
      <c r="A20" s="75"/>
      <c r="B20" s="12"/>
      <c r="C20" s="75"/>
      <c r="D20" s="13"/>
      <c r="E20" s="38"/>
      <c r="F20" s="40"/>
      <c r="G20" s="51"/>
      <c r="H20" s="13"/>
      <c r="I20" s="15"/>
      <c r="J20" s="15"/>
      <c r="K20" s="13"/>
      <c r="L20" s="13"/>
      <c r="M20" s="13"/>
      <c r="N20" s="13"/>
      <c r="O20" s="13"/>
      <c r="P20" s="13"/>
      <c r="Q20" s="13"/>
      <c r="R20" s="13"/>
      <c r="S20" s="113"/>
      <c r="T20" s="64"/>
      <c r="U20" s="103"/>
      <c r="V20" s="13"/>
      <c r="W20" s="75" t="s">
        <v>46</v>
      </c>
    </row>
    <row r="21" spans="1:23" x14ac:dyDescent="0.3">
      <c r="A21" s="75"/>
      <c r="B21" s="12"/>
      <c r="C21" s="75"/>
      <c r="D21" s="13"/>
      <c r="E21" s="38"/>
      <c r="F21" s="40"/>
      <c r="G21" s="51"/>
      <c r="H21" s="13"/>
      <c r="I21" s="15"/>
      <c r="J21" s="15"/>
      <c r="K21" s="13"/>
      <c r="L21" s="13"/>
      <c r="M21" s="13"/>
      <c r="N21" s="13"/>
      <c r="O21" s="13"/>
      <c r="P21" s="13"/>
      <c r="Q21" s="13"/>
      <c r="R21" s="13"/>
      <c r="S21" s="113"/>
      <c r="T21" s="64"/>
      <c r="U21" s="103"/>
      <c r="V21" s="13"/>
      <c r="W21" s="75" t="s">
        <v>46</v>
      </c>
    </row>
    <row r="22" spans="1:23" x14ac:dyDescent="0.3">
      <c r="A22" s="75"/>
      <c r="B22" s="12"/>
      <c r="C22" s="75"/>
      <c r="D22" s="13"/>
      <c r="E22" s="38"/>
      <c r="F22" s="40"/>
      <c r="G22" s="51"/>
      <c r="H22" s="13"/>
      <c r="I22" s="15"/>
      <c r="J22" s="15"/>
      <c r="K22" s="13"/>
      <c r="L22" s="13"/>
      <c r="M22" s="13"/>
      <c r="N22" s="13"/>
      <c r="O22" s="13"/>
      <c r="P22" s="13"/>
      <c r="Q22" s="13"/>
      <c r="R22" s="13"/>
      <c r="S22" s="113"/>
      <c r="T22" s="64"/>
      <c r="U22" s="103"/>
      <c r="V22" s="13"/>
      <c r="W22" s="75" t="s">
        <v>46</v>
      </c>
    </row>
    <row r="23" spans="1:23" x14ac:dyDescent="0.3">
      <c r="A23" s="75"/>
      <c r="B23" s="12"/>
      <c r="C23" s="75"/>
      <c r="D23" s="13"/>
      <c r="E23" s="38"/>
      <c r="F23" s="40"/>
      <c r="G23" s="51"/>
      <c r="H23" s="13"/>
      <c r="I23" s="15"/>
      <c r="J23" s="15"/>
      <c r="K23" s="13"/>
      <c r="L23" s="13"/>
      <c r="M23" s="13"/>
      <c r="N23" s="13"/>
      <c r="O23" s="13"/>
      <c r="P23" s="13"/>
      <c r="Q23" s="13"/>
      <c r="R23" s="13"/>
      <c r="S23" s="113"/>
      <c r="T23" s="64"/>
      <c r="U23" s="103"/>
      <c r="V23" s="13"/>
      <c r="W23" s="75" t="s">
        <v>46</v>
      </c>
    </row>
    <row r="24" spans="1:23" x14ac:dyDescent="0.3">
      <c r="A24" s="75"/>
      <c r="B24" s="12"/>
      <c r="C24" s="75"/>
      <c r="D24" s="13"/>
      <c r="E24" s="38"/>
      <c r="F24" s="40"/>
      <c r="G24" s="51"/>
      <c r="H24" s="13"/>
      <c r="I24" s="15"/>
      <c r="J24" s="15"/>
      <c r="K24" s="13"/>
      <c r="L24" s="13"/>
      <c r="M24" s="13"/>
      <c r="N24" s="13"/>
      <c r="O24" s="13"/>
      <c r="P24" s="13"/>
      <c r="Q24" s="13"/>
      <c r="R24" s="13"/>
      <c r="S24" s="113"/>
      <c r="T24" s="64"/>
      <c r="U24" s="103"/>
      <c r="V24" s="13"/>
      <c r="W24" s="75" t="s">
        <v>46</v>
      </c>
    </row>
    <row r="25" spans="1:23" x14ac:dyDescent="0.3">
      <c r="A25" s="75"/>
      <c r="B25" s="12"/>
      <c r="C25" s="75"/>
      <c r="D25" s="13"/>
      <c r="E25" s="38"/>
      <c r="F25" s="40"/>
      <c r="G25" s="51"/>
      <c r="H25" s="13"/>
      <c r="I25" s="15"/>
      <c r="J25" s="15"/>
      <c r="K25" s="13"/>
      <c r="L25" s="13"/>
      <c r="M25" s="13"/>
      <c r="N25" s="13"/>
      <c r="O25" s="13"/>
      <c r="P25" s="13"/>
      <c r="Q25" s="13"/>
      <c r="R25" s="13"/>
      <c r="S25" s="113"/>
      <c r="T25" s="64"/>
      <c r="U25" s="103"/>
      <c r="V25" s="13"/>
      <c r="W25" s="75" t="s">
        <v>46</v>
      </c>
    </row>
    <row r="26" spans="1:23" s="121" customFormat="1" x14ac:dyDescent="0.3">
      <c r="A26" s="75"/>
      <c r="B26" s="12"/>
      <c r="C26" s="75"/>
      <c r="D26" s="13"/>
      <c r="E26" s="38"/>
      <c r="F26" s="40"/>
      <c r="G26" s="51"/>
      <c r="H26" s="13"/>
      <c r="I26" s="15"/>
      <c r="J26" s="15"/>
      <c r="K26" s="13"/>
      <c r="L26" s="13"/>
      <c r="M26" s="13"/>
      <c r="N26" s="13"/>
      <c r="O26" s="13"/>
      <c r="P26" s="13"/>
      <c r="Q26" s="13"/>
      <c r="R26" s="13"/>
      <c r="S26" s="113"/>
      <c r="T26" s="64"/>
      <c r="U26" s="103"/>
      <c r="V26" s="13"/>
      <c r="W26" s="117"/>
    </row>
    <row r="27" spans="1:23" x14ac:dyDescent="0.3">
      <c r="A27" s="75"/>
      <c r="B27" s="12"/>
      <c r="C27" s="75"/>
      <c r="D27" s="13"/>
      <c r="E27" s="38"/>
      <c r="F27" s="40"/>
      <c r="G27" s="51"/>
      <c r="H27" s="13"/>
      <c r="I27" s="15"/>
      <c r="J27" s="15"/>
      <c r="K27" s="13"/>
      <c r="L27" s="13"/>
      <c r="M27" s="13"/>
      <c r="N27" s="13"/>
      <c r="O27" s="13"/>
      <c r="P27" s="13"/>
      <c r="Q27" s="13"/>
      <c r="R27" s="13"/>
      <c r="S27" s="113"/>
      <c r="T27" s="64"/>
      <c r="U27" s="103"/>
      <c r="V27" s="13"/>
      <c r="W27" s="75" t="s">
        <v>46</v>
      </c>
    </row>
    <row r="28" spans="1:23" x14ac:dyDescent="0.3">
      <c r="A28" s="75"/>
      <c r="B28" s="12"/>
      <c r="C28" s="75"/>
      <c r="D28" s="13"/>
      <c r="E28" s="38"/>
      <c r="F28" s="40"/>
      <c r="G28" s="51"/>
      <c r="H28" s="13"/>
      <c r="I28" s="15"/>
      <c r="J28" s="15"/>
      <c r="K28" s="13"/>
      <c r="L28" s="13"/>
      <c r="M28" s="13"/>
      <c r="N28" s="13"/>
      <c r="O28" s="13"/>
      <c r="P28" s="13"/>
      <c r="Q28" s="13"/>
      <c r="R28" s="13"/>
      <c r="S28" s="113"/>
      <c r="T28" s="64"/>
      <c r="U28" s="103"/>
      <c r="V28" s="13"/>
      <c r="W28" s="75" t="s">
        <v>46</v>
      </c>
    </row>
    <row r="29" spans="1:23" x14ac:dyDescent="0.3">
      <c r="A29" s="75"/>
      <c r="B29" s="12"/>
      <c r="C29" s="75"/>
      <c r="D29" s="13"/>
      <c r="E29" s="38"/>
      <c r="F29" s="40"/>
      <c r="G29" s="51"/>
      <c r="H29" s="13"/>
      <c r="I29" s="15"/>
      <c r="J29" s="15"/>
      <c r="K29" s="13"/>
      <c r="L29" s="13"/>
      <c r="M29" s="13"/>
      <c r="N29" s="13"/>
      <c r="O29" s="13"/>
      <c r="P29" s="13"/>
      <c r="Q29" s="13"/>
      <c r="R29" s="13"/>
      <c r="S29" s="113"/>
      <c r="T29" s="64"/>
      <c r="U29" s="103"/>
      <c r="V29" s="13"/>
      <c r="W29" s="75" t="s">
        <v>46</v>
      </c>
    </row>
    <row r="30" spans="1:23" x14ac:dyDescent="0.3">
      <c r="A30" s="75"/>
      <c r="B30" s="12"/>
      <c r="C30" s="75"/>
      <c r="D30" s="13"/>
      <c r="E30" s="38"/>
      <c r="F30" s="40"/>
      <c r="G30" s="51"/>
      <c r="H30" s="13"/>
      <c r="I30" s="15"/>
      <c r="J30" s="15"/>
      <c r="K30" s="13"/>
      <c r="L30" s="13"/>
      <c r="M30" s="13"/>
      <c r="N30" s="13"/>
      <c r="O30" s="13"/>
      <c r="P30" s="13"/>
      <c r="Q30" s="13"/>
      <c r="R30" s="13"/>
      <c r="S30" s="113"/>
      <c r="T30" s="64"/>
      <c r="U30" s="103"/>
      <c r="V30" s="13"/>
      <c r="W30" s="75" t="s">
        <v>46</v>
      </c>
    </row>
    <row r="31" spans="1:23" x14ac:dyDescent="0.3">
      <c r="A31" s="75"/>
      <c r="B31" s="12"/>
      <c r="C31" s="75"/>
      <c r="D31" s="13"/>
      <c r="E31" s="38"/>
      <c r="F31" s="40"/>
      <c r="G31" s="51"/>
      <c r="H31" s="13"/>
      <c r="I31" s="15"/>
      <c r="J31" s="15"/>
      <c r="K31" s="13"/>
      <c r="L31" s="13"/>
      <c r="M31" s="13"/>
      <c r="N31" s="13"/>
      <c r="O31" s="13"/>
      <c r="P31" s="13"/>
      <c r="Q31" s="13"/>
      <c r="R31" s="13"/>
      <c r="S31" s="113"/>
      <c r="T31" s="64"/>
      <c r="U31" s="103"/>
      <c r="V31" s="13"/>
      <c r="W31" s="75" t="s">
        <v>46</v>
      </c>
    </row>
    <row r="32" spans="1:23" x14ac:dyDescent="0.3">
      <c r="A32" s="75"/>
      <c r="B32" s="12"/>
      <c r="C32" s="75"/>
      <c r="D32" s="13"/>
      <c r="E32" s="38"/>
      <c r="F32" s="40"/>
      <c r="G32" s="51"/>
      <c r="H32" s="13"/>
      <c r="I32" s="15"/>
      <c r="J32" s="15"/>
      <c r="K32" s="13"/>
      <c r="L32" s="13"/>
      <c r="M32" s="13"/>
      <c r="N32" s="13"/>
      <c r="O32" s="13"/>
      <c r="P32" s="13"/>
      <c r="Q32" s="13"/>
      <c r="R32" s="13"/>
      <c r="S32" s="113"/>
      <c r="T32" s="64"/>
      <c r="U32" s="103"/>
      <c r="V32" s="13"/>
      <c r="W32" s="75" t="s">
        <v>46</v>
      </c>
    </row>
    <row r="33" spans="1:23" x14ac:dyDescent="0.3">
      <c r="A33" s="75"/>
      <c r="B33" s="12"/>
      <c r="C33" s="75"/>
      <c r="D33" s="13"/>
      <c r="E33" s="38"/>
      <c r="F33" s="40"/>
      <c r="G33" s="51"/>
      <c r="H33" s="13"/>
      <c r="I33" s="15"/>
      <c r="J33" s="15"/>
      <c r="K33" s="13"/>
      <c r="L33" s="13"/>
      <c r="M33" s="13"/>
      <c r="N33" s="13"/>
      <c r="O33" s="13"/>
      <c r="P33" s="13"/>
      <c r="Q33" s="13"/>
      <c r="R33" s="13"/>
      <c r="S33" s="113"/>
      <c r="T33" s="64"/>
      <c r="U33" s="103"/>
      <c r="V33" s="13"/>
      <c r="W33" s="75" t="s">
        <v>46</v>
      </c>
    </row>
    <row r="34" spans="1:23" x14ac:dyDescent="0.3">
      <c r="A34" s="75"/>
      <c r="B34" s="12"/>
      <c r="C34" s="75"/>
      <c r="D34" s="13"/>
      <c r="E34" s="38"/>
      <c r="F34" s="40"/>
      <c r="G34" s="51"/>
      <c r="H34" s="13"/>
      <c r="I34" s="15"/>
      <c r="J34" s="15"/>
      <c r="K34" s="13"/>
      <c r="L34" s="13"/>
      <c r="M34" s="13"/>
      <c r="N34" s="13"/>
      <c r="O34" s="13"/>
      <c r="P34" s="13"/>
      <c r="Q34" s="13"/>
      <c r="R34" s="13"/>
      <c r="S34" s="113"/>
      <c r="T34" s="64"/>
      <c r="U34" s="103"/>
      <c r="V34" s="13"/>
      <c r="W34" s="75" t="s">
        <v>46</v>
      </c>
    </row>
    <row r="35" spans="1:23" x14ac:dyDescent="0.3">
      <c r="A35" s="75"/>
      <c r="B35" s="12"/>
      <c r="C35" s="75"/>
      <c r="D35" s="13"/>
      <c r="E35" s="38"/>
      <c r="F35" s="40"/>
      <c r="G35" s="51"/>
      <c r="H35" s="13"/>
      <c r="I35" s="15"/>
      <c r="J35" s="15"/>
      <c r="K35" s="13"/>
      <c r="L35" s="13"/>
      <c r="M35" s="13"/>
      <c r="N35" s="13"/>
      <c r="O35" s="13"/>
      <c r="P35" s="13"/>
      <c r="Q35" s="13"/>
      <c r="R35" s="13"/>
      <c r="S35" s="113"/>
      <c r="T35" s="64"/>
      <c r="U35" s="103"/>
      <c r="V35" s="13"/>
      <c r="W35" s="75" t="s">
        <v>46</v>
      </c>
    </row>
    <row r="36" spans="1:23" x14ac:dyDescent="0.3">
      <c r="A36" s="75"/>
      <c r="B36" s="12"/>
      <c r="C36" s="75"/>
      <c r="D36" s="13"/>
      <c r="E36" s="38"/>
      <c r="F36" s="40"/>
      <c r="G36" s="51"/>
      <c r="H36" s="13"/>
      <c r="I36" s="15"/>
      <c r="J36" s="15"/>
      <c r="K36" s="13"/>
      <c r="L36" s="13"/>
      <c r="M36" s="13"/>
      <c r="N36" s="13"/>
      <c r="O36" s="13"/>
      <c r="P36" s="13"/>
      <c r="Q36" s="13"/>
      <c r="R36" s="13"/>
      <c r="S36" s="113"/>
      <c r="T36" s="64"/>
      <c r="U36" s="103"/>
      <c r="V36" s="13"/>
      <c r="W36" s="75" t="s">
        <v>46</v>
      </c>
    </row>
    <row r="37" spans="1:23" x14ac:dyDescent="0.3">
      <c r="A37" s="75"/>
      <c r="B37" s="12"/>
      <c r="C37" s="75"/>
      <c r="D37" s="13"/>
      <c r="E37" s="38"/>
      <c r="F37" s="40"/>
      <c r="G37" s="51"/>
      <c r="H37" s="13"/>
      <c r="I37" s="15"/>
      <c r="J37" s="15"/>
      <c r="K37" s="13"/>
      <c r="L37" s="13"/>
      <c r="M37" s="13"/>
      <c r="N37" s="13"/>
      <c r="O37" s="13"/>
      <c r="P37" s="13"/>
      <c r="Q37" s="13"/>
      <c r="R37" s="13"/>
      <c r="S37" s="113"/>
      <c r="T37" s="64"/>
      <c r="U37" s="103"/>
      <c r="V37" s="13"/>
      <c r="W37" s="75" t="s">
        <v>46</v>
      </c>
    </row>
    <row r="38" spans="1:23" x14ac:dyDescent="0.3">
      <c r="A38" s="75"/>
      <c r="B38" s="12"/>
      <c r="C38" s="75"/>
      <c r="D38" s="13"/>
      <c r="E38" s="38"/>
      <c r="F38" s="40"/>
      <c r="G38" s="51"/>
      <c r="H38" s="13"/>
      <c r="I38" s="15"/>
      <c r="J38" s="15"/>
      <c r="K38" s="13"/>
      <c r="L38" s="13"/>
      <c r="M38" s="13"/>
      <c r="N38" s="13"/>
      <c r="O38" s="13"/>
      <c r="P38" s="13"/>
      <c r="Q38" s="13"/>
      <c r="R38" s="13"/>
      <c r="S38" s="113"/>
      <c r="T38" s="64"/>
      <c r="U38" s="103"/>
      <c r="V38" s="13"/>
      <c r="W38" s="75" t="s">
        <v>46</v>
      </c>
    </row>
    <row r="39" spans="1:23" x14ac:dyDescent="0.3">
      <c r="A39" s="75"/>
      <c r="B39" s="12"/>
      <c r="C39" s="75"/>
      <c r="D39" s="13"/>
      <c r="E39" s="38"/>
      <c r="F39" s="40"/>
      <c r="G39" s="51"/>
      <c r="H39" s="13"/>
      <c r="I39" s="15"/>
      <c r="J39" s="15"/>
      <c r="K39" s="13"/>
      <c r="L39" s="13"/>
      <c r="M39" s="13"/>
      <c r="N39" s="13"/>
      <c r="O39" s="13"/>
      <c r="P39" s="13"/>
      <c r="Q39" s="13"/>
      <c r="R39" s="13"/>
      <c r="S39" s="113"/>
      <c r="T39" s="64"/>
      <c r="U39" s="103"/>
      <c r="V39" s="13"/>
      <c r="W39" s="75" t="s">
        <v>46</v>
      </c>
    </row>
    <row r="40" spans="1:23" x14ac:dyDescent="0.3">
      <c r="A40" s="75"/>
      <c r="B40" s="12"/>
      <c r="C40" s="75"/>
      <c r="D40" s="13"/>
      <c r="E40" s="38"/>
      <c r="F40" s="40"/>
      <c r="G40" s="51"/>
      <c r="H40" s="13"/>
      <c r="I40" s="15"/>
      <c r="J40" s="15"/>
      <c r="K40" s="13"/>
      <c r="L40" s="13"/>
      <c r="M40" s="13"/>
      <c r="N40" s="13"/>
      <c r="O40" s="13"/>
      <c r="P40" s="13"/>
      <c r="Q40" s="13"/>
      <c r="R40" s="13"/>
      <c r="S40" s="113"/>
      <c r="T40" s="64"/>
      <c r="U40" s="103"/>
      <c r="V40" s="13"/>
      <c r="W40" s="75" t="s">
        <v>46</v>
      </c>
    </row>
    <row r="41" spans="1:23" x14ac:dyDescent="0.3">
      <c r="A41" s="75"/>
      <c r="B41" s="12"/>
      <c r="C41" s="75"/>
      <c r="D41" s="13"/>
      <c r="E41" s="38"/>
      <c r="F41" s="40"/>
      <c r="G41" s="51"/>
      <c r="H41" s="13"/>
      <c r="I41" s="15"/>
      <c r="J41" s="15"/>
      <c r="K41" s="13"/>
      <c r="L41" s="13"/>
      <c r="M41" s="13"/>
      <c r="N41" s="13"/>
      <c r="O41" s="13"/>
      <c r="P41" s="13"/>
      <c r="Q41" s="13"/>
      <c r="R41" s="13"/>
      <c r="S41" s="113"/>
      <c r="T41" s="64"/>
      <c r="U41" s="103"/>
      <c r="V41" s="13"/>
      <c r="W41" s="75" t="s">
        <v>46</v>
      </c>
    </row>
    <row r="42" spans="1:23" x14ac:dyDescent="0.3">
      <c r="A42" s="75"/>
      <c r="B42" s="12"/>
      <c r="C42" s="75"/>
      <c r="D42" s="13"/>
      <c r="E42" s="38"/>
      <c r="F42" s="40"/>
      <c r="G42" s="51"/>
      <c r="H42" s="13"/>
      <c r="I42" s="15"/>
      <c r="J42" s="15"/>
      <c r="K42" s="13"/>
      <c r="L42" s="13"/>
      <c r="M42" s="13"/>
      <c r="N42" s="13"/>
      <c r="O42" s="13"/>
      <c r="P42" s="13"/>
      <c r="Q42" s="13"/>
      <c r="R42" s="13"/>
      <c r="S42" s="113"/>
      <c r="T42" s="64"/>
      <c r="U42" s="103"/>
      <c r="V42" s="13"/>
      <c r="W42" s="75" t="s">
        <v>46</v>
      </c>
    </row>
    <row r="43" spans="1:23" x14ac:dyDescent="0.3">
      <c r="A43" s="75"/>
      <c r="B43" s="12"/>
      <c r="C43" s="75"/>
      <c r="D43" s="13"/>
      <c r="E43" s="38"/>
      <c r="F43" s="40"/>
      <c r="G43" s="51"/>
      <c r="H43" s="13"/>
      <c r="I43" s="15"/>
      <c r="J43" s="15"/>
      <c r="K43" s="13"/>
      <c r="L43" s="13"/>
      <c r="M43" s="13"/>
      <c r="N43" s="13"/>
      <c r="O43" s="13"/>
      <c r="P43" s="13"/>
      <c r="Q43" s="13"/>
      <c r="R43" s="13"/>
      <c r="S43" s="113"/>
      <c r="T43" s="64"/>
      <c r="U43" s="103"/>
      <c r="V43" s="13"/>
      <c r="W43" s="75" t="s">
        <v>46</v>
      </c>
    </row>
    <row r="44" spans="1:23" x14ac:dyDescent="0.3">
      <c r="A44" s="75" t="str">
        <f>IF(PANVEL[[#This Row],[Data Monitoria]]="","",((((WEEKNUM(B44)-WEEKNUM(DATE(YEAR(B44),MONTH(B44),1))+1)))))</f>
        <v/>
      </c>
      <c r="B44" s="12"/>
      <c r="C44" s="13"/>
      <c r="D44" s="13"/>
      <c r="E44" s="13"/>
      <c r="F44" s="70" t="str">
        <f>IF(PANVEL[[#This Row],[Produtos]]="","",((VLOOKUP(E44,'TAB PROD'!B:D,3,))))</f>
        <v/>
      </c>
      <c r="G44" s="14" t="str">
        <f>IF(PANVEL[[#This Row],[Produtos]]="","",((VLOOKUP(E44,'TAB PROD'!B:C,2,))))</f>
        <v/>
      </c>
      <c r="H44" s="13"/>
      <c r="I44" s="15"/>
      <c r="J44" s="15"/>
      <c r="K44" s="13"/>
      <c r="L44" s="13"/>
      <c r="M44" s="13"/>
      <c r="N44" s="13"/>
      <c r="O44" s="13"/>
      <c r="P44" s="13"/>
      <c r="Q44" s="13"/>
      <c r="R44" s="13"/>
      <c r="S44" s="13"/>
      <c r="T44" s="64"/>
      <c r="U44" s="21" t="str">
        <f>IF(PANVEL[[#This Row],[Abertura de chamado]]="","",NETWORKDAYS(PANVEL[[#This Row],[Abertura de chamado]],PANVEL[[#This Row],[Prazo de correção]]))</f>
        <v/>
      </c>
      <c r="V44" s="13"/>
      <c r="W44" s="75" t="s">
        <v>46</v>
      </c>
    </row>
    <row r="45" spans="1:23" x14ac:dyDescent="0.3">
      <c r="A45" s="75" t="str">
        <f>IF(PANVEL[[#This Row],[Data Monitoria]]="","",((((WEEKNUM(B45)-WEEKNUM(DATE(YEAR(B45),MONTH(B45),1))+1)))))</f>
        <v/>
      </c>
      <c r="B45" s="12"/>
      <c r="C45" s="13"/>
      <c r="D45" s="13"/>
      <c r="E45" s="13"/>
      <c r="F45" s="70" t="str">
        <f>IF(PANVEL[[#This Row],[Produtos]]="","",((VLOOKUP(E45,'TAB PROD'!B:D,3,))))</f>
        <v/>
      </c>
      <c r="G45" s="14" t="str">
        <f>IF(PANVEL[[#This Row],[Produtos]]="","",((VLOOKUP(E45,'TAB PROD'!B:C,2,))))</f>
        <v/>
      </c>
      <c r="H45" s="13"/>
      <c r="I45" s="15"/>
      <c r="J45" s="15"/>
      <c r="K45" s="13"/>
      <c r="L45" s="13"/>
      <c r="M45" s="13"/>
      <c r="N45" s="13"/>
      <c r="O45" s="13"/>
      <c r="P45" s="13"/>
      <c r="Q45" s="13"/>
      <c r="R45" s="13"/>
      <c r="S45" s="13"/>
      <c r="T45" s="64"/>
      <c r="U45" s="21" t="str">
        <f>IF(PANVEL[[#This Row],[Abertura de chamado]]="","",NETWORKDAYS(PANVEL[[#This Row],[Abertura de chamado]],PANVEL[[#This Row],[Prazo de correção]]))</f>
        <v/>
      </c>
      <c r="V45" s="13"/>
      <c r="W45" s="75" t="s">
        <v>46</v>
      </c>
    </row>
    <row r="46" spans="1:23" x14ac:dyDescent="0.3">
      <c r="A46" s="75" t="str">
        <f>IF(PANVEL[[#This Row],[Data Monitoria]]="","",((((WEEKNUM(B46)-WEEKNUM(DATE(YEAR(B46),MONTH(B46),1))+1)))))</f>
        <v/>
      </c>
      <c r="B46" s="12"/>
      <c r="C46" s="13"/>
      <c r="D46" s="13"/>
      <c r="E46" s="13"/>
      <c r="F46" s="70" t="str">
        <f>IF(PANVEL[[#This Row],[Produtos]]="","",((VLOOKUP(E46,'TAB PROD'!B:D,3,))))</f>
        <v/>
      </c>
      <c r="G46" s="14" t="str">
        <f>IF(PANVEL[[#This Row],[Produtos]]="","",((VLOOKUP(E46,'TAB PROD'!B:C,2,))))</f>
        <v/>
      </c>
      <c r="H46" s="13"/>
      <c r="I46" s="15"/>
      <c r="J46" s="15"/>
      <c r="K46" s="13"/>
      <c r="L46" s="13"/>
      <c r="M46" s="13"/>
      <c r="N46" s="13"/>
      <c r="O46" s="13"/>
      <c r="P46" s="13"/>
      <c r="Q46" s="13"/>
      <c r="R46" s="13"/>
      <c r="S46" s="13"/>
      <c r="T46" s="64"/>
      <c r="U46" s="21" t="str">
        <f>IF(PANVEL[[#This Row],[Abertura de chamado]]="","",NETWORKDAYS(PANVEL[[#This Row],[Abertura de chamado]],PANVEL[[#This Row],[Prazo de correção]]))</f>
        <v/>
      </c>
      <c r="V46" s="13"/>
      <c r="W46" s="75" t="s">
        <v>46</v>
      </c>
    </row>
    <row r="47" spans="1:23" x14ac:dyDescent="0.3">
      <c r="A47" s="75" t="str">
        <f>IF(PANVEL[[#This Row],[Data Monitoria]]="","",((((WEEKNUM(B47)-WEEKNUM(DATE(YEAR(B47),MONTH(B47),1))+1)))))</f>
        <v/>
      </c>
      <c r="B47" s="12"/>
      <c r="C47" s="13"/>
      <c r="D47" s="13"/>
      <c r="E47" s="13"/>
      <c r="F47" s="70" t="str">
        <f>IF(PANVEL[[#This Row],[Produtos]]="","",((VLOOKUP(E47,'TAB PROD'!B:D,3,))))</f>
        <v/>
      </c>
      <c r="G47" s="14" t="str">
        <f>IF(PANVEL[[#This Row],[Produtos]]="","",((VLOOKUP(E47,'TAB PROD'!B:C,2,))))</f>
        <v/>
      </c>
      <c r="H47" s="13"/>
      <c r="I47" s="15"/>
      <c r="J47" s="15"/>
      <c r="K47" s="13"/>
      <c r="L47" s="13"/>
      <c r="M47" s="13"/>
      <c r="N47" s="13"/>
      <c r="O47" s="13"/>
      <c r="P47" s="13"/>
      <c r="Q47" s="13"/>
      <c r="R47" s="13"/>
      <c r="S47" s="13"/>
      <c r="T47" s="64"/>
      <c r="U47" s="21" t="str">
        <f>IF(PANVEL[[#This Row],[Abertura de chamado]]="","",NETWORKDAYS(PANVEL[[#This Row],[Abertura de chamado]],PANVEL[[#This Row],[Prazo de correção]]))</f>
        <v/>
      </c>
      <c r="V47" s="13"/>
      <c r="W47" s="75" t="s">
        <v>46</v>
      </c>
    </row>
    <row r="48" spans="1:23" x14ac:dyDescent="0.3">
      <c r="A48" s="75" t="str">
        <f>IF(PANVEL[[#This Row],[Data Monitoria]]="","",((((WEEKNUM(B48)-WEEKNUM(DATE(YEAR(B48),MONTH(B48),1))+1)))))</f>
        <v/>
      </c>
      <c r="B48" s="12"/>
      <c r="C48" s="13"/>
      <c r="D48" s="13"/>
      <c r="E48" s="13"/>
      <c r="F48" s="70" t="str">
        <f>IF(PANVEL[[#This Row],[Produtos]]="","",((VLOOKUP(E48,'TAB PROD'!B:D,3,))))</f>
        <v/>
      </c>
      <c r="G48" s="14" t="str">
        <f>IF(PANVEL[[#This Row],[Produtos]]="","",((VLOOKUP(E48,'TAB PROD'!B:C,2,))))</f>
        <v/>
      </c>
      <c r="H48" s="13"/>
      <c r="I48" s="15"/>
      <c r="J48" s="15"/>
      <c r="K48" s="13"/>
      <c r="L48" s="13"/>
      <c r="M48" s="13"/>
      <c r="N48" s="13"/>
      <c r="O48" s="13"/>
      <c r="P48" s="13"/>
      <c r="Q48" s="13"/>
      <c r="R48" s="13"/>
      <c r="S48" s="13"/>
      <c r="T48" s="64"/>
      <c r="U48" s="21" t="str">
        <f>IF(PANVEL[[#This Row],[Abertura de chamado]]="","",NETWORKDAYS(PANVEL[[#This Row],[Abertura de chamado]],PANVEL[[#This Row],[Prazo de correção]]))</f>
        <v/>
      </c>
      <c r="V48" s="13"/>
      <c r="W48" s="75" t="s">
        <v>46</v>
      </c>
    </row>
    <row r="49" spans="1:23" x14ac:dyDescent="0.3">
      <c r="A49" s="75" t="str">
        <f>IF(PANVEL[[#This Row],[Data Monitoria]]="","",((((WEEKNUM(B49)-WEEKNUM(DATE(YEAR(B49),MONTH(B49),1))+1)))))</f>
        <v/>
      </c>
      <c r="B49" s="12"/>
      <c r="C49" s="13"/>
      <c r="D49" s="13"/>
      <c r="E49" s="13"/>
      <c r="F49" s="70" t="str">
        <f>IF(PANVEL[[#This Row],[Produtos]]="","",((VLOOKUP(E49,'TAB PROD'!B:D,3,))))</f>
        <v/>
      </c>
      <c r="G49" s="14" t="str">
        <f>IF(PANVEL[[#This Row],[Produtos]]="","",((VLOOKUP(E49,'TAB PROD'!B:C,2,))))</f>
        <v/>
      </c>
      <c r="H49" s="13"/>
      <c r="I49" s="15"/>
      <c r="J49" s="15"/>
      <c r="K49" s="13"/>
      <c r="L49" s="13"/>
      <c r="M49" s="13"/>
      <c r="N49" s="13"/>
      <c r="O49" s="13"/>
      <c r="P49" s="13"/>
      <c r="Q49" s="13"/>
      <c r="R49" s="13"/>
      <c r="S49" s="13"/>
      <c r="T49" s="64"/>
      <c r="U49" s="21" t="str">
        <f>IF(PANVEL[[#This Row],[Abertura de chamado]]="","",NETWORKDAYS(PANVEL[[#This Row],[Abertura de chamado]],PANVEL[[#This Row],[Prazo de correção]]))</f>
        <v/>
      </c>
      <c r="V49" s="13"/>
      <c r="W49" s="75" t="s">
        <v>46</v>
      </c>
    </row>
    <row r="50" spans="1:23" x14ac:dyDescent="0.3">
      <c r="A50" s="75" t="str">
        <f>IF(PANVEL[[#This Row],[Data Monitoria]]="","",((((WEEKNUM(B50)-WEEKNUM(DATE(YEAR(B50),MONTH(B50),1))+1)))))</f>
        <v/>
      </c>
      <c r="B50" s="12"/>
      <c r="C50" s="13"/>
      <c r="D50" s="13"/>
      <c r="E50" s="13"/>
      <c r="F50" s="70" t="str">
        <f>IF(PANVEL[[#This Row],[Produtos]]="","",((VLOOKUP(E50,'TAB PROD'!B:D,3,))))</f>
        <v/>
      </c>
      <c r="G50" s="14" t="str">
        <f>IF(PANVEL[[#This Row],[Produtos]]="","",((VLOOKUP(E50,'TAB PROD'!B:C,2,))))</f>
        <v/>
      </c>
      <c r="H50" s="13"/>
      <c r="I50" s="15"/>
      <c r="J50" s="15"/>
      <c r="K50" s="13"/>
      <c r="L50" s="13"/>
      <c r="M50" s="13"/>
      <c r="N50" s="13"/>
      <c r="O50" s="13"/>
      <c r="P50" s="13"/>
      <c r="Q50" s="13"/>
      <c r="R50" s="13"/>
      <c r="S50" s="13"/>
      <c r="T50" s="64"/>
      <c r="U50" s="21" t="str">
        <f>IF(PANVEL[[#This Row],[Abertura de chamado]]="","",NETWORKDAYS(PANVEL[[#This Row],[Abertura de chamado]],PANVEL[[#This Row],[Prazo de correção]]))</f>
        <v/>
      </c>
      <c r="V50" s="13"/>
      <c r="W50" s="75" t="s">
        <v>46</v>
      </c>
    </row>
    <row r="51" spans="1:23" x14ac:dyDescent="0.3">
      <c r="A51" s="75" t="str">
        <f>IF(PANVEL[[#This Row],[Data Monitoria]]="","",((((WEEKNUM(B51)-WEEKNUM(DATE(YEAR(B51),MONTH(B51),1))+1)))))</f>
        <v/>
      </c>
      <c r="B51" s="12"/>
      <c r="C51" s="13"/>
      <c r="D51" s="13"/>
      <c r="E51" s="13"/>
      <c r="F51" s="70" t="str">
        <f>IF(PANVEL[[#This Row],[Produtos]]="","",((VLOOKUP(E51,'TAB PROD'!B:D,3,))))</f>
        <v/>
      </c>
      <c r="G51" s="14" t="str">
        <f>IF(PANVEL[[#This Row],[Produtos]]="","",((VLOOKUP(E51,'TAB PROD'!B:C,2,))))</f>
        <v/>
      </c>
      <c r="H51" s="13"/>
      <c r="I51" s="15"/>
      <c r="J51" s="15"/>
      <c r="K51" s="13"/>
      <c r="L51" s="13"/>
      <c r="M51" s="13"/>
      <c r="N51" s="13"/>
      <c r="O51" s="13"/>
      <c r="P51" s="13"/>
      <c r="Q51" s="13"/>
      <c r="R51" s="13"/>
      <c r="S51" s="13"/>
      <c r="T51" s="64"/>
      <c r="U51" s="21" t="str">
        <f>IF(PANVEL[[#This Row],[Abertura de chamado]]="","",NETWORKDAYS(PANVEL[[#This Row],[Abertura de chamado]],PANVEL[[#This Row],[Prazo de correção]]))</f>
        <v/>
      </c>
      <c r="V51" s="13"/>
      <c r="W51" s="75" t="s">
        <v>46</v>
      </c>
    </row>
    <row r="52" spans="1:23" x14ac:dyDescent="0.3">
      <c r="A52" s="75" t="str">
        <f>IF(PANVEL[[#This Row],[Data Monitoria]]="","",((((WEEKNUM(B52)-WEEKNUM(DATE(YEAR(B52),MONTH(B52),1))+1)))))</f>
        <v/>
      </c>
      <c r="B52" s="12"/>
      <c r="C52" s="13"/>
      <c r="D52" s="13"/>
      <c r="E52" s="13"/>
      <c r="F52" s="70" t="str">
        <f>IF(PANVEL[[#This Row],[Produtos]]="","",((VLOOKUP(E52,'TAB PROD'!B:D,3,))))</f>
        <v/>
      </c>
      <c r="G52" s="14" t="str">
        <f>IF(PANVEL[[#This Row],[Produtos]]="","",((VLOOKUP(E52,'TAB PROD'!B:C,2,))))</f>
        <v/>
      </c>
      <c r="H52" s="13"/>
      <c r="I52" s="15"/>
      <c r="J52" s="15"/>
      <c r="K52" s="13"/>
      <c r="L52" s="13"/>
      <c r="M52" s="13"/>
      <c r="N52" s="13"/>
      <c r="O52" s="13"/>
      <c r="P52" s="13"/>
      <c r="Q52" s="13"/>
      <c r="R52" s="13"/>
      <c r="S52" s="13"/>
      <c r="T52" s="64"/>
      <c r="U52" s="21" t="str">
        <f>IF(PANVEL[[#This Row],[Abertura de chamado]]="","",NETWORKDAYS(PANVEL[[#This Row],[Abertura de chamado]],PANVEL[[#This Row],[Prazo de correção]]))</f>
        <v/>
      </c>
      <c r="V52" s="13"/>
      <c r="W52" s="75" t="s">
        <v>46</v>
      </c>
    </row>
    <row r="53" spans="1:23" x14ac:dyDescent="0.3">
      <c r="A53" s="75" t="str">
        <f>IF(PANVEL[[#This Row],[Data Monitoria]]="","",((((WEEKNUM(B53)-WEEKNUM(DATE(YEAR(B53),MONTH(B53),1))+1)))))</f>
        <v/>
      </c>
      <c r="B53" s="12"/>
      <c r="C53" s="13"/>
      <c r="D53" s="13"/>
      <c r="E53" s="13"/>
      <c r="F53" s="70" t="str">
        <f>IF(PANVEL[[#This Row],[Produtos]]="","",((VLOOKUP(E53,'TAB PROD'!B:D,3,))))</f>
        <v/>
      </c>
      <c r="G53" s="14" t="str">
        <f>IF(PANVEL[[#This Row],[Produtos]]="","",((VLOOKUP(E53,'TAB PROD'!B:C,2,))))</f>
        <v/>
      </c>
      <c r="H53" s="13"/>
      <c r="I53" s="15"/>
      <c r="J53" s="15"/>
      <c r="K53" s="13"/>
      <c r="L53" s="13"/>
      <c r="M53" s="13"/>
      <c r="N53" s="13"/>
      <c r="O53" s="13"/>
      <c r="P53" s="13"/>
      <c r="Q53" s="13"/>
      <c r="R53" s="13"/>
      <c r="S53" s="13"/>
      <c r="T53" s="64"/>
      <c r="U53" s="21" t="str">
        <f>IF(PANVEL[[#This Row],[Abertura de chamado]]="","",NETWORKDAYS(PANVEL[[#This Row],[Abertura de chamado]],PANVEL[[#This Row],[Prazo de correção]]))</f>
        <v/>
      </c>
      <c r="V53" s="13"/>
      <c r="W53" s="75" t="s">
        <v>46</v>
      </c>
    </row>
    <row r="54" spans="1:23" x14ac:dyDescent="0.3">
      <c r="A54" s="75" t="str">
        <f>IF(PANVEL[[#This Row],[Data Monitoria]]="","",((((WEEKNUM(B54)-WEEKNUM(DATE(YEAR(B54),MONTH(B54),1))+1)))))</f>
        <v/>
      </c>
      <c r="B54" s="12"/>
      <c r="C54" s="13"/>
      <c r="D54" s="13"/>
      <c r="E54" s="13"/>
      <c r="F54" s="70" t="str">
        <f>IF(PANVEL[[#This Row],[Produtos]]="","",((VLOOKUP(E54,'TAB PROD'!B:D,3,))))</f>
        <v/>
      </c>
      <c r="G54" s="14" t="str">
        <f>IF(PANVEL[[#This Row],[Produtos]]="","",((VLOOKUP(E54,'TAB PROD'!B:C,2,))))</f>
        <v/>
      </c>
      <c r="H54" s="13"/>
      <c r="I54" s="15"/>
      <c r="J54" s="15"/>
      <c r="K54" s="13"/>
      <c r="L54" s="13"/>
      <c r="M54" s="13"/>
      <c r="N54" s="13"/>
      <c r="O54" s="13"/>
      <c r="P54" s="13"/>
      <c r="Q54" s="13"/>
      <c r="R54" s="13"/>
      <c r="S54" s="13"/>
      <c r="T54" s="64"/>
      <c r="U54" s="21" t="str">
        <f>IF(PANVEL[[#This Row],[Abertura de chamado]]="","",NETWORKDAYS(PANVEL[[#This Row],[Abertura de chamado]],PANVEL[[#This Row],[Prazo de correção]]))</f>
        <v/>
      </c>
      <c r="V54" s="13"/>
      <c r="W54" s="75" t="s">
        <v>46</v>
      </c>
    </row>
    <row r="55" spans="1:23" x14ac:dyDescent="0.3">
      <c r="A55" s="75" t="str">
        <f>IF(PANVEL[[#This Row],[Data Monitoria]]="","",((((WEEKNUM(B55)-WEEKNUM(DATE(YEAR(B55),MONTH(B55),1))+1)))))</f>
        <v/>
      </c>
      <c r="B55" s="12"/>
      <c r="C55" s="13"/>
      <c r="D55" s="13"/>
      <c r="E55" s="13"/>
      <c r="F55" s="70" t="str">
        <f>IF(PANVEL[[#This Row],[Produtos]]="","",((VLOOKUP(E55,'TAB PROD'!B:D,3,))))</f>
        <v/>
      </c>
      <c r="G55" s="14" t="str">
        <f>IF(PANVEL[[#This Row],[Produtos]]="","",((VLOOKUP(E55,'TAB PROD'!B:C,2,))))</f>
        <v/>
      </c>
      <c r="H55" s="13"/>
      <c r="I55" s="15"/>
      <c r="J55" s="15"/>
      <c r="K55" s="13"/>
      <c r="L55" s="13"/>
      <c r="M55" s="13"/>
      <c r="N55" s="13"/>
      <c r="O55" s="13"/>
      <c r="P55" s="13"/>
      <c r="Q55" s="13"/>
      <c r="R55" s="13"/>
      <c r="S55" s="13"/>
      <c r="T55" s="64"/>
      <c r="U55" s="21" t="str">
        <f>IF(PANVEL[[#This Row],[Abertura de chamado]]="","",NETWORKDAYS(PANVEL[[#This Row],[Abertura de chamado]],PANVEL[[#This Row],[Prazo de correção]]))</f>
        <v/>
      </c>
      <c r="V55" s="13"/>
      <c r="W55" s="75" t="s">
        <v>46</v>
      </c>
    </row>
    <row r="56" spans="1:23" x14ac:dyDescent="0.3">
      <c r="A56" s="75" t="str">
        <f>IF(PANVEL[[#This Row],[Data Monitoria]]="","",((((WEEKNUM(B56)-WEEKNUM(DATE(YEAR(B56),MONTH(B56),1))+1)))))</f>
        <v/>
      </c>
      <c r="B56" s="12"/>
      <c r="C56" s="13"/>
      <c r="D56" s="13"/>
      <c r="E56" s="13"/>
      <c r="F56" s="70" t="str">
        <f>IF(PANVEL[[#This Row],[Produtos]]="","",((VLOOKUP(E56,'TAB PROD'!B:D,3,))))</f>
        <v/>
      </c>
      <c r="G56" s="14" t="str">
        <f>IF(PANVEL[[#This Row],[Produtos]]="","",((VLOOKUP(E56,'TAB PROD'!B:C,2,))))</f>
        <v/>
      </c>
      <c r="H56" s="13"/>
      <c r="I56" s="15"/>
      <c r="J56" s="15"/>
      <c r="K56" s="13"/>
      <c r="L56" s="13"/>
      <c r="M56" s="13"/>
      <c r="N56" s="13"/>
      <c r="O56" s="13"/>
      <c r="P56" s="13"/>
      <c r="Q56" s="13"/>
      <c r="R56" s="13"/>
      <c r="S56" s="13"/>
      <c r="T56" s="64"/>
      <c r="U56" s="21" t="str">
        <f>IF(PANVEL[[#This Row],[Abertura de chamado]]="","",NETWORKDAYS(PANVEL[[#This Row],[Abertura de chamado]],PANVEL[[#This Row],[Prazo de correção]]))</f>
        <v/>
      </c>
      <c r="V56" s="13"/>
      <c r="W56" s="75" t="s">
        <v>46</v>
      </c>
    </row>
    <row r="57" spans="1:23" x14ac:dyDescent="0.3">
      <c r="A57" s="75" t="str">
        <f>IF(PANVEL[[#This Row],[Data Monitoria]]="","",((((WEEKNUM(B57)-WEEKNUM(DATE(YEAR(B57),MONTH(B57),1))+1)))))</f>
        <v/>
      </c>
      <c r="B57" s="12"/>
      <c r="C57" s="13"/>
      <c r="D57" s="13"/>
      <c r="E57" s="13"/>
      <c r="F57" s="70" t="str">
        <f>IF(PANVEL[[#This Row],[Produtos]]="","",((VLOOKUP(E57,'TAB PROD'!B:D,3,))))</f>
        <v/>
      </c>
      <c r="G57" s="14" t="str">
        <f>IF(PANVEL[[#This Row],[Produtos]]="","",((VLOOKUP(E57,'TAB PROD'!B:C,2,))))</f>
        <v/>
      </c>
      <c r="H57" s="13"/>
      <c r="I57" s="15"/>
      <c r="J57" s="15"/>
      <c r="K57" s="13"/>
      <c r="L57" s="13"/>
      <c r="M57" s="13"/>
      <c r="N57" s="13"/>
      <c r="O57" s="13"/>
      <c r="P57" s="13"/>
      <c r="Q57" s="13"/>
      <c r="R57" s="13"/>
      <c r="S57" s="13"/>
      <c r="T57" s="64"/>
      <c r="U57" s="21" t="str">
        <f>IF(PANVEL[[#This Row],[Abertura de chamado]]="","",NETWORKDAYS(PANVEL[[#This Row],[Abertura de chamado]],PANVEL[[#This Row],[Prazo de correção]]))</f>
        <v/>
      </c>
      <c r="V57" s="13"/>
      <c r="W57" s="75" t="s">
        <v>46</v>
      </c>
    </row>
    <row r="58" spans="1:23" x14ac:dyDescent="0.3">
      <c r="A58" s="75" t="str">
        <f>IF(PANVEL[[#This Row],[Data Monitoria]]="","",((((WEEKNUM(B58)-WEEKNUM(DATE(YEAR(B58),MONTH(B58),1))+1)))))</f>
        <v/>
      </c>
      <c r="B58" s="12"/>
      <c r="C58" s="13"/>
      <c r="D58" s="13"/>
      <c r="E58" s="13"/>
      <c r="F58" s="70" t="str">
        <f>IF(PANVEL[[#This Row],[Produtos]]="","",((VLOOKUP(E58,'TAB PROD'!B:D,3,))))</f>
        <v/>
      </c>
      <c r="G58" s="14" t="str">
        <f>IF(PANVEL[[#This Row],[Produtos]]="","",((VLOOKUP(E58,'TAB PROD'!B:C,2,))))</f>
        <v/>
      </c>
      <c r="H58" s="13"/>
      <c r="I58" s="15"/>
      <c r="J58" s="15"/>
      <c r="K58" s="13"/>
      <c r="L58" s="13"/>
      <c r="M58" s="13"/>
      <c r="N58" s="13"/>
      <c r="O58" s="13"/>
      <c r="P58" s="13"/>
      <c r="Q58" s="13"/>
      <c r="R58" s="13"/>
      <c r="S58" s="13"/>
      <c r="T58" s="64"/>
      <c r="U58" s="21" t="str">
        <f>IF(PANVEL[[#This Row],[Abertura de chamado]]="","",NETWORKDAYS(PANVEL[[#This Row],[Abertura de chamado]],PANVEL[[#This Row],[Prazo de correção]]))</f>
        <v/>
      </c>
      <c r="V58" s="13"/>
      <c r="W58" s="75" t="s">
        <v>46</v>
      </c>
    </row>
    <row r="59" spans="1:23" x14ac:dyDescent="0.3">
      <c r="A59" s="75" t="str">
        <f>IF(PANVEL[[#This Row],[Data Monitoria]]="","",((((WEEKNUM(B59)-WEEKNUM(DATE(YEAR(B59),MONTH(B59),1))+1)))))</f>
        <v/>
      </c>
      <c r="B59" s="12"/>
      <c r="C59" s="13"/>
      <c r="D59" s="13"/>
      <c r="E59" s="13"/>
      <c r="F59" s="70" t="str">
        <f>IF(PANVEL[[#This Row],[Produtos]]="","",((VLOOKUP(E59,'TAB PROD'!B:D,3,))))</f>
        <v/>
      </c>
      <c r="G59" s="14" t="str">
        <f>IF(PANVEL[[#This Row],[Produtos]]="","",((VLOOKUP(E59,'TAB PROD'!B:C,2,))))</f>
        <v/>
      </c>
      <c r="H59" s="13"/>
      <c r="I59" s="15"/>
      <c r="J59" s="15"/>
      <c r="K59" s="13"/>
      <c r="L59" s="13"/>
      <c r="M59" s="13"/>
      <c r="N59" s="13"/>
      <c r="O59" s="13"/>
      <c r="P59" s="13"/>
      <c r="Q59" s="13"/>
      <c r="R59" s="13"/>
      <c r="S59" s="13"/>
      <c r="T59" s="64"/>
      <c r="U59" s="21" t="str">
        <f>IF(PANVEL[[#This Row],[Abertura de chamado]]="","",NETWORKDAYS(PANVEL[[#This Row],[Abertura de chamado]],PANVEL[[#This Row],[Prazo de correção]]))</f>
        <v/>
      </c>
      <c r="V59" s="13"/>
      <c r="W59" s="75" t="s">
        <v>46</v>
      </c>
    </row>
    <row r="60" spans="1:23" x14ac:dyDescent="0.3">
      <c r="A60" s="75" t="str">
        <f>IF(PANVEL[[#This Row],[Data Monitoria]]="","",((((WEEKNUM(B60)-WEEKNUM(DATE(YEAR(B60),MONTH(B60),1))+1)))))</f>
        <v/>
      </c>
      <c r="B60" s="12"/>
      <c r="C60" s="13"/>
      <c r="D60" s="13"/>
      <c r="E60" s="13"/>
      <c r="F60" s="70" t="str">
        <f>IF(PANVEL[[#This Row],[Produtos]]="","",((VLOOKUP(E60,'TAB PROD'!B:D,3,))))</f>
        <v/>
      </c>
      <c r="G60" s="14" t="str">
        <f>IF(PANVEL[[#This Row],[Produtos]]="","",((VLOOKUP(E60,'TAB PROD'!B:C,2,))))</f>
        <v/>
      </c>
      <c r="H60" s="13"/>
      <c r="I60" s="15"/>
      <c r="J60" s="15"/>
      <c r="K60" s="13"/>
      <c r="L60" s="13"/>
      <c r="M60" s="13"/>
      <c r="N60" s="13"/>
      <c r="O60" s="13"/>
      <c r="P60" s="13"/>
      <c r="Q60" s="13"/>
      <c r="R60" s="13"/>
      <c r="S60" s="13"/>
      <c r="T60" s="64"/>
      <c r="U60" s="21" t="str">
        <f>IF(PANVEL[[#This Row],[Abertura de chamado]]="","",NETWORKDAYS(PANVEL[[#This Row],[Abertura de chamado]],PANVEL[[#This Row],[Prazo de correção]]))</f>
        <v/>
      </c>
      <c r="V60" s="13"/>
      <c r="W60" s="75" t="s">
        <v>46</v>
      </c>
    </row>
    <row r="61" spans="1:23" x14ac:dyDescent="0.3">
      <c r="A61" s="75" t="str">
        <f>IF(PANVEL[[#This Row],[Data Monitoria]]="","",((((WEEKNUM(B61)-WEEKNUM(DATE(YEAR(B61),MONTH(B61),1))+1)))))</f>
        <v/>
      </c>
      <c r="B61" s="12"/>
      <c r="C61" s="13"/>
      <c r="D61" s="13"/>
      <c r="E61" s="13"/>
      <c r="F61" s="70" t="str">
        <f>IF(PANVEL[[#This Row],[Produtos]]="","",((VLOOKUP(E61,'TAB PROD'!B:D,3,))))</f>
        <v/>
      </c>
      <c r="G61" s="14" t="str">
        <f>IF(PANVEL[[#This Row],[Produtos]]="","",((VLOOKUP(E61,'TAB PROD'!B:C,2,))))</f>
        <v/>
      </c>
      <c r="H61" s="13"/>
      <c r="I61" s="15"/>
      <c r="J61" s="15"/>
      <c r="K61" s="13"/>
      <c r="L61" s="13"/>
      <c r="M61" s="13"/>
      <c r="N61" s="13"/>
      <c r="O61" s="13"/>
      <c r="P61" s="13"/>
      <c r="Q61" s="13"/>
      <c r="R61" s="13"/>
      <c r="S61" s="13"/>
      <c r="T61" s="64"/>
      <c r="U61" s="21" t="str">
        <f>IF(PANVEL[[#This Row],[Abertura de chamado]]="","",NETWORKDAYS(PANVEL[[#This Row],[Abertura de chamado]],PANVEL[[#This Row],[Prazo de correção]]))</f>
        <v/>
      </c>
      <c r="V61" s="13"/>
      <c r="W61" s="75" t="s">
        <v>46</v>
      </c>
    </row>
    <row r="62" spans="1:23" x14ac:dyDescent="0.3">
      <c r="A62" s="75" t="str">
        <f>IF(PANVEL[[#This Row],[Data Monitoria]]="","",((((WEEKNUM(B62)-WEEKNUM(DATE(YEAR(B62),MONTH(B62),1))+1)))))</f>
        <v/>
      </c>
      <c r="B62" s="12"/>
      <c r="C62" s="13"/>
      <c r="D62" s="13"/>
      <c r="E62" s="13"/>
      <c r="F62" s="70" t="str">
        <f>IF(PANVEL[[#This Row],[Produtos]]="","",((VLOOKUP(E62,'TAB PROD'!B:D,3,))))</f>
        <v/>
      </c>
      <c r="G62" s="14" t="str">
        <f>IF(PANVEL[[#This Row],[Produtos]]="","",((VLOOKUP(E62,'TAB PROD'!B:C,2,))))</f>
        <v/>
      </c>
      <c r="H62" s="13"/>
      <c r="I62" s="15"/>
      <c r="J62" s="15"/>
      <c r="K62" s="13"/>
      <c r="L62" s="13"/>
      <c r="M62" s="13"/>
      <c r="N62" s="13"/>
      <c r="O62" s="13"/>
      <c r="P62" s="13"/>
      <c r="Q62" s="13"/>
      <c r="R62" s="13"/>
      <c r="S62" s="13"/>
      <c r="T62" s="64"/>
      <c r="U62" s="21" t="str">
        <f>IF(PANVEL[[#This Row],[Abertura de chamado]]="","",NETWORKDAYS(PANVEL[[#This Row],[Abertura de chamado]],PANVEL[[#This Row],[Prazo de correção]]))</f>
        <v/>
      </c>
      <c r="V62" s="13"/>
      <c r="W62" s="75" t="s">
        <v>46</v>
      </c>
    </row>
    <row r="63" spans="1:23" x14ac:dyDescent="0.3">
      <c r="A63" s="75" t="str">
        <f>IF(PANVEL[[#This Row],[Data Monitoria]]="","",((((WEEKNUM(B63)-WEEKNUM(DATE(YEAR(B63),MONTH(B63),1))+1)))))</f>
        <v/>
      </c>
      <c r="B63" s="12"/>
      <c r="C63" s="13"/>
      <c r="D63" s="13"/>
      <c r="E63" s="13"/>
      <c r="F63" s="70" t="str">
        <f>IF(PANVEL[[#This Row],[Produtos]]="","",((VLOOKUP(E63,'TAB PROD'!B:D,3,))))</f>
        <v/>
      </c>
      <c r="G63" s="14" t="str">
        <f>IF(PANVEL[[#This Row],[Produtos]]="","",((VLOOKUP(E63,'TAB PROD'!B:C,2,))))</f>
        <v/>
      </c>
      <c r="H63" s="13"/>
      <c r="I63" s="15"/>
      <c r="J63" s="15"/>
      <c r="K63" s="13"/>
      <c r="L63" s="13"/>
      <c r="M63" s="13"/>
      <c r="N63" s="13"/>
      <c r="O63" s="13"/>
      <c r="P63" s="13"/>
      <c r="Q63" s="13"/>
      <c r="R63" s="13"/>
      <c r="S63" s="13"/>
      <c r="T63" s="64"/>
      <c r="U63" s="21" t="str">
        <f>IF(PANVEL[[#This Row],[Abertura de chamado]]="","",NETWORKDAYS(PANVEL[[#This Row],[Abertura de chamado]],PANVEL[[#This Row],[Prazo de correção]]))</f>
        <v/>
      </c>
      <c r="V63" s="13"/>
      <c r="W63" s="75" t="s">
        <v>46</v>
      </c>
    </row>
    <row r="64" spans="1:23" x14ac:dyDescent="0.3">
      <c r="A64" s="75" t="str">
        <f>IF(PANVEL[[#This Row],[Data Monitoria]]="","",((((WEEKNUM(B64)-WEEKNUM(DATE(YEAR(B64),MONTH(B64),1))+1)))))</f>
        <v/>
      </c>
      <c r="B64" s="12"/>
      <c r="C64" s="13"/>
      <c r="D64" s="13"/>
      <c r="E64" s="13"/>
      <c r="F64" s="70" t="str">
        <f>IF(PANVEL[[#This Row],[Produtos]]="","",((VLOOKUP(E64,'TAB PROD'!B:D,3,))))</f>
        <v/>
      </c>
      <c r="G64" s="14" t="str">
        <f>IF(PANVEL[[#This Row],[Produtos]]="","",((VLOOKUP(E64,'TAB PROD'!B:C,2,))))</f>
        <v/>
      </c>
      <c r="H64" s="13"/>
      <c r="I64" s="15"/>
      <c r="J64" s="15"/>
      <c r="K64" s="13"/>
      <c r="L64" s="13"/>
      <c r="M64" s="13"/>
      <c r="N64" s="13"/>
      <c r="O64" s="13"/>
      <c r="P64" s="13"/>
      <c r="Q64" s="13"/>
      <c r="R64" s="13"/>
      <c r="S64" s="13"/>
      <c r="T64" s="64"/>
      <c r="U64" s="21" t="str">
        <f>IF(PANVEL[[#This Row],[Abertura de chamado]]="","",NETWORKDAYS(PANVEL[[#This Row],[Abertura de chamado]],PANVEL[[#This Row],[Prazo de correção]]))</f>
        <v/>
      </c>
      <c r="V64" s="13"/>
      <c r="W64" s="75" t="s">
        <v>46</v>
      </c>
    </row>
    <row r="65" spans="1:23" x14ac:dyDescent="0.3">
      <c r="A65" s="75" t="str">
        <f>IF(PANVEL[[#This Row],[Data Monitoria]]="","",((((WEEKNUM(B65)-WEEKNUM(DATE(YEAR(B65),MONTH(B65),1))+1)))))</f>
        <v/>
      </c>
      <c r="B65" s="12"/>
      <c r="C65" s="13"/>
      <c r="D65" s="13"/>
      <c r="E65" s="13"/>
      <c r="F65" s="70" t="str">
        <f>IF(PANVEL[[#This Row],[Produtos]]="","",((VLOOKUP(E65,'TAB PROD'!B:D,3,))))</f>
        <v/>
      </c>
      <c r="G65" s="14" t="str">
        <f>IF(PANVEL[[#This Row],[Produtos]]="","",((VLOOKUP(E65,'TAB PROD'!B:C,2,))))</f>
        <v/>
      </c>
      <c r="H65" s="13"/>
      <c r="I65" s="15"/>
      <c r="J65" s="15"/>
      <c r="K65" s="13"/>
      <c r="L65" s="13"/>
      <c r="M65" s="13"/>
      <c r="N65" s="13"/>
      <c r="O65" s="13"/>
      <c r="P65" s="13"/>
      <c r="Q65" s="13"/>
      <c r="R65" s="13"/>
      <c r="S65" s="13"/>
      <c r="T65" s="64"/>
      <c r="U65" s="21" t="str">
        <f>IF(PANVEL[[#This Row],[Abertura de chamado]]="","",NETWORKDAYS(PANVEL[[#This Row],[Abertura de chamado]],PANVEL[[#This Row],[Prazo de correção]]))</f>
        <v/>
      </c>
      <c r="V65" s="13"/>
      <c r="W65" s="75" t="s">
        <v>46</v>
      </c>
    </row>
    <row r="66" spans="1:23" x14ac:dyDescent="0.3">
      <c r="A66" s="75" t="str">
        <f>IF(PANVEL[[#This Row],[Data Monitoria]]="","",((((WEEKNUM(B66)-WEEKNUM(DATE(YEAR(B66),MONTH(B66),1))+1)))))</f>
        <v/>
      </c>
      <c r="B66" s="12"/>
      <c r="C66" s="13"/>
      <c r="D66" s="13"/>
      <c r="E66" s="13"/>
      <c r="F66" s="70" t="str">
        <f>IF(PANVEL[[#This Row],[Produtos]]="","",((VLOOKUP(E66,'TAB PROD'!B:D,3,))))</f>
        <v/>
      </c>
      <c r="G66" s="14" t="str">
        <f>IF(PANVEL[[#This Row],[Produtos]]="","",((VLOOKUP(E66,'TAB PROD'!B:C,2,))))</f>
        <v/>
      </c>
      <c r="H66" s="13"/>
      <c r="I66" s="15"/>
      <c r="J66" s="15"/>
      <c r="K66" s="13"/>
      <c r="L66" s="13"/>
      <c r="M66" s="13"/>
      <c r="N66" s="13"/>
      <c r="O66" s="13"/>
      <c r="P66" s="13"/>
      <c r="Q66" s="13"/>
      <c r="R66" s="13"/>
      <c r="S66" s="13"/>
      <c r="T66" s="64"/>
      <c r="U66" s="21" t="str">
        <f>IF(PANVEL[[#This Row],[Abertura de chamado]]="","",NETWORKDAYS(PANVEL[[#This Row],[Abertura de chamado]],PANVEL[[#This Row],[Prazo de correção]]))</f>
        <v/>
      </c>
      <c r="V66" s="13"/>
      <c r="W66" s="75" t="s">
        <v>46</v>
      </c>
    </row>
    <row r="67" spans="1:23" x14ac:dyDescent="0.3">
      <c r="A67" s="75" t="str">
        <f>IF(PANVEL[[#This Row],[Data Monitoria]]="","",((((WEEKNUM(B67)-WEEKNUM(DATE(YEAR(B67),MONTH(B67),1))+1)))))</f>
        <v/>
      </c>
      <c r="B67" s="12"/>
      <c r="C67" s="13"/>
      <c r="D67" s="13"/>
      <c r="E67" s="13"/>
      <c r="F67" s="70" t="str">
        <f>IF(PANVEL[[#This Row],[Produtos]]="","",((VLOOKUP(E67,'TAB PROD'!B:D,3,))))</f>
        <v/>
      </c>
      <c r="G67" s="14" t="str">
        <f>IF(PANVEL[[#This Row],[Produtos]]="","",((VLOOKUP(E67,'TAB PROD'!B:C,2,))))</f>
        <v/>
      </c>
      <c r="H67" s="13"/>
      <c r="I67" s="15"/>
      <c r="J67" s="15"/>
      <c r="K67" s="13"/>
      <c r="L67" s="13"/>
      <c r="M67" s="13"/>
      <c r="N67" s="13"/>
      <c r="O67" s="13"/>
      <c r="P67" s="13"/>
      <c r="Q67" s="13"/>
      <c r="R67" s="13"/>
      <c r="S67" s="13"/>
      <c r="T67" s="64"/>
      <c r="U67" s="21" t="str">
        <f>IF(PANVEL[[#This Row],[Abertura de chamado]]="","",NETWORKDAYS(PANVEL[[#This Row],[Abertura de chamado]],PANVEL[[#This Row],[Prazo de correção]]))</f>
        <v/>
      </c>
      <c r="V67" s="13"/>
      <c r="W67" s="75" t="s">
        <v>46</v>
      </c>
    </row>
    <row r="68" spans="1:23" x14ac:dyDescent="0.3">
      <c r="A68" s="75" t="str">
        <f>IF(PANVEL[[#This Row],[Data Monitoria]]="","",((((WEEKNUM(B68)-WEEKNUM(DATE(YEAR(B68),MONTH(B68),1))+1)))))</f>
        <v/>
      </c>
      <c r="B68" s="12"/>
      <c r="C68" s="13"/>
      <c r="D68" s="13"/>
      <c r="E68" s="13"/>
      <c r="F68" s="70" t="str">
        <f>IF(PANVEL[[#This Row],[Produtos]]="","",((VLOOKUP(E68,'TAB PROD'!B:D,3,))))</f>
        <v/>
      </c>
      <c r="G68" s="14" t="str">
        <f>IF(PANVEL[[#This Row],[Produtos]]="","",((VLOOKUP(E68,'TAB PROD'!B:C,2,))))</f>
        <v/>
      </c>
      <c r="H68" s="13"/>
      <c r="I68" s="15"/>
      <c r="J68" s="15"/>
      <c r="K68" s="13"/>
      <c r="L68" s="13"/>
      <c r="M68" s="13"/>
      <c r="N68" s="13"/>
      <c r="O68" s="13"/>
      <c r="P68" s="13"/>
      <c r="Q68" s="13"/>
      <c r="R68" s="13"/>
      <c r="S68" s="13"/>
      <c r="T68" s="64"/>
      <c r="U68" s="21" t="str">
        <f>IF(PANVEL[[#This Row],[Abertura de chamado]]="","",NETWORKDAYS(PANVEL[[#This Row],[Abertura de chamado]],PANVEL[[#This Row],[Prazo de correção]]))</f>
        <v/>
      </c>
      <c r="V68" s="13"/>
      <c r="W68" s="75" t="s">
        <v>46</v>
      </c>
    </row>
    <row r="69" spans="1:23" x14ac:dyDescent="0.3">
      <c r="A69" s="75" t="str">
        <f>IF(PANVEL[[#This Row],[Data Monitoria]]="","",((((WEEKNUM(B69)-WEEKNUM(DATE(YEAR(B69),MONTH(B69),1))+1)))))</f>
        <v/>
      </c>
      <c r="B69" s="12"/>
      <c r="C69" s="13"/>
      <c r="D69" s="13"/>
      <c r="E69" s="13"/>
      <c r="F69" s="70" t="str">
        <f>IF(PANVEL[[#This Row],[Produtos]]="","",((VLOOKUP(E69,'TAB PROD'!B:D,3,))))</f>
        <v/>
      </c>
      <c r="G69" s="14" t="str">
        <f>IF(PANVEL[[#This Row],[Produtos]]="","",((VLOOKUP(E69,'TAB PROD'!B:C,2,))))</f>
        <v/>
      </c>
      <c r="H69" s="13"/>
      <c r="I69" s="15"/>
      <c r="J69" s="15"/>
      <c r="K69" s="13"/>
      <c r="L69" s="13"/>
      <c r="M69" s="13"/>
      <c r="N69" s="13"/>
      <c r="O69" s="13"/>
      <c r="P69" s="13"/>
      <c r="Q69" s="13"/>
      <c r="R69" s="13"/>
      <c r="S69" s="13"/>
      <c r="T69" s="64"/>
      <c r="U69" s="21" t="str">
        <f>IF(PANVEL[[#This Row],[Abertura de chamado]]="","",NETWORKDAYS(PANVEL[[#This Row],[Abertura de chamado]],PANVEL[[#This Row],[Prazo de correção]]))</f>
        <v/>
      </c>
      <c r="V69" s="13"/>
      <c r="W69" s="75" t="s">
        <v>46</v>
      </c>
    </row>
    <row r="70" spans="1:23" x14ac:dyDescent="0.3">
      <c r="A70" s="75" t="str">
        <f>IF(PANVEL[[#This Row],[Data Monitoria]]="","",((((WEEKNUM(B70)-WEEKNUM(DATE(YEAR(B70),MONTH(B70),1))+1)))))</f>
        <v/>
      </c>
      <c r="B70" s="12"/>
      <c r="C70" s="13"/>
      <c r="D70" s="13"/>
      <c r="E70" s="13"/>
      <c r="F70" s="70" t="str">
        <f>IF(PANVEL[[#This Row],[Produtos]]="","",((VLOOKUP(E70,'TAB PROD'!B:D,3,))))</f>
        <v/>
      </c>
      <c r="G70" s="14" t="str">
        <f>IF(PANVEL[[#This Row],[Produtos]]="","",((VLOOKUP(E70,'TAB PROD'!B:C,2,))))</f>
        <v/>
      </c>
      <c r="H70" s="13"/>
      <c r="I70" s="15"/>
      <c r="J70" s="15"/>
      <c r="K70" s="13"/>
      <c r="L70" s="13"/>
      <c r="M70" s="13"/>
      <c r="N70" s="13"/>
      <c r="O70" s="13"/>
      <c r="P70" s="13"/>
      <c r="Q70" s="13"/>
      <c r="R70" s="13"/>
      <c r="S70" s="13"/>
      <c r="T70" s="64"/>
      <c r="U70" s="21" t="str">
        <f>IF(PANVEL[[#This Row],[Abertura de chamado]]="","",NETWORKDAYS(PANVEL[[#This Row],[Abertura de chamado]],PANVEL[[#This Row],[Prazo de correção]]))</f>
        <v/>
      </c>
      <c r="V70" s="13"/>
      <c r="W70" s="75" t="s">
        <v>46</v>
      </c>
    </row>
    <row r="71" spans="1:23" x14ac:dyDescent="0.3">
      <c r="A71" s="75" t="str">
        <f>IF(PANVEL[[#This Row],[Data Monitoria]]="","",((((WEEKNUM(B71)-WEEKNUM(DATE(YEAR(B71),MONTH(B71),1))+1)))))</f>
        <v/>
      </c>
      <c r="B71" s="12"/>
      <c r="C71" s="13"/>
      <c r="D71" s="13"/>
      <c r="E71" s="13"/>
      <c r="F71" s="70" t="str">
        <f>IF(PANVEL[[#This Row],[Produtos]]="","",((VLOOKUP(E71,'TAB PROD'!B:D,3,))))</f>
        <v/>
      </c>
      <c r="G71" s="14" t="str">
        <f>IF(PANVEL[[#This Row],[Produtos]]="","",((VLOOKUP(E71,'TAB PROD'!B:C,2,))))</f>
        <v/>
      </c>
      <c r="H71" s="13"/>
      <c r="I71" s="15"/>
      <c r="J71" s="15"/>
      <c r="K71" s="13"/>
      <c r="L71" s="13"/>
      <c r="M71" s="13"/>
      <c r="N71" s="13"/>
      <c r="O71" s="13"/>
      <c r="P71" s="13"/>
      <c r="Q71" s="13"/>
      <c r="R71" s="13"/>
      <c r="S71" s="13"/>
      <c r="T71" s="64"/>
      <c r="U71" s="21" t="str">
        <f>IF(PANVEL[[#This Row],[Abertura de chamado]]="","",NETWORKDAYS(PANVEL[[#This Row],[Abertura de chamado]],PANVEL[[#This Row],[Prazo de correção]]))</f>
        <v/>
      </c>
      <c r="V71" s="13"/>
      <c r="W71" s="75" t="s">
        <v>46</v>
      </c>
    </row>
    <row r="72" spans="1:23" x14ac:dyDescent="0.3">
      <c r="A72" s="75" t="str">
        <f>IF(PANVEL[[#This Row],[Data Monitoria]]="","",((((WEEKNUM(B72)-WEEKNUM(DATE(YEAR(B72),MONTH(B72),1))+1)))))</f>
        <v/>
      </c>
      <c r="B72" s="12"/>
      <c r="C72" s="13"/>
      <c r="D72" s="13"/>
      <c r="E72" s="13"/>
      <c r="F72" s="70" t="str">
        <f>IF(PANVEL[[#This Row],[Produtos]]="","",((VLOOKUP(E72,'TAB PROD'!B:D,3,))))</f>
        <v/>
      </c>
      <c r="G72" s="14" t="str">
        <f>IF(PANVEL[[#This Row],[Produtos]]="","",((VLOOKUP(E72,'TAB PROD'!B:C,2,))))</f>
        <v/>
      </c>
      <c r="H72" s="13"/>
      <c r="I72" s="15"/>
      <c r="J72" s="15"/>
      <c r="K72" s="13"/>
      <c r="L72" s="13"/>
      <c r="M72" s="13"/>
      <c r="N72" s="13"/>
      <c r="O72" s="13"/>
      <c r="P72" s="13"/>
      <c r="Q72" s="13"/>
      <c r="R72" s="13"/>
      <c r="S72" s="13"/>
      <c r="T72" s="64"/>
      <c r="U72" s="21" t="str">
        <f>IF(PANVEL[[#This Row],[Abertura de chamado]]="","",NETWORKDAYS(PANVEL[[#This Row],[Abertura de chamado]],PANVEL[[#This Row],[Prazo de correção]]))</f>
        <v/>
      </c>
      <c r="V72" s="13"/>
      <c r="W72" s="75" t="s">
        <v>46</v>
      </c>
    </row>
    <row r="73" spans="1:23" x14ac:dyDescent="0.3">
      <c r="A73" s="75" t="str">
        <f>IF(PANVEL[[#This Row],[Data Monitoria]]="","",((((WEEKNUM(B73)-WEEKNUM(DATE(YEAR(B73),MONTH(B73),1))+1)))))</f>
        <v/>
      </c>
      <c r="B73" s="12"/>
      <c r="C73" s="13"/>
      <c r="D73" s="13"/>
      <c r="E73" s="13"/>
      <c r="F73" s="70" t="str">
        <f>IF(PANVEL[[#This Row],[Produtos]]="","",((VLOOKUP(E73,'TAB PROD'!B:D,3,))))</f>
        <v/>
      </c>
      <c r="G73" s="14" t="str">
        <f>IF(PANVEL[[#This Row],[Produtos]]="","",((VLOOKUP(E73,'TAB PROD'!B:C,2,))))</f>
        <v/>
      </c>
      <c r="H73" s="13"/>
      <c r="I73" s="15"/>
      <c r="J73" s="15"/>
      <c r="K73" s="13"/>
      <c r="L73" s="13"/>
      <c r="M73" s="13"/>
      <c r="N73" s="13"/>
      <c r="O73" s="13"/>
      <c r="P73" s="13"/>
      <c r="Q73" s="13"/>
      <c r="R73" s="13"/>
      <c r="S73" s="13"/>
      <c r="T73" s="64"/>
      <c r="U73" s="21" t="str">
        <f>IF(PANVEL[[#This Row],[Abertura de chamado]]="","",NETWORKDAYS(PANVEL[[#This Row],[Abertura de chamado]],PANVEL[[#This Row],[Prazo de correção]]))</f>
        <v/>
      </c>
      <c r="V73" s="13"/>
      <c r="W73" s="75" t="s">
        <v>46</v>
      </c>
    </row>
    <row r="74" spans="1:23" x14ac:dyDescent="0.3">
      <c r="A74" s="75" t="str">
        <f>IF(PANVEL[[#This Row],[Data Monitoria]]="","",((((WEEKNUM(B74)-WEEKNUM(DATE(YEAR(B74),MONTH(B74),1))+1)))))</f>
        <v/>
      </c>
      <c r="B74" s="88"/>
      <c r="C74" s="22"/>
      <c r="D74" s="22"/>
      <c r="E74" s="22"/>
      <c r="F74" s="70" t="str">
        <f>IF(PANVEL[[#This Row],[Produtos]]="","",((VLOOKUP(E74,'TAB PROD'!B:D,3,))))</f>
        <v/>
      </c>
      <c r="G74" s="14" t="str">
        <f>IF(PANVEL[[#This Row],[Produtos]]="","",((VLOOKUP(E74,'TAB PROD'!B:C,2,))))</f>
        <v/>
      </c>
      <c r="H74" s="22"/>
      <c r="I74" s="23"/>
      <c r="J74" s="23"/>
      <c r="K74" s="22"/>
      <c r="L74" s="22"/>
      <c r="M74" s="22"/>
      <c r="N74" s="22"/>
      <c r="O74" s="22"/>
      <c r="P74" s="22"/>
      <c r="Q74" s="22"/>
      <c r="R74" s="22"/>
      <c r="S74" s="22"/>
      <c r="T74" s="76"/>
      <c r="U74" s="21" t="str">
        <f>IF(PANVEL[[#This Row],[Abertura de chamado]]="","",NETWORKDAYS(PANVEL[[#This Row],[Abertura de chamado]],PANVEL[[#This Row],[Prazo de correção]]))</f>
        <v/>
      </c>
      <c r="V74" s="22"/>
      <c r="W74" s="75" t="s">
        <v>46</v>
      </c>
    </row>
    <row r="75" spans="1:23" x14ac:dyDescent="0.3">
      <c r="S75" s="13"/>
    </row>
    <row r="76" spans="1:23" x14ac:dyDescent="0.3">
      <c r="S76" s="13"/>
    </row>
    <row r="77" spans="1:23" x14ac:dyDescent="0.3">
      <c r="S77" s="13"/>
    </row>
    <row r="78" spans="1:23" x14ac:dyDescent="0.3">
      <c r="S78" s="13"/>
    </row>
    <row r="79" spans="1:23" x14ac:dyDescent="0.3">
      <c r="S79" s="13"/>
    </row>
  </sheetData>
  <mergeCells count="2">
    <mergeCell ref="A8:P8"/>
    <mergeCell ref="Q8:W8"/>
  </mergeCells>
  <conditionalFormatting sqref="U9">
    <cfRule type="cellIs" dxfId="58" priority="17" operator="between">
      <formula>6</formula>
      <formula>10</formula>
    </cfRule>
    <cfRule type="cellIs" dxfId="57" priority="18" operator="between">
      <formula>1</formula>
      <formula>5</formula>
    </cfRule>
  </conditionalFormatting>
  <conditionalFormatting sqref="U9">
    <cfRule type="cellIs" dxfId="56" priority="16" operator="between">
      <formula>11</formula>
      <formula>30</formula>
    </cfRule>
  </conditionalFormatting>
  <conditionalFormatting sqref="U44:U74">
    <cfRule type="cellIs" dxfId="55" priority="2" operator="between">
      <formula>6</formula>
      <formula>10</formula>
    </cfRule>
    <cfRule type="cellIs" dxfId="54" priority="3" operator="between">
      <formula>1</formula>
      <formula>5</formula>
    </cfRule>
  </conditionalFormatting>
  <conditionalFormatting sqref="U44:U74">
    <cfRule type="cellIs" dxfId="53" priority="1" operator="between">
      <formula>11</formula>
      <formula>30</formula>
    </cfRule>
  </conditionalFormatting>
  <dataValidations count="3">
    <dataValidation type="list" allowBlank="1" showInputMessage="1" showErrorMessage="1" sqref="K10:K74" xr:uid="{7DED2226-89BA-4E11-9627-492E4555B192}">
      <formula1>"Legado,Novo"</formula1>
    </dataValidation>
    <dataValidation type="list" allowBlank="1" showInputMessage="1" showErrorMessage="1" sqref="L10:N74" xr:uid="{3A846725-5F7B-44D4-9329-54EFE12415AC}">
      <formula1>"Sim,Não"</formula1>
    </dataValidation>
    <dataValidation type="list" allowBlank="1" showInputMessage="1" showErrorMessage="1" sqref="D10:D74" xr:uid="{FA03FABE-0521-4FE9-8752-65F775491E6F}">
      <formula1>"Sim, 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66564-379D-4F1F-9039-DBE7426AF6C7}">
  <sheetPr codeName="Planilha16"/>
  <dimension ref="A5:W79"/>
  <sheetViews>
    <sheetView showGridLines="0" zoomScaleNormal="100" workbookViewId="0">
      <selection activeCell="D1" sqref="D1:K6"/>
    </sheetView>
  </sheetViews>
  <sheetFormatPr defaultRowHeight="14.4" x14ac:dyDescent="0.3"/>
  <cols>
    <col min="1" max="1" width="22.88671875" style="18" bestFit="1" customWidth="1"/>
    <col min="2" max="2" width="21.5546875" bestFit="1" customWidth="1"/>
    <col min="3" max="3" width="27.33203125" bestFit="1" customWidth="1"/>
    <col min="4" max="4" width="14.44140625" customWidth="1"/>
    <col min="5" max="5" width="59.33203125" style="18" bestFit="1" customWidth="1"/>
    <col min="6" max="6" width="18.109375" bestFit="1" customWidth="1"/>
    <col min="7" max="7" width="17.44140625" bestFit="1" customWidth="1"/>
    <col min="8" max="8" width="38.88671875" bestFit="1" customWidth="1"/>
    <col min="9" max="9" width="16" customWidth="1"/>
    <col min="10" max="10" width="15.33203125" bestFit="1" customWidth="1"/>
    <col min="11" max="11" width="21" bestFit="1" customWidth="1"/>
    <col min="12" max="12" width="11.5546875" bestFit="1" customWidth="1"/>
    <col min="13" max="13" width="13.44140625" bestFit="1" customWidth="1"/>
    <col min="14" max="14" width="13.44140625" customWidth="1"/>
    <col min="15" max="15" width="74.77734375" bestFit="1" customWidth="1"/>
    <col min="16" max="16" width="36.44140625" bestFit="1" customWidth="1"/>
    <col min="17" max="17" width="18.33203125" bestFit="1" customWidth="1"/>
    <col min="18" max="18" width="23" bestFit="1" customWidth="1"/>
    <col min="19" max="19" width="30" bestFit="1" customWidth="1"/>
    <col min="20" max="20" width="29.33203125" bestFit="1" customWidth="1"/>
    <col min="21" max="21" width="15" bestFit="1" customWidth="1"/>
    <col min="22" max="22" width="30" bestFit="1" customWidth="1"/>
    <col min="23" max="23" width="8" bestFit="1" customWidth="1"/>
  </cols>
  <sheetData>
    <row r="5" spans="1:23" x14ac:dyDescent="0.3">
      <c r="T5" s="66"/>
    </row>
    <row r="6" spans="1:23" x14ac:dyDescent="0.3">
      <c r="C6" s="17">
        <f ca="1">TODAY()</f>
        <v>44543</v>
      </c>
      <c r="U6" s="17">
        <f ca="1">TODAY()</f>
        <v>44543</v>
      </c>
    </row>
    <row r="7" spans="1:23" s="8" customFormat="1" ht="3.75" customHeight="1" thickBot="1" x14ac:dyDescent="0.35">
      <c r="A7" s="20"/>
      <c r="E7" s="20"/>
    </row>
    <row r="8" spans="1:23" ht="15" thickBot="1" x14ac:dyDescent="0.35">
      <c r="A8" s="123" t="s">
        <v>62</v>
      </c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4"/>
      <c r="Q8" s="125" t="s">
        <v>63</v>
      </c>
      <c r="R8" s="126"/>
      <c r="S8" s="126"/>
      <c r="T8" s="126"/>
      <c r="U8" s="126"/>
      <c r="V8" s="126"/>
      <c r="W8" s="126"/>
    </row>
    <row r="9" spans="1:23" ht="28.8" x14ac:dyDescent="0.3">
      <c r="A9" s="77" t="s">
        <v>1</v>
      </c>
      <c r="B9" s="78" t="s">
        <v>2</v>
      </c>
      <c r="C9" s="79" t="s">
        <v>3</v>
      </c>
      <c r="D9" s="79" t="s">
        <v>4</v>
      </c>
      <c r="E9" s="80" t="s">
        <v>5</v>
      </c>
      <c r="F9" s="81" t="s">
        <v>64</v>
      </c>
      <c r="G9" s="80" t="s">
        <v>6</v>
      </c>
      <c r="H9" s="82" t="s">
        <v>7</v>
      </c>
      <c r="I9" s="83" t="s">
        <v>8</v>
      </c>
      <c r="J9" s="84" t="s">
        <v>9</v>
      </c>
      <c r="K9" s="85" t="s">
        <v>10</v>
      </c>
      <c r="L9" s="79" t="s">
        <v>11</v>
      </c>
      <c r="M9" s="79" t="s">
        <v>12</v>
      </c>
      <c r="N9" s="79" t="s">
        <v>13</v>
      </c>
      <c r="O9" s="79" t="s">
        <v>14</v>
      </c>
      <c r="P9" s="79" t="s">
        <v>15</v>
      </c>
      <c r="Q9" s="79" t="s">
        <v>16</v>
      </c>
      <c r="R9" s="79" t="s">
        <v>17</v>
      </c>
      <c r="S9" s="79" t="s">
        <v>18</v>
      </c>
      <c r="T9" s="81" t="s">
        <v>19</v>
      </c>
      <c r="U9" s="86" t="s">
        <v>20</v>
      </c>
      <c r="V9" s="79" t="s">
        <v>21</v>
      </c>
      <c r="W9" s="77" t="s">
        <v>0</v>
      </c>
    </row>
    <row r="10" spans="1:23" x14ac:dyDescent="0.3">
      <c r="A10" s="75"/>
      <c r="B10" s="12"/>
      <c r="C10" s="75"/>
      <c r="D10" s="13"/>
      <c r="E10" s="38"/>
      <c r="F10" s="40"/>
      <c r="G10" s="51"/>
      <c r="H10" s="13"/>
      <c r="I10" s="15"/>
      <c r="J10" s="15"/>
      <c r="K10" s="13"/>
      <c r="L10" s="13"/>
      <c r="M10" s="13"/>
      <c r="N10" s="13"/>
      <c r="O10" s="13"/>
      <c r="P10" s="13"/>
      <c r="Q10" s="13"/>
      <c r="R10" s="13"/>
      <c r="S10" s="113"/>
      <c r="T10" s="64"/>
      <c r="U10" s="103"/>
      <c r="V10" s="13"/>
      <c r="W10" s="75" t="s">
        <v>47</v>
      </c>
    </row>
    <row r="11" spans="1:23" x14ac:dyDescent="0.3">
      <c r="A11" s="75"/>
      <c r="B11" s="12"/>
      <c r="C11" s="75"/>
      <c r="D11" s="13"/>
      <c r="E11" s="38"/>
      <c r="F11" s="40"/>
      <c r="G11" s="51"/>
      <c r="H11" s="13"/>
      <c r="I11" s="15"/>
      <c r="J11" s="15"/>
      <c r="K11" s="13"/>
      <c r="L11" s="13"/>
      <c r="M11" s="13"/>
      <c r="N11" s="13"/>
      <c r="O11" s="13"/>
      <c r="P11" s="13"/>
      <c r="Q11" s="13"/>
      <c r="R11" s="13"/>
      <c r="S11" s="113"/>
      <c r="T11" s="64"/>
      <c r="U11" s="103"/>
      <c r="V11" s="13"/>
      <c r="W11" s="75" t="s">
        <v>47</v>
      </c>
    </row>
    <row r="12" spans="1:23" x14ac:dyDescent="0.3">
      <c r="A12" s="75"/>
      <c r="B12" s="12"/>
      <c r="C12" s="75"/>
      <c r="D12" s="13"/>
      <c r="E12" s="38"/>
      <c r="F12" s="40"/>
      <c r="G12" s="51"/>
      <c r="H12" s="13"/>
      <c r="I12" s="15"/>
      <c r="J12" s="15"/>
      <c r="K12" s="13"/>
      <c r="L12" s="13"/>
      <c r="M12" s="13"/>
      <c r="N12" s="13"/>
      <c r="O12" s="13"/>
      <c r="P12" s="13"/>
      <c r="Q12" s="13"/>
      <c r="R12" s="13"/>
      <c r="S12" s="113"/>
      <c r="T12" s="64"/>
      <c r="U12" s="103"/>
      <c r="V12" s="13"/>
      <c r="W12" s="75" t="s">
        <v>47</v>
      </c>
    </row>
    <row r="13" spans="1:23" x14ac:dyDescent="0.3">
      <c r="A13" s="75"/>
      <c r="B13" s="12"/>
      <c r="C13" s="75"/>
      <c r="D13" s="13"/>
      <c r="E13" s="38"/>
      <c r="F13" s="40"/>
      <c r="G13" s="51"/>
      <c r="H13" s="13"/>
      <c r="I13" s="15"/>
      <c r="J13" s="15"/>
      <c r="K13" s="13"/>
      <c r="L13" s="13"/>
      <c r="M13" s="13"/>
      <c r="N13" s="13"/>
      <c r="O13" s="13"/>
      <c r="P13" s="13"/>
      <c r="Q13" s="13"/>
      <c r="R13" s="13"/>
      <c r="S13" s="113"/>
      <c r="T13" s="64"/>
      <c r="U13" s="103"/>
      <c r="V13" s="13"/>
      <c r="W13" s="75" t="s">
        <v>47</v>
      </c>
    </row>
    <row r="14" spans="1:23" x14ac:dyDescent="0.3">
      <c r="A14" s="75"/>
      <c r="B14" s="12"/>
      <c r="C14" s="75"/>
      <c r="D14" s="13"/>
      <c r="E14" s="38"/>
      <c r="F14" s="40"/>
      <c r="G14" s="51"/>
      <c r="H14" s="13"/>
      <c r="I14" s="15"/>
      <c r="J14" s="15"/>
      <c r="K14" s="13"/>
      <c r="L14" s="13"/>
      <c r="M14" s="13"/>
      <c r="N14" s="13"/>
      <c r="O14" s="13"/>
      <c r="P14" s="13"/>
      <c r="Q14" s="13"/>
      <c r="R14" s="13"/>
      <c r="S14" s="113"/>
      <c r="T14" s="64"/>
      <c r="U14" s="103"/>
      <c r="V14" s="13"/>
      <c r="W14" s="75" t="s">
        <v>47</v>
      </c>
    </row>
    <row r="15" spans="1:23" x14ac:dyDescent="0.3">
      <c r="A15" s="75"/>
      <c r="B15" s="12"/>
      <c r="C15" s="75"/>
      <c r="D15" s="13"/>
      <c r="E15" s="38"/>
      <c r="F15" s="40"/>
      <c r="G15" s="51"/>
      <c r="H15" s="13"/>
      <c r="I15" s="15"/>
      <c r="J15" s="15"/>
      <c r="K15" s="13"/>
      <c r="L15" s="13"/>
      <c r="M15" s="13"/>
      <c r="N15" s="13"/>
      <c r="O15" s="13"/>
      <c r="P15" s="13"/>
      <c r="Q15" s="13"/>
      <c r="R15" s="13"/>
      <c r="S15" s="113"/>
      <c r="T15" s="64"/>
      <c r="U15" s="103"/>
      <c r="V15" s="13"/>
      <c r="W15" s="75" t="s">
        <v>47</v>
      </c>
    </row>
    <row r="16" spans="1:23" x14ac:dyDescent="0.3">
      <c r="A16" s="75"/>
      <c r="B16" s="12"/>
      <c r="C16" s="75"/>
      <c r="D16" s="13"/>
      <c r="E16" s="38"/>
      <c r="F16" s="40"/>
      <c r="G16" s="51"/>
      <c r="H16" s="13"/>
      <c r="I16" s="15"/>
      <c r="J16" s="15"/>
      <c r="K16" s="13"/>
      <c r="L16" s="13"/>
      <c r="M16" s="13"/>
      <c r="N16" s="13"/>
      <c r="O16" s="13"/>
      <c r="P16" s="13"/>
      <c r="Q16" s="13"/>
      <c r="R16" s="13"/>
      <c r="S16" s="113"/>
      <c r="T16" s="64"/>
      <c r="U16" s="103"/>
      <c r="V16" s="13"/>
      <c r="W16" s="75" t="s">
        <v>47</v>
      </c>
    </row>
    <row r="17" spans="1:23" x14ac:dyDescent="0.3">
      <c r="A17" s="75"/>
      <c r="B17" s="12"/>
      <c r="C17" s="75"/>
      <c r="D17" s="13"/>
      <c r="E17" s="38"/>
      <c r="F17" s="40"/>
      <c r="G17" s="51"/>
      <c r="H17" s="13"/>
      <c r="I17" s="15"/>
      <c r="J17" s="15"/>
      <c r="K17" s="13"/>
      <c r="L17" s="13"/>
      <c r="M17" s="13"/>
      <c r="N17" s="13"/>
      <c r="O17" s="13"/>
      <c r="P17" s="13"/>
      <c r="Q17" s="13"/>
      <c r="R17" s="13"/>
      <c r="S17" s="113"/>
      <c r="T17" s="64"/>
      <c r="U17" s="103"/>
      <c r="V17" s="13"/>
      <c r="W17" s="75" t="s">
        <v>47</v>
      </c>
    </row>
    <row r="18" spans="1:23" x14ac:dyDescent="0.3">
      <c r="A18" s="75"/>
      <c r="B18" s="12"/>
      <c r="C18" s="75"/>
      <c r="D18" s="13"/>
      <c r="E18" s="38"/>
      <c r="F18" s="40"/>
      <c r="G18" s="51"/>
      <c r="H18" s="13"/>
      <c r="I18" s="15"/>
      <c r="J18" s="15"/>
      <c r="K18" s="13"/>
      <c r="L18" s="13"/>
      <c r="M18" s="13"/>
      <c r="N18" s="13"/>
      <c r="O18" s="13"/>
      <c r="P18" s="13"/>
      <c r="Q18" s="13"/>
      <c r="R18" s="13"/>
      <c r="S18" s="113"/>
      <c r="T18" s="64"/>
      <c r="U18" s="103"/>
      <c r="V18" s="13"/>
      <c r="W18" s="75" t="s">
        <v>47</v>
      </c>
    </row>
    <row r="19" spans="1:23" x14ac:dyDescent="0.3">
      <c r="A19" s="75"/>
      <c r="B19" s="12"/>
      <c r="C19" s="75"/>
      <c r="D19" s="13"/>
      <c r="E19" s="38"/>
      <c r="F19" s="40"/>
      <c r="G19" s="51"/>
      <c r="H19" s="13"/>
      <c r="I19" s="15"/>
      <c r="J19" s="15"/>
      <c r="K19" s="13"/>
      <c r="L19" s="13"/>
      <c r="M19" s="13"/>
      <c r="N19" s="13"/>
      <c r="O19" s="13"/>
      <c r="P19" s="13"/>
      <c r="Q19" s="13"/>
      <c r="R19" s="13"/>
      <c r="S19" s="113"/>
      <c r="T19" s="64"/>
      <c r="U19" s="103"/>
      <c r="V19" s="13"/>
      <c r="W19" s="75" t="s">
        <v>47</v>
      </c>
    </row>
    <row r="20" spans="1:23" x14ac:dyDescent="0.3">
      <c r="A20" s="75"/>
      <c r="B20" s="12"/>
      <c r="C20" s="75"/>
      <c r="D20" s="13"/>
      <c r="E20" s="38"/>
      <c r="F20" s="40"/>
      <c r="G20" s="51"/>
      <c r="H20" s="13"/>
      <c r="I20" s="15"/>
      <c r="J20" s="15"/>
      <c r="K20" s="13"/>
      <c r="L20" s="13"/>
      <c r="M20" s="13"/>
      <c r="N20" s="13"/>
      <c r="O20" s="13"/>
      <c r="P20" s="13"/>
      <c r="Q20" s="13"/>
      <c r="R20" s="13"/>
      <c r="S20" s="113"/>
      <c r="T20" s="64"/>
      <c r="U20" s="103"/>
      <c r="V20" s="13"/>
      <c r="W20" s="75" t="s">
        <v>47</v>
      </c>
    </row>
    <row r="21" spans="1:23" x14ac:dyDescent="0.3">
      <c r="A21" s="75"/>
      <c r="B21" s="12"/>
      <c r="C21" s="75"/>
      <c r="D21" s="13"/>
      <c r="E21" s="38"/>
      <c r="F21" s="40"/>
      <c r="G21" s="51"/>
      <c r="H21" s="13"/>
      <c r="I21" s="15"/>
      <c r="J21" s="15"/>
      <c r="K21" s="13"/>
      <c r="L21" s="13"/>
      <c r="M21" s="13"/>
      <c r="N21" s="13"/>
      <c r="O21" s="13"/>
      <c r="P21" s="13"/>
      <c r="Q21" s="13"/>
      <c r="R21" s="13"/>
      <c r="S21" s="113"/>
      <c r="T21" s="64"/>
      <c r="U21" s="103"/>
      <c r="V21" s="13"/>
      <c r="W21" s="75" t="s">
        <v>47</v>
      </c>
    </row>
    <row r="22" spans="1:23" x14ac:dyDescent="0.3">
      <c r="A22" s="75"/>
      <c r="B22" s="12"/>
      <c r="C22" s="75"/>
      <c r="D22" s="13"/>
      <c r="E22" s="38"/>
      <c r="F22" s="40"/>
      <c r="G22" s="51"/>
      <c r="H22" s="13"/>
      <c r="I22" s="15"/>
      <c r="J22" s="15"/>
      <c r="K22" s="13"/>
      <c r="L22" s="13"/>
      <c r="M22" s="13"/>
      <c r="N22" s="13"/>
      <c r="O22" s="13"/>
      <c r="P22" s="13"/>
      <c r="Q22" s="13"/>
      <c r="R22" s="13"/>
      <c r="S22" s="113"/>
      <c r="T22" s="64"/>
      <c r="U22" s="103"/>
      <c r="V22" s="13"/>
      <c r="W22" s="75" t="s">
        <v>47</v>
      </c>
    </row>
    <row r="23" spans="1:23" x14ac:dyDescent="0.3">
      <c r="A23" s="75"/>
      <c r="B23" s="12"/>
      <c r="C23" s="75"/>
      <c r="D23" s="13"/>
      <c r="E23" s="38"/>
      <c r="F23" s="40"/>
      <c r="G23" s="51"/>
      <c r="H23" s="13"/>
      <c r="I23" s="15"/>
      <c r="J23" s="15"/>
      <c r="K23" s="13"/>
      <c r="L23" s="13"/>
      <c r="M23" s="13"/>
      <c r="N23" s="13"/>
      <c r="O23" s="13"/>
      <c r="P23" s="13"/>
      <c r="Q23" s="13"/>
      <c r="R23" s="13"/>
      <c r="S23" s="113"/>
      <c r="T23" s="64"/>
      <c r="U23" s="103"/>
      <c r="V23" s="13"/>
      <c r="W23" s="75" t="s">
        <v>47</v>
      </c>
    </row>
    <row r="24" spans="1:23" x14ac:dyDescent="0.3">
      <c r="A24" s="75"/>
      <c r="B24" s="12"/>
      <c r="C24" s="75"/>
      <c r="D24" s="13"/>
      <c r="E24" s="38"/>
      <c r="F24" s="40"/>
      <c r="G24" s="51"/>
      <c r="H24" s="13"/>
      <c r="I24" s="15"/>
      <c r="J24" s="15"/>
      <c r="K24" s="13"/>
      <c r="L24" s="13"/>
      <c r="M24" s="13"/>
      <c r="N24" s="13"/>
      <c r="O24" s="13"/>
      <c r="P24" s="13"/>
      <c r="Q24" s="13"/>
      <c r="R24" s="13"/>
      <c r="S24" s="113"/>
      <c r="T24" s="64"/>
      <c r="U24" s="103"/>
      <c r="V24" s="13"/>
      <c r="W24" s="75" t="s">
        <v>47</v>
      </c>
    </row>
    <row r="25" spans="1:23" x14ac:dyDescent="0.3">
      <c r="A25" s="75"/>
      <c r="B25" s="12"/>
      <c r="C25" s="75"/>
      <c r="D25" s="13"/>
      <c r="E25" s="38"/>
      <c r="F25" s="40"/>
      <c r="G25" s="51"/>
      <c r="H25" s="13"/>
      <c r="I25" s="15"/>
      <c r="J25" s="15"/>
      <c r="K25" s="13"/>
      <c r="L25" s="13"/>
      <c r="M25" s="13"/>
      <c r="N25" s="13"/>
      <c r="O25" s="13"/>
      <c r="P25" s="13"/>
      <c r="Q25" s="13"/>
      <c r="R25" s="13"/>
      <c r="S25" s="113"/>
      <c r="T25" s="64"/>
      <c r="U25" s="103"/>
      <c r="V25" s="13"/>
      <c r="W25" s="75" t="s">
        <v>47</v>
      </c>
    </row>
    <row r="26" spans="1:23" s="121" customFormat="1" x14ac:dyDescent="0.3">
      <c r="A26" s="75"/>
      <c r="B26" s="12"/>
      <c r="C26" s="75"/>
      <c r="D26" s="13"/>
      <c r="E26" s="38"/>
      <c r="F26" s="40"/>
      <c r="G26" s="51"/>
      <c r="H26" s="13"/>
      <c r="I26" s="15"/>
      <c r="J26" s="15"/>
      <c r="K26" s="13"/>
      <c r="L26" s="13"/>
      <c r="M26" s="13"/>
      <c r="N26" s="13"/>
      <c r="O26" s="13"/>
      <c r="P26" s="13"/>
      <c r="Q26" s="13"/>
      <c r="R26" s="13"/>
      <c r="S26" s="113"/>
      <c r="T26" s="64"/>
      <c r="U26" s="103"/>
      <c r="V26" s="13"/>
      <c r="W26" s="120"/>
    </row>
    <row r="27" spans="1:23" x14ac:dyDescent="0.3">
      <c r="A27" s="75"/>
      <c r="B27" s="12"/>
      <c r="C27" s="75"/>
      <c r="D27" s="13"/>
      <c r="E27" s="38"/>
      <c r="F27" s="40"/>
      <c r="G27" s="51"/>
      <c r="H27" s="13"/>
      <c r="I27" s="15"/>
      <c r="J27" s="15"/>
      <c r="K27" s="13"/>
      <c r="L27" s="13"/>
      <c r="M27" s="13"/>
      <c r="N27" s="13"/>
      <c r="O27" s="13"/>
      <c r="P27" s="13"/>
      <c r="Q27" s="13"/>
      <c r="R27" s="13"/>
      <c r="S27" s="113"/>
      <c r="T27" s="64"/>
      <c r="U27" s="103"/>
      <c r="V27" s="13"/>
      <c r="W27" s="75" t="s">
        <v>47</v>
      </c>
    </row>
    <row r="28" spans="1:23" x14ac:dyDescent="0.3">
      <c r="A28" s="75"/>
      <c r="B28" s="12"/>
      <c r="C28" s="75"/>
      <c r="D28" s="13"/>
      <c r="E28" s="38"/>
      <c r="F28" s="40"/>
      <c r="G28" s="51"/>
      <c r="H28" s="13"/>
      <c r="I28" s="15"/>
      <c r="J28" s="15"/>
      <c r="K28" s="13"/>
      <c r="L28" s="13"/>
      <c r="M28" s="13"/>
      <c r="N28" s="13"/>
      <c r="O28" s="13"/>
      <c r="P28" s="13"/>
      <c r="Q28" s="13"/>
      <c r="R28" s="13"/>
      <c r="S28" s="113"/>
      <c r="T28" s="64"/>
      <c r="U28" s="103"/>
      <c r="V28" s="13"/>
      <c r="W28" s="75" t="s">
        <v>47</v>
      </c>
    </row>
    <row r="29" spans="1:23" x14ac:dyDescent="0.3">
      <c r="A29" s="75"/>
      <c r="B29" s="12"/>
      <c r="C29" s="75"/>
      <c r="D29" s="13"/>
      <c r="E29" s="38"/>
      <c r="F29" s="40"/>
      <c r="G29" s="51"/>
      <c r="H29" s="13"/>
      <c r="I29" s="15"/>
      <c r="J29" s="15"/>
      <c r="K29" s="13"/>
      <c r="L29" s="13"/>
      <c r="M29" s="13"/>
      <c r="N29" s="13"/>
      <c r="O29" s="13"/>
      <c r="P29" s="13"/>
      <c r="Q29" s="13"/>
      <c r="R29" s="13"/>
      <c r="S29" s="113"/>
      <c r="T29" s="64"/>
      <c r="U29" s="103"/>
      <c r="V29" s="13"/>
      <c r="W29" s="75" t="s">
        <v>47</v>
      </c>
    </row>
    <row r="30" spans="1:23" x14ac:dyDescent="0.3">
      <c r="A30" s="75"/>
      <c r="B30" s="12"/>
      <c r="C30" s="75"/>
      <c r="D30" s="13"/>
      <c r="E30" s="38"/>
      <c r="F30" s="40"/>
      <c r="G30" s="51"/>
      <c r="H30" s="13"/>
      <c r="I30" s="15"/>
      <c r="J30" s="15"/>
      <c r="K30" s="13"/>
      <c r="L30" s="13"/>
      <c r="M30" s="13"/>
      <c r="N30" s="13"/>
      <c r="O30" s="13"/>
      <c r="P30" s="13"/>
      <c r="Q30" s="13"/>
      <c r="R30" s="13"/>
      <c r="S30" s="113"/>
      <c r="T30" s="64"/>
      <c r="U30" s="103"/>
      <c r="V30" s="13"/>
      <c r="W30" s="75" t="s">
        <v>47</v>
      </c>
    </row>
    <row r="31" spans="1:23" x14ac:dyDescent="0.3">
      <c r="A31" s="75"/>
      <c r="B31" s="12"/>
      <c r="C31" s="75"/>
      <c r="D31" s="13"/>
      <c r="E31" s="38"/>
      <c r="F31" s="40"/>
      <c r="G31" s="51"/>
      <c r="H31" s="13"/>
      <c r="I31" s="15"/>
      <c r="J31" s="15"/>
      <c r="K31" s="13"/>
      <c r="L31" s="13"/>
      <c r="M31" s="13"/>
      <c r="N31" s="13"/>
      <c r="O31" s="13"/>
      <c r="P31" s="13"/>
      <c r="Q31" s="13"/>
      <c r="R31" s="13"/>
      <c r="S31" s="113"/>
      <c r="T31" s="64"/>
      <c r="U31" s="103"/>
      <c r="V31" s="13"/>
      <c r="W31" s="75" t="s">
        <v>47</v>
      </c>
    </row>
    <row r="32" spans="1:23" x14ac:dyDescent="0.3">
      <c r="A32" s="75"/>
      <c r="B32" s="12"/>
      <c r="C32" s="75"/>
      <c r="D32" s="13"/>
      <c r="E32" s="38"/>
      <c r="F32" s="40"/>
      <c r="G32" s="51"/>
      <c r="H32" s="13"/>
      <c r="I32" s="15"/>
      <c r="J32" s="15"/>
      <c r="K32" s="13"/>
      <c r="L32" s="13"/>
      <c r="M32" s="13"/>
      <c r="N32" s="13"/>
      <c r="O32" s="13"/>
      <c r="P32" s="13"/>
      <c r="Q32" s="13"/>
      <c r="R32" s="13"/>
      <c r="S32" s="113"/>
      <c r="T32" s="64"/>
      <c r="U32" s="103"/>
      <c r="V32" s="13"/>
      <c r="W32" s="75" t="s">
        <v>47</v>
      </c>
    </row>
    <row r="33" spans="1:23" x14ac:dyDescent="0.3">
      <c r="A33" s="75"/>
      <c r="B33" s="12"/>
      <c r="C33" s="75"/>
      <c r="D33" s="13"/>
      <c r="E33" s="38"/>
      <c r="F33" s="40"/>
      <c r="G33" s="51"/>
      <c r="H33" s="13"/>
      <c r="I33" s="15"/>
      <c r="J33" s="15"/>
      <c r="K33" s="13"/>
      <c r="L33" s="13"/>
      <c r="M33" s="13"/>
      <c r="N33" s="13"/>
      <c r="O33" s="13"/>
      <c r="P33" s="13"/>
      <c r="Q33" s="13"/>
      <c r="R33" s="13"/>
      <c r="S33" s="113"/>
      <c r="T33" s="64"/>
      <c r="U33" s="103"/>
      <c r="V33" s="13"/>
      <c r="W33" s="75" t="s">
        <v>47</v>
      </c>
    </row>
    <row r="34" spans="1:23" x14ac:dyDescent="0.3">
      <c r="A34" s="75"/>
      <c r="B34" s="12"/>
      <c r="C34" s="75"/>
      <c r="D34" s="13"/>
      <c r="E34" s="38"/>
      <c r="F34" s="40"/>
      <c r="G34" s="51"/>
      <c r="H34" s="13"/>
      <c r="I34" s="15"/>
      <c r="J34" s="15"/>
      <c r="K34" s="13"/>
      <c r="L34" s="13"/>
      <c r="M34" s="13"/>
      <c r="N34" s="13"/>
      <c r="O34" s="13"/>
      <c r="P34" s="13"/>
      <c r="Q34" s="13"/>
      <c r="R34" s="13"/>
      <c r="S34" s="113"/>
      <c r="T34" s="64"/>
      <c r="U34" s="103"/>
      <c r="V34" s="13"/>
      <c r="W34" s="75" t="s">
        <v>47</v>
      </c>
    </row>
    <row r="35" spans="1:23" x14ac:dyDescent="0.3">
      <c r="A35" s="75"/>
      <c r="B35" s="12"/>
      <c r="C35" s="75"/>
      <c r="D35" s="13"/>
      <c r="E35" s="38"/>
      <c r="F35" s="40"/>
      <c r="G35" s="51"/>
      <c r="H35" s="13"/>
      <c r="I35" s="15"/>
      <c r="J35" s="15"/>
      <c r="K35" s="13"/>
      <c r="L35" s="13"/>
      <c r="M35" s="13"/>
      <c r="N35" s="13"/>
      <c r="O35" s="13"/>
      <c r="P35" s="13"/>
      <c r="Q35" s="13"/>
      <c r="R35" s="13"/>
      <c r="S35" s="113"/>
      <c r="T35" s="64"/>
      <c r="U35" s="103"/>
      <c r="V35" s="13"/>
      <c r="W35" s="75" t="s">
        <v>47</v>
      </c>
    </row>
    <row r="36" spans="1:23" x14ac:dyDescent="0.3">
      <c r="A36" s="75"/>
      <c r="B36" s="12"/>
      <c r="C36" s="75"/>
      <c r="D36" s="13"/>
      <c r="E36" s="38"/>
      <c r="F36" s="40"/>
      <c r="G36" s="51"/>
      <c r="H36" s="13"/>
      <c r="I36" s="15"/>
      <c r="J36" s="15"/>
      <c r="K36" s="13"/>
      <c r="L36" s="13"/>
      <c r="M36" s="13"/>
      <c r="N36" s="13"/>
      <c r="O36" s="13"/>
      <c r="P36" s="13"/>
      <c r="Q36" s="13"/>
      <c r="R36" s="13"/>
      <c r="S36" s="113"/>
      <c r="T36" s="64"/>
      <c r="U36" s="103"/>
      <c r="V36" s="13"/>
      <c r="W36" s="75" t="s">
        <v>47</v>
      </c>
    </row>
    <row r="37" spans="1:23" x14ac:dyDescent="0.3">
      <c r="A37" s="75"/>
      <c r="B37" s="12"/>
      <c r="C37" s="75"/>
      <c r="D37" s="13"/>
      <c r="E37" s="38"/>
      <c r="F37" s="40"/>
      <c r="G37" s="51"/>
      <c r="H37" s="13"/>
      <c r="I37" s="15"/>
      <c r="J37" s="15"/>
      <c r="K37" s="13"/>
      <c r="L37" s="13"/>
      <c r="M37" s="13"/>
      <c r="N37" s="13"/>
      <c r="O37" s="13"/>
      <c r="P37" s="13"/>
      <c r="Q37" s="13"/>
      <c r="R37" s="13"/>
      <c r="S37" s="113"/>
      <c r="T37" s="64"/>
      <c r="U37" s="103"/>
      <c r="V37" s="13"/>
      <c r="W37" s="75" t="s">
        <v>47</v>
      </c>
    </row>
    <row r="38" spans="1:23" x14ac:dyDescent="0.3">
      <c r="A38" s="75"/>
      <c r="B38" s="12"/>
      <c r="C38" s="75"/>
      <c r="D38" s="13"/>
      <c r="E38" s="38"/>
      <c r="F38" s="40"/>
      <c r="G38" s="51"/>
      <c r="H38" s="13"/>
      <c r="I38" s="15"/>
      <c r="J38" s="15"/>
      <c r="K38" s="13"/>
      <c r="L38" s="13"/>
      <c r="M38" s="13"/>
      <c r="N38" s="13"/>
      <c r="O38" s="13"/>
      <c r="P38" s="13"/>
      <c r="Q38" s="13"/>
      <c r="R38" s="13"/>
      <c r="S38" s="113"/>
      <c r="T38" s="64"/>
      <c r="U38" s="103"/>
      <c r="V38" s="13"/>
      <c r="W38" s="75" t="s">
        <v>47</v>
      </c>
    </row>
    <row r="39" spans="1:23" x14ac:dyDescent="0.3">
      <c r="A39" s="75"/>
      <c r="B39" s="12"/>
      <c r="C39" s="75"/>
      <c r="D39" s="13"/>
      <c r="E39" s="38"/>
      <c r="F39" s="40"/>
      <c r="G39" s="51"/>
      <c r="H39" s="13"/>
      <c r="I39" s="15"/>
      <c r="J39" s="15"/>
      <c r="K39" s="13"/>
      <c r="L39" s="13"/>
      <c r="M39" s="13"/>
      <c r="N39" s="13"/>
      <c r="O39" s="13"/>
      <c r="P39" s="13"/>
      <c r="Q39" s="13"/>
      <c r="R39" s="13"/>
      <c r="S39" s="113"/>
      <c r="T39" s="64"/>
      <c r="U39" s="103"/>
      <c r="V39" s="13"/>
      <c r="W39" s="75" t="s">
        <v>47</v>
      </c>
    </row>
    <row r="40" spans="1:23" x14ac:dyDescent="0.3">
      <c r="A40" s="75"/>
      <c r="B40" s="12"/>
      <c r="C40" s="75"/>
      <c r="D40" s="13"/>
      <c r="E40" s="38"/>
      <c r="F40" s="40"/>
      <c r="G40" s="51"/>
      <c r="H40" s="13"/>
      <c r="I40" s="15"/>
      <c r="J40" s="15"/>
      <c r="K40" s="13"/>
      <c r="L40" s="13"/>
      <c r="M40" s="13"/>
      <c r="N40" s="13"/>
      <c r="O40" s="13"/>
      <c r="P40" s="13"/>
      <c r="Q40" s="13"/>
      <c r="R40" s="13"/>
      <c r="S40" s="113"/>
      <c r="T40" s="64"/>
      <c r="U40" s="103"/>
      <c r="V40" s="13"/>
      <c r="W40" s="75" t="s">
        <v>47</v>
      </c>
    </row>
    <row r="41" spans="1:23" x14ac:dyDescent="0.3">
      <c r="A41" s="75"/>
      <c r="B41" s="12"/>
      <c r="C41" s="75"/>
      <c r="D41" s="13"/>
      <c r="E41" s="38"/>
      <c r="F41" s="40"/>
      <c r="G41" s="51"/>
      <c r="H41" s="13"/>
      <c r="I41" s="15"/>
      <c r="J41" s="15"/>
      <c r="K41" s="13"/>
      <c r="L41" s="13"/>
      <c r="M41" s="13"/>
      <c r="N41" s="13"/>
      <c r="O41" s="13"/>
      <c r="P41" s="13"/>
      <c r="Q41" s="13"/>
      <c r="R41" s="13"/>
      <c r="S41" s="113"/>
      <c r="T41" s="64"/>
      <c r="U41" s="103"/>
      <c r="V41" s="13"/>
      <c r="W41" s="75" t="s">
        <v>47</v>
      </c>
    </row>
    <row r="42" spans="1:23" x14ac:dyDescent="0.3">
      <c r="A42" s="75"/>
      <c r="B42" s="12"/>
      <c r="C42" s="75"/>
      <c r="D42" s="13"/>
      <c r="E42" s="38"/>
      <c r="F42" s="40"/>
      <c r="G42" s="51"/>
      <c r="H42" s="13"/>
      <c r="I42" s="15"/>
      <c r="J42" s="15"/>
      <c r="K42" s="13"/>
      <c r="L42" s="13"/>
      <c r="M42" s="13"/>
      <c r="N42" s="13"/>
      <c r="O42" s="13"/>
      <c r="P42" s="13"/>
      <c r="Q42" s="13"/>
      <c r="R42" s="13"/>
      <c r="S42" s="113"/>
      <c r="T42" s="64"/>
      <c r="U42" s="103"/>
      <c r="V42" s="13"/>
      <c r="W42" s="75" t="s">
        <v>47</v>
      </c>
    </row>
    <row r="43" spans="1:23" x14ac:dyDescent="0.3">
      <c r="A43" s="75"/>
      <c r="B43" s="12"/>
      <c r="C43" s="75"/>
      <c r="D43" s="13"/>
      <c r="E43" s="38"/>
      <c r="F43" s="40"/>
      <c r="G43" s="51"/>
      <c r="H43" s="13"/>
      <c r="I43" s="15"/>
      <c r="J43" s="15"/>
      <c r="K43" s="13"/>
      <c r="L43" s="13"/>
      <c r="M43" s="13"/>
      <c r="N43" s="13"/>
      <c r="O43" s="13"/>
      <c r="P43" s="13"/>
      <c r="Q43" s="13"/>
      <c r="R43" s="13"/>
      <c r="S43" s="113"/>
      <c r="T43" s="64"/>
      <c r="U43" s="103"/>
      <c r="V43" s="13"/>
      <c r="W43" s="75" t="s">
        <v>47</v>
      </c>
    </row>
    <row r="44" spans="1:23" x14ac:dyDescent="0.3">
      <c r="A44" s="75"/>
      <c r="B44" s="12"/>
      <c r="C44" s="75"/>
      <c r="D44" s="13"/>
      <c r="E44" s="38"/>
      <c r="F44" s="40"/>
      <c r="G44" s="51"/>
      <c r="H44" s="13"/>
      <c r="I44" s="15"/>
      <c r="J44" s="15"/>
      <c r="K44" s="13"/>
      <c r="L44" s="13"/>
      <c r="M44" s="13"/>
      <c r="N44" s="13"/>
      <c r="O44" s="13"/>
      <c r="P44" s="13"/>
      <c r="Q44" s="13"/>
      <c r="R44" s="13"/>
      <c r="S44" s="113"/>
      <c r="T44" s="64"/>
      <c r="U44" s="103"/>
      <c r="V44" s="13"/>
      <c r="W44" s="75" t="s">
        <v>47</v>
      </c>
    </row>
    <row r="45" spans="1:23" x14ac:dyDescent="0.3">
      <c r="A45" s="75"/>
      <c r="B45" s="12"/>
      <c r="C45" s="75"/>
      <c r="D45" s="13"/>
      <c r="E45" s="38"/>
      <c r="F45" s="40"/>
      <c r="G45" s="51"/>
      <c r="H45" s="13"/>
      <c r="I45" s="15"/>
      <c r="J45" s="15"/>
      <c r="K45" s="13"/>
      <c r="L45" s="13"/>
      <c r="M45" s="13"/>
      <c r="N45" s="13"/>
      <c r="O45" s="13"/>
      <c r="P45" s="13"/>
      <c r="Q45" s="13"/>
      <c r="R45" s="13"/>
      <c r="S45" s="113"/>
      <c r="T45" s="64"/>
      <c r="U45" s="103"/>
      <c r="V45" s="13"/>
      <c r="W45" s="75" t="s">
        <v>47</v>
      </c>
    </row>
    <row r="46" spans="1:23" x14ac:dyDescent="0.3">
      <c r="A46" s="75"/>
      <c r="B46" s="12"/>
      <c r="C46" s="75"/>
      <c r="D46" s="13"/>
      <c r="E46" s="38"/>
      <c r="F46" s="40"/>
      <c r="G46" s="51"/>
      <c r="H46" s="13"/>
      <c r="I46" s="15"/>
      <c r="J46" s="15"/>
      <c r="K46" s="13"/>
      <c r="L46" s="13"/>
      <c r="M46" s="13"/>
      <c r="N46" s="13"/>
      <c r="O46" s="13"/>
      <c r="P46" s="13"/>
      <c r="Q46" s="13"/>
      <c r="R46" s="13"/>
      <c r="S46" s="113"/>
      <c r="T46" s="64"/>
      <c r="U46" s="103"/>
      <c r="V46" s="13"/>
      <c r="W46" s="75" t="s">
        <v>47</v>
      </c>
    </row>
    <row r="47" spans="1:23" x14ac:dyDescent="0.3">
      <c r="A47" s="75"/>
      <c r="B47" s="12"/>
      <c r="C47" s="75"/>
      <c r="D47" s="13"/>
      <c r="E47" s="38"/>
      <c r="F47" s="40"/>
      <c r="G47" s="51"/>
      <c r="H47" s="13"/>
      <c r="I47" s="15"/>
      <c r="J47" s="15"/>
      <c r="K47" s="13"/>
      <c r="L47" s="13"/>
      <c r="M47" s="13"/>
      <c r="N47" s="13"/>
      <c r="O47" s="13"/>
      <c r="P47" s="13"/>
      <c r="Q47" s="13"/>
      <c r="R47" s="13"/>
      <c r="S47" s="113"/>
      <c r="T47" s="64"/>
      <c r="U47" s="103"/>
      <c r="V47" s="13"/>
      <c r="W47" s="75" t="s">
        <v>47</v>
      </c>
    </row>
    <row r="48" spans="1:23" x14ac:dyDescent="0.3">
      <c r="A48" s="75"/>
      <c r="B48" s="12"/>
      <c r="C48" s="75"/>
      <c r="D48" s="13"/>
      <c r="E48" s="38"/>
      <c r="F48" s="40"/>
      <c r="G48" s="51"/>
      <c r="H48" s="13"/>
      <c r="I48" s="15"/>
      <c r="J48" s="15"/>
      <c r="K48" s="13"/>
      <c r="L48" s="13"/>
      <c r="M48" s="13"/>
      <c r="N48" s="13"/>
      <c r="O48" s="13"/>
      <c r="P48" s="13"/>
      <c r="Q48" s="13"/>
      <c r="R48" s="13"/>
      <c r="S48" s="113"/>
      <c r="T48" s="64"/>
      <c r="U48" s="103"/>
      <c r="V48" s="13"/>
      <c r="W48" s="75" t="s">
        <v>47</v>
      </c>
    </row>
    <row r="49" spans="1:23" x14ac:dyDescent="0.3">
      <c r="A49" s="75"/>
      <c r="B49" s="12"/>
      <c r="C49" s="75"/>
      <c r="D49" s="13"/>
      <c r="E49" s="38"/>
      <c r="F49" s="40"/>
      <c r="G49" s="51"/>
      <c r="H49" s="13"/>
      <c r="I49" s="15"/>
      <c r="J49" s="15"/>
      <c r="K49" s="13"/>
      <c r="L49" s="13"/>
      <c r="M49" s="13"/>
      <c r="N49" s="13"/>
      <c r="O49" s="13"/>
      <c r="P49" s="13"/>
      <c r="Q49" s="13"/>
      <c r="R49" s="13"/>
      <c r="S49" s="113"/>
      <c r="T49" s="64"/>
      <c r="U49" s="103"/>
      <c r="V49" s="13"/>
      <c r="W49" s="75" t="s">
        <v>47</v>
      </c>
    </row>
    <row r="50" spans="1:23" x14ac:dyDescent="0.3">
      <c r="A50" s="75"/>
      <c r="B50" s="12"/>
      <c r="C50" s="75"/>
      <c r="D50" s="13"/>
      <c r="E50" s="38"/>
      <c r="F50" s="40"/>
      <c r="G50" s="51"/>
      <c r="H50" s="13"/>
      <c r="I50" s="15"/>
      <c r="J50" s="15"/>
      <c r="K50" s="13"/>
      <c r="L50" s="13"/>
      <c r="M50" s="13"/>
      <c r="N50" s="13"/>
      <c r="O50" s="13"/>
      <c r="P50" s="13"/>
      <c r="Q50" s="13"/>
      <c r="R50" s="13"/>
      <c r="S50" s="113"/>
      <c r="T50" s="64"/>
      <c r="U50" s="103"/>
      <c r="V50" s="13"/>
      <c r="W50" s="75" t="s">
        <v>47</v>
      </c>
    </row>
    <row r="51" spans="1:23" x14ac:dyDescent="0.3">
      <c r="A51" s="75"/>
      <c r="B51" s="12"/>
      <c r="C51" s="75"/>
      <c r="D51" s="13"/>
      <c r="E51" s="38"/>
      <c r="F51" s="40"/>
      <c r="G51" s="51"/>
      <c r="H51" s="13"/>
      <c r="I51" s="15"/>
      <c r="J51" s="15"/>
      <c r="K51" s="13"/>
      <c r="L51" s="13"/>
      <c r="M51" s="13"/>
      <c r="N51" s="13"/>
      <c r="O51" s="13"/>
      <c r="P51" s="13"/>
      <c r="Q51" s="13"/>
      <c r="R51" s="13"/>
      <c r="S51" s="113"/>
      <c r="T51" s="64"/>
      <c r="U51" s="103"/>
      <c r="V51" s="13"/>
      <c r="W51" s="75" t="s">
        <v>47</v>
      </c>
    </row>
    <row r="52" spans="1:23" x14ac:dyDescent="0.3">
      <c r="A52" s="75"/>
      <c r="B52" s="12"/>
      <c r="C52" s="75"/>
      <c r="D52" s="13"/>
      <c r="E52" s="38"/>
      <c r="F52" s="40"/>
      <c r="G52" s="51"/>
      <c r="H52" s="13"/>
      <c r="I52" s="15"/>
      <c r="J52" s="15"/>
      <c r="K52" s="13"/>
      <c r="L52" s="13"/>
      <c r="M52" s="13"/>
      <c r="N52" s="13"/>
      <c r="O52" s="13"/>
      <c r="P52" s="13"/>
      <c r="Q52" s="13"/>
      <c r="R52" s="13"/>
      <c r="S52" s="113"/>
      <c r="T52" s="64"/>
      <c r="U52" s="103"/>
      <c r="V52" s="13"/>
      <c r="W52" s="75" t="s">
        <v>47</v>
      </c>
    </row>
    <row r="53" spans="1:23" x14ac:dyDescent="0.3">
      <c r="A53" s="75"/>
      <c r="B53" s="12"/>
      <c r="C53" s="75"/>
      <c r="D53" s="13"/>
      <c r="E53" s="38"/>
      <c r="F53" s="40"/>
      <c r="G53" s="51"/>
      <c r="H53" s="13"/>
      <c r="I53" s="15"/>
      <c r="J53" s="15"/>
      <c r="K53" s="13"/>
      <c r="L53" s="13"/>
      <c r="M53" s="13"/>
      <c r="N53" s="13"/>
      <c r="O53" s="13"/>
      <c r="P53" s="13"/>
      <c r="Q53" s="13"/>
      <c r="R53" s="13"/>
      <c r="S53" s="113"/>
      <c r="T53" s="64"/>
      <c r="U53" s="103"/>
      <c r="V53" s="13"/>
      <c r="W53" s="75" t="s">
        <v>47</v>
      </c>
    </row>
    <row r="54" spans="1:23" x14ac:dyDescent="0.3">
      <c r="A54" s="75"/>
      <c r="B54" s="12"/>
      <c r="C54" s="75"/>
      <c r="D54" s="13"/>
      <c r="E54" s="38"/>
      <c r="F54" s="40"/>
      <c r="G54" s="51"/>
      <c r="H54" s="13"/>
      <c r="I54" s="15"/>
      <c r="J54" s="15"/>
      <c r="K54" s="13"/>
      <c r="L54" s="13"/>
      <c r="M54" s="13"/>
      <c r="N54" s="13"/>
      <c r="O54" s="13"/>
      <c r="P54" s="13"/>
      <c r="Q54" s="13"/>
      <c r="R54" s="13"/>
      <c r="S54" s="113"/>
      <c r="T54" s="64"/>
      <c r="U54" s="103"/>
      <c r="V54" s="13"/>
      <c r="W54" s="75" t="s">
        <v>47</v>
      </c>
    </row>
    <row r="55" spans="1:23" x14ac:dyDescent="0.3">
      <c r="A55" s="75"/>
      <c r="B55" s="12"/>
      <c r="C55" s="75"/>
      <c r="D55" s="13"/>
      <c r="E55" s="38"/>
      <c r="F55" s="40"/>
      <c r="G55" s="51"/>
      <c r="H55" s="13"/>
      <c r="I55" s="15"/>
      <c r="J55" s="15"/>
      <c r="K55" s="13"/>
      <c r="L55" s="13"/>
      <c r="M55" s="13"/>
      <c r="N55" s="13"/>
      <c r="O55" s="13"/>
      <c r="P55" s="13"/>
      <c r="Q55" s="13"/>
      <c r="R55" s="13"/>
      <c r="S55" s="113"/>
      <c r="T55" s="64"/>
      <c r="U55" s="103"/>
      <c r="V55" s="13"/>
      <c r="W55" s="75" t="s">
        <v>47</v>
      </c>
    </row>
    <row r="56" spans="1:23" x14ac:dyDescent="0.3">
      <c r="A56" s="75"/>
      <c r="B56" s="12"/>
      <c r="C56" s="75"/>
      <c r="D56" s="13"/>
      <c r="E56" s="38"/>
      <c r="F56" s="40"/>
      <c r="G56" s="51"/>
      <c r="H56" s="13"/>
      <c r="I56" s="15"/>
      <c r="J56" s="15"/>
      <c r="K56" s="13"/>
      <c r="L56" s="13"/>
      <c r="M56" s="13"/>
      <c r="N56" s="13"/>
      <c r="O56" s="13"/>
      <c r="P56" s="13"/>
      <c r="Q56" s="13"/>
      <c r="R56" s="13"/>
      <c r="S56" s="113"/>
      <c r="T56" s="64"/>
      <c r="U56" s="103"/>
      <c r="V56" s="13"/>
      <c r="W56" s="75" t="s">
        <v>47</v>
      </c>
    </row>
    <row r="57" spans="1:23" x14ac:dyDescent="0.3">
      <c r="A57" s="75"/>
      <c r="B57" s="12"/>
      <c r="C57" s="75"/>
      <c r="D57" s="13"/>
      <c r="E57" s="38"/>
      <c r="F57" s="40"/>
      <c r="G57" s="51"/>
      <c r="H57" s="13"/>
      <c r="I57" s="15"/>
      <c r="J57" s="15"/>
      <c r="K57" s="13"/>
      <c r="L57" s="13"/>
      <c r="M57" s="13"/>
      <c r="N57" s="13"/>
      <c r="O57" s="13"/>
      <c r="P57" s="13"/>
      <c r="Q57" s="13"/>
      <c r="R57" s="13"/>
      <c r="S57" s="113"/>
      <c r="T57" s="64"/>
      <c r="U57" s="103"/>
      <c r="V57" s="13"/>
      <c r="W57" s="75" t="s">
        <v>47</v>
      </c>
    </row>
    <row r="58" spans="1:23" x14ac:dyDescent="0.3">
      <c r="A58" s="75"/>
      <c r="B58" s="12"/>
      <c r="C58" s="75"/>
      <c r="D58" s="13"/>
      <c r="E58" s="38"/>
      <c r="F58" s="40"/>
      <c r="G58" s="51"/>
      <c r="H58" s="13"/>
      <c r="I58" s="15"/>
      <c r="J58" s="15"/>
      <c r="K58" s="13"/>
      <c r="L58" s="13"/>
      <c r="M58" s="13"/>
      <c r="N58" s="13"/>
      <c r="O58" s="13"/>
      <c r="P58" s="13"/>
      <c r="Q58" s="13"/>
      <c r="R58" s="13"/>
      <c r="S58" s="113"/>
      <c r="T58" s="64"/>
      <c r="U58" s="103"/>
      <c r="V58" s="13"/>
      <c r="W58" s="75" t="s">
        <v>47</v>
      </c>
    </row>
    <row r="59" spans="1:23" x14ac:dyDescent="0.3">
      <c r="A59" s="75"/>
      <c r="B59" s="12"/>
      <c r="C59" s="75"/>
      <c r="D59" s="13"/>
      <c r="E59" s="38"/>
      <c r="F59" s="40"/>
      <c r="G59" s="51"/>
      <c r="H59" s="13"/>
      <c r="I59" s="15"/>
      <c r="J59" s="15"/>
      <c r="K59" s="13"/>
      <c r="L59" s="13"/>
      <c r="M59" s="13"/>
      <c r="N59" s="13"/>
      <c r="O59" s="13"/>
      <c r="P59" s="13"/>
      <c r="Q59" s="13"/>
      <c r="R59" s="13"/>
      <c r="S59" s="113"/>
      <c r="T59" s="64"/>
      <c r="U59" s="103"/>
      <c r="V59" s="13"/>
      <c r="W59" s="75" t="s">
        <v>47</v>
      </c>
    </row>
    <row r="60" spans="1:23" x14ac:dyDescent="0.3">
      <c r="A60" s="75"/>
      <c r="B60" s="12"/>
      <c r="C60" s="75"/>
      <c r="D60" s="13"/>
      <c r="E60" s="38"/>
      <c r="F60" s="40"/>
      <c r="G60" s="51"/>
      <c r="H60" s="13"/>
      <c r="I60" s="15"/>
      <c r="J60" s="15"/>
      <c r="K60" s="13"/>
      <c r="L60" s="13"/>
      <c r="M60" s="13"/>
      <c r="N60" s="13"/>
      <c r="O60" s="13"/>
      <c r="P60" s="13"/>
      <c r="Q60" s="13"/>
      <c r="R60" s="13"/>
      <c r="S60" s="113"/>
      <c r="T60" s="64"/>
      <c r="U60" s="103"/>
      <c r="V60" s="13"/>
      <c r="W60" s="75" t="s">
        <v>47</v>
      </c>
    </row>
    <row r="61" spans="1:23" x14ac:dyDescent="0.3">
      <c r="A61" s="75"/>
      <c r="B61" s="12"/>
      <c r="C61" s="75"/>
      <c r="D61" s="13"/>
      <c r="E61" s="38"/>
      <c r="F61" s="40"/>
      <c r="G61" s="51"/>
      <c r="H61" s="13"/>
      <c r="I61" s="15"/>
      <c r="J61" s="15"/>
      <c r="K61" s="13"/>
      <c r="L61" s="13"/>
      <c r="M61" s="13"/>
      <c r="N61" s="13"/>
      <c r="O61" s="13"/>
      <c r="P61" s="13"/>
      <c r="Q61" s="13"/>
      <c r="R61" s="13"/>
      <c r="S61" s="113"/>
      <c r="T61" s="64"/>
      <c r="U61" s="103"/>
      <c r="V61" s="13"/>
      <c r="W61" s="75" t="s">
        <v>47</v>
      </c>
    </row>
    <row r="62" spans="1:23" x14ac:dyDescent="0.3">
      <c r="A62" s="75"/>
      <c r="B62" s="12"/>
      <c r="C62" s="75"/>
      <c r="D62" s="13"/>
      <c r="E62" s="38"/>
      <c r="F62" s="40"/>
      <c r="G62" s="51"/>
      <c r="H62" s="13"/>
      <c r="I62" s="15"/>
      <c r="J62" s="15"/>
      <c r="K62" s="13"/>
      <c r="L62" s="13"/>
      <c r="M62" s="13"/>
      <c r="N62" s="13"/>
      <c r="O62" s="13"/>
      <c r="P62" s="13"/>
      <c r="Q62" s="13"/>
      <c r="R62" s="13"/>
      <c r="S62" s="113"/>
      <c r="T62" s="64"/>
      <c r="U62" s="103"/>
      <c r="V62" s="13"/>
      <c r="W62" s="75" t="s">
        <v>47</v>
      </c>
    </row>
    <row r="63" spans="1:23" x14ac:dyDescent="0.3">
      <c r="A63" s="75"/>
      <c r="B63" s="12"/>
      <c r="C63" s="75"/>
      <c r="D63" s="13"/>
      <c r="E63" s="38"/>
      <c r="F63" s="40"/>
      <c r="G63" s="51"/>
      <c r="H63" s="13"/>
      <c r="I63" s="15"/>
      <c r="J63" s="15"/>
      <c r="K63" s="13"/>
      <c r="L63" s="13"/>
      <c r="M63" s="13"/>
      <c r="N63" s="13"/>
      <c r="O63" s="13"/>
      <c r="P63" s="13"/>
      <c r="Q63" s="13"/>
      <c r="R63" s="13"/>
      <c r="S63" s="113"/>
      <c r="T63" s="64"/>
      <c r="U63" s="103"/>
      <c r="V63" s="13"/>
      <c r="W63" s="75" t="s">
        <v>47</v>
      </c>
    </row>
    <row r="64" spans="1:23" x14ac:dyDescent="0.3">
      <c r="A64" s="75"/>
      <c r="B64" s="12"/>
      <c r="C64" s="75"/>
      <c r="D64" s="13"/>
      <c r="E64" s="38"/>
      <c r="F64" s="40"/>
      <c r="G64" s="51"/>
      <c r="H64" s="13"/>
      <c r="I64" s="15"/>
      <c r="J64" s="15"/>
      <c r="K64" s="13"/>
      <c r="L64" s="13"/>
      <c r="M64" s="13"/>
      <c r="N64" s="13"/>
      <c r="O64" s="13"/>
      <c r="P64" s="13"/>
      <c r="Q64" s="13"/>
      <c r="R64" s="13"/>
      <c r="S64" s="113"/>
      <c r="T64" s="64"/>
      <c r="U64" s="103"/>
      <c r="V64" s="13"/>
      <c r="W64" s="75" t="s">
        <v>47</v>
      </c>
    </row>
    <row r="65" spans="1:23" x14ac:dyDescent="0.3">
      <c r="A65" s="75"/>
      <c r="B65" s="12"/>
      <c r="C65" s="75"/>
      <c r="D65" s="13"/>
      <c r="E65" s="38"/>
      <c r="F65" s="40"/>
      <c r="G65" s="51"/>
      <c r="H65" s="13"/>
      <c r="I65" s="15"/>
      <c r="J65" s="15"/>
      <c r="K65" s="13"/>
      <c r="L65" s="13"/>
      <c r="M65" s="13"/>
      <c r="N65" s="13"/>
      <c r="O65" s="13"/>
      <c r="P65" s="13"/>
      <c r="Q65" s="13"/>
      <c r="R65" s="13"/>
      <c r="S65" s="113"/>
      <c r="T65" s="64"/>
      <c r="U65" s="103"/>
      <c r="V65" s="13"/>
      <c r="W65" s="75" t="s">
        <v>47</v>
      </c>
    </row>
    <row r="66" spans="1:23" x14ac:dyDescent="0.3">
      <c r="A66" s="75"/>
      <c r="B66" s="12"/>
      <c r="C66" s="75"/>
      <c r="D66" s="13"/>
      <c r="E66" s="38"/>
      <c r="F66" s="40"/>
      <c r="G66" s="51"/>
      <c r="H66" s="13"/>
      <c r="I66" s="15"/>
      <c r="J66" s="15"/>
      <c r="K66" s="13"/>
      <c r="L66" s="13"/>
      <c r="M66" s="13"/>
      <c r="N66" s="13"/>
      <c r="O66" s="13"/>
      <c r="P66" s="13"/>
      <c r="Q66" s="13"/>
      <c r="R66" s="13"/>
      <c r="S66" s="113"/>
      <c r="T66" s="64"/>
      <c r="U66" s="103"/>
      <c r="V66" s="13"/>
      <c r="W66" s="75" t="s">
        <v>47</v>
      </c>
    </row>
    <row r="67" spans="1:23" x14ac:dyDescent="0.3">
      <c r="A67" s="75"/>
      <c r="B67" s="12"/>
      <c r="C67" s="75"/>
      <c r="D67" s="13"/>
      <c r="E67" s="38"/>
      <c r="F67" s="40"/>
      <c r="G67" s="51"/>
      <c r="H67" s="13"/>
      <c r="I67" s="15"/>
      <c r="J67" s="15"/>
      <c r="K67" s="13"/>
      <c r="L67" s="13"/>
      <c r="M67" s="13"/>
      <c r="N67" s="13"/>
      <c r="O67" s="13"/>
      <c r="P67" s="13"/>
      <c r="Q67" s="13"/>
      <c r="R67" s="13"/>
      <c r="S67" s="113"/>
      <c r="T67" s="64"/>
      <c r="U67" s="103"/>
      <c r="V67" s="13"/>
      <c r="W67" s="75" t="s">
        <v>47</v>
      </c>
    </row>
    <row r="68" spans="1:23" x14ac:dyDescent="0.3">
      <c r="A68" s="75"/>
      <c r="B68" s="12"/>
      <c r="C68" s="75"/>
      <c r="D68" s="13"/>
      <c r="E68" s="38"/>
      <c r="F68" s="40"/>
      <c r="G68" s="51"/>
      <c r="H68" s="13"/>
      <c r="I68" s="15"/>
      <c r="J68" s="15"/>
      <c r="K68" s="13"/>
      <c r="L68" s="13"/>
      <c r="M68" s="13"/>
      <c r="N68" s="13"/>
      <c r="O68" s="13"/>
      <c r="P68" s="13"/>
      <c r="Q68" s="13"/>
      <c r="R68" s="13"/>
      <c r="S68" s="113"/>
      <c r="T68" s="64"/>
      <c r="U68" s="103"/>
      <c r="V68" s="13"/>
      <c r="W68" s="75" t="s">
        <v>47</v>
      </c>
    </row>
    <row r="69" spans="1:23" x14ac:dyDescent="0.3">
      <c r="A69" s="75"/>
      <c r="B69" s="12"/>
      <c r="C69" s="75"/>
      <c r="D69" s="13"/>
      <c r="E69" s="38"/>
      <c r="F69" s="40"/>
      <c r="G69" s="51"/>
      <c r="H69" s="13"/>
      <c r="I69" s="15"/>
      <c r="J69" s="15"/>
      <c r="K69" s="13"/>
      <c r="L69" s="13"/>
      <c r="M69" s="13"/>
      <c r="N69" s="13"/>
      <c r="O69" s="13"/>
      <c r="P69" s="13"/>
      <c r="Q69" s="13"/>
      <c r="R69" s="13"/>
      <c r="S69" s="113"/>
      <c r="T69" s="64"/>
      <c r="U69" s="103"/>
      <c r="V69" s="13"/>
      <c r="W69" s="75" t="s">
        <v>47</v>
      </c>
    </row>
    <row r="70" spans="1:23" x14ac:dyDescent="0.3">
      <c r="A70" s="75"/>
      <c r="B70" s="12"/>
      <c r="C70" s="75"/>
      <c r="D70" s="13"/>
      <c r="E70" s="38"/>
      <c r="F70" s="40"/>
      <c r="G70" s="51"/>
      <c r="H70" s="13"/>
      <c r="I70" s="15"/>
      <c r="J70" s="15"/>
      <c r="K70" s="13"/>
      <c r="L70" s="13"/>
      <c r="M70" s="13"/>
      <c r="N70" s="13"/>
      <c r="O70" s="13"/>
      <c r="P70" s="13"/>
      <c r="Q70" s="13"/>
      <c r="R70" s="13"/>
      <c r="S70" s="113"/>
      <c r="T70" s="64"/>
      <c r="U70" s="103"/>
      <c r="V70" s="13"/>
      <c r="W70" s="75" t="s">
        <v>47</v>
      </c>
    </row>
    <row r="71" spans="1:23" x14ac:dyDescent="0.3">
      <c r="A71" s="75"/>
      <c r="B71" s="12"/>
      <c r="C71" s="75"/>
      <c r="D71" s="13"/>
      <c r="E71" s="38"/>
      <c r="F71" s="40"/>
      <c r="G71" s="51"/>
      <c r="H71" s="13"/>
      <c r="I71" s="15"/>
      <c r="J71" s="15"/>
      <c r="K71" s="13"/>
      <c r="L71" s="13"/>
      <c r="M71" s="13"/>
      <c r="N71" s="13"/>
      <c r="O71" s="13"/>
      <c r="P71" s="13"/>
      <c r="Q71" s="13"/>
      <c r="R71" s="13"/>
      <c r="S71" s="113"/>
      <c r="T71" s="64"/>
      <c r="U71" s="103"/>
      <c r="V71" s="13"/>
      <c r="W71" s="75" t="s">
        <v>47</v>
      </c>
    </row>
    <row r="72" spans="1:23" x14ac:dyDescent="0.3">
      <c r="A72" s="75"/>
      <c r="B72" s="12"/>
      <c r="C72" s="75"/>
      <c r="D72" s="13"/>
      <c r="E72" s="38"/>
      <c r="F72" s="40"/>
      <c r="G72" s="51"/>
      <c r="H72" s="13"/>
      <c r="I72" s="15"/>
      <c r="J72" s="15"/>
      <c r="K72" s="13"/>
      <c r="L72" s="13"/>
      <c r="M72" s="13"/>
      <c r="N72" s="13"/>
      <c r="O72" s="13"/>
      <c r="P72" s="13"/>
      <c r="Q72" s="13"/>
      <c r="R72" s="13"/>
      <c r="S72" s="113"/>
      <c r="T72" s="64"/>
      <c r="U72" s="103"/>
      <c r="V72" s="13"/>
      <c r="W72" s="75" t="s">
        <v>47</v>
      </c>
    </row>
    <row r="73" spans="1:23" x14ac:dyDescent="0.3">
      <c r="A73" s="75"/>
      <c r="B73" s="12"/>
      <c r="C73" s="75"/>
      <c r="D73" s="13"/>
      <c r="E73" s="38"/>
      <c r="F73" s="40"/>
      <c r="G73" s="51"/>
      <c r="H73" s="13"/>
      <c r="I73" s="15"/>
      <c r="J73" s="15"/>
      <c r="K73" s="13"/>
      <c r="L73" s="13"/>
      <c r="M73" s="13"/>
      <c r="N73" s="13"/>
      <c r="O73" s="13"/>
      <c r="P73" s="13"/>
      <c r="Q73" s="13"/>
      <c r="R73" s="13"/>
      <c r="S73" s="113"/>
      <c r="T73" s="64"/>
      <c r="U73" s="103"/>
      <c r="V73" s="13"/>
      <c r="W73" s="75" t="s">
        <v>47</v>
      </c>
    </row>
    <row r="74" spans="1:23" x14ac:dyDescent="0.3">
      <c r="A74" s="75"/>
      <c r="B74" s="12"/>
      <c r="C74" s="75"/>
      <c r="D74" s="13"/>
      <c r="E74" s="38"/>
      <c r="F74" s="40"/>
      <c r="G74" s="51"/>
      <c r="H74" s="13"/>
      <c r="I74" s="15"/>
      <c r="J74" s="15"/>
      <c r="K74" s="13"/>
      <c r="L74" s="13"/>
      <c r="M74" s="13"/>
      <c r="N74" s="13"/>
      <c r="O74" s="13"/>
      <c r="P74" s="13"/>
      <c r="Q74" s="13"/>
      <c r="R74" s="13"/>
      <c r="S74" s="113"/>
      <c r="T74" s="64"/>
      <c r="U74" s="103"/>
      <c r="V74" s="13"/>
      <c r="W74" s="75" t="s">
        <v>47</v>
      </c>
    </row>
    <row r="75" spans="1:23" x14ac:dyDescent="0.3">
      <c r="A75" s="75"/>
      <c r="B75" s="12"/>
      <c r="C75" s="75"/>
      <c r="D75" s="13"/>
      <c r="E75" s="38"/>
      <c r="F75" s="40"/>
      <c r="G75" s="51"/>
      <c r="H75" s="13"/>
      <c r="I75" s="15"/>
      <c r="J75" s="15"/>
      <c r="K75" s="13"/>
      <c r="L75" s="13"/>
      <c r="M75" s="13"/>
      <c r="N75" s="13"/>
      <c r="O75" s="13"/>
      <c r="P75" s="13"/>
      <c r="Q75" s="13"/>
      <c r="R75" s="13"/>
      <c r="S75" s="113"/>
      <c r="T75" s="64"/>
      <c r="U75" s="103"/>
      <c r="V75" s="13"/>
      <c r="W75" s="22"/>
    </row>
    <row r="76" spans="1:23" x14ac:dyDescent="0.3">
      <c r="A76" s="75"/>
      <c r="B76" s="12"/>
      <c r="C76" s="75"/>
      <c r="D76" s="13"/>
      <c r="E76" s="38"/>
      <c r="F76" s="40"/>
      <c r="G76" s="51"/>
      <c r="H76" s="13"/>
      <c r="I76" s="15"/>
      <c r="J76" s="15"/>
      <c r="K76" s="13"/>
      <c r="L76" s="13"/>
      <c r="M76" s="13"/>
      <c r="N76" s="13"/>
      <c r="O76" s="13"/>
      <c r="P76" s="13"/>
      <c r="Q76" s="13"/>
      <c r="R76" s="13"/>
      <c r="S76" s="113"/>
      <c r="T76" s="64"/>
      <c r="U76" s="103"/>
      <c r="V76" s="13"/>
      <c r="W76" s="22"/>
    </row>
    <row r="77" spans="1:23" x14ac:dyDescent="0.3">
      <c r="A77" s="75"/>
      <c r="B77" s="12"/>
      <c r="C77" s="75"/>
      <c r="D77" s="13"/>
      <c r="E77" s="38"/>
      <c r="F77" s="40"/>
      <c r="G77" s="51"/>
      <c r="H77" s="13"/>
      <c r="I77" s="15"/>
      <c r="J77" s="15"/>
      <c r="K77" s="13"/>
      <c r="L77" s="13"/>
      <c r="M77" s="13"/>
      <c r="N77" s="13"/>
      <c r="O77" s="13"/>
      <c r="P77" s="13"/>
      <c r="Q77" s="13"/>
      <c r="R77" s="13"/>
      <c r="S77" s="113"/>
      <c r="T77" s="64"/>
      <c r="U77" s="103"/>
      <c r="V77" s="13"/>
      <c r="W77" s="13"/>
    </row>
    <row r="78" spans="1:23" x14ac:dyDescent="0.3">
      <c r="A78" s="75"/>
      <c r="B78" s="12"/>
      <c r="C78" s="75"/>
      <c r="D78" s="13"/>
      <c r="E78" s="38"/>
      <c r="F78" s="40"/>
      <c r="G78" s="51"/>
      <c r="H78" s="13"/>
      <c r="I78" s="15"/>
      <c r="J78" s="15"/>
      <c r="K78" s="13"/>
      <c r="L78" s="13"/>
      <c r="M78" s="13"/>
      <c r="N78" s="13"/>
      <c r="O78" s="13"/>
      <c r="P78" s="13"/>
      <c r="Q78" s="13"/>
      <c r="R78" s="13"/>
      <c r="S78" s="113"/>
      <c r="T78" s="64"/>
      <c r="U78" s="103"/>
      <c r="V78" s="13"/>
      <c r="W78" s="22"/>
    </row>
    <row r="79" spans="1:23" x14ac:dyDescent="0.3">
      <c r="A79" s="75"/>
      <c r="B79" s="12"/>
      <c r="C79" s="75"/>
      <c r="D79" s="13"/>
      <c r="E79" s="38"/>
      <c r="F79" s="40"/>
      <c r="G79" s="51"/>
      <c r="H79" s="13"/>
      <c r="I79" s="15"/>
      <c r="J79" s="15"/>
      <c r="K79" s="13"/>
      <c r="L79" s="13"/>
      <c r="M79" s="13"/>
      <c r="N79" s="13"/>
      <c r="O79" s="13"/>
      <c r="P79" s="13"/>
      <c r="Q79" s="13"/>
      <c r="R79" s="13"/>
      <c r="S79" s="113"/>
      <c r="T79" s="64"/>
      <c r="U79" s="103"/>
      <c r="V79" s="13"/>
      <c r="W79" s="13"/>
    </row>
  </sheetData>
  <mergeCells count="2">
    <mergeCell ref="A8:P8"/>
    <mergeCell ref="Q8:W8"/>
  </mergeCells>
  <conditionalFormatting sqref="U9">
    <cfRule type="cellIs" dxfId="52" priority="20" operator="between">
      <formula>6</formula>
      <formula>10</formula>
    </cfRule>
    <cfRule type="cellIs" dxfId="51" priority="21" operator="between">
      <formula>1</formula>
      <formula>5</formula>
    </cfRule>
  </conditionalFormatting>
  <conditionalFormatting sqref="U9">
    <cfRule type="cellIs" dxfId="50" priority="19" operator="between">
      <formula>11</formula>
      <formula>30</formula>
    </cfRule>
  </conditionalFormatting>
  <dataValidations count="3">
    <dataValidation type="list" allowBlank="1" showInputMessage="1" showErrorMessage="1" sqref="L10:N79" xr:uid="{F254C2DD-EFF7-4FEC-9BB5-9C9E672ED922}">
      <formula1>"Sim,Não"</formula1>
    </dataValidation>
    <dataValidation type="list" allowBlank="1" showInputMessage="1" showErrorMessage="1" sqref="K10:K79" xr:uid="{4FDABF1B-D7C4-4818-8BBB-F8C986A5ABA9}">
      <formula1>"Legado,Novo"</formula1>
    </dataValidation>
    <dataValidation type="list" allowBlank="1" showInputMessage="1" showErrorMessage="1" sqref="D10:D79" xr:uid="{1091680F-8661-488C-8B38-D2D0E1030014}">
      <formula1>"Sim, Não"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5ADA1-E72D-4128-A9DB-79E723D047C6}">
  <sheetPr codeName="Planilha7"/>
  <dimension ref="A1:AA76"/>
  <sheetViews>
    <sheetView showGridLines="0" topLeftCell="F1" zoomScaleNormal="100" workbookViewId="0">
      <selection activeCell="I13" sqref="I13"/>
    </sheetView>
  </sheetViews>
  <sheetFormatPr defaultRowHeight="14.4" x14ac:dyDescent="0.3"/>
  <cols>
    <col min="1" max="1" width="16.109375" style="2" customWidth="1"/>
    <col min="2" max="2" width="21.5546875" bestFit="1" customWidth="1"/>
    <col min="3" max="3" width="27.33203125" bestFit="1" customWidth="1"/>
    <col min="4" max="4" width="14.5546875" customWidth="1"/>
    <col min="5" max="5" width="59.33203125" style="18" bestFit="1" customWidth="1"/>
    <col min="6" max="6" width="18.109375" bestFit="1" customWidth="1"/>
    <col min="7" max="7" width="17.44140625" bestFit="1" customWidth="1"/>
    <col min="8" max="8" width="38.88671875" bestFit="1" customWidth="1"/>
    <col min="9" max="9" width="16.6640625" bestFit="1" customWidth="1"/>
    <col min="10" max="10" width="15.33203125" bestFit="1" customWidth="1"/>
    <col min="11" max="11" width="21" bestFit="1" customWidth="1"/>
    <col min="12" max="12" width="11.5546875" bestFit="1" customWidth="1"/>
    <col min="13" max="13" width="13.44140625" bestFit="1" customWidth="1"/>
    <col min="14" max="14" width="13.44140625" customWidth="1"/>
    <col min="15" max="15" width="119.88671875" bestFit="1" customWidth="1"/>
    <col min="16" max="16" width="36.44140625" bestFit="1" customWidth="1"/>
    <col min="17" max="17" width="18.33203125" bestFit="1" customWidth="1"/>
    <col min="18" max="18" width="39.44140625" bestFit="1" customWidth="1"/>
    <col min="19" max="19" width="30" bestFit="1" customWidth="1"/>
    <col min="20" max="20" width="29.33203125" bestFit="1" customWidth="1"/>
    <col min="21" max="21" width="15" bestFit="1" customWidth="1"/>
    <col min="22" max="22" width="30" bestFit="1" customWidth="1"/>
    <col min="23" max="23" width="7.6640625" hidden="1" customWidth="1"/>
  </cols>
  <sheetData>
    <row r="1" spans="1:27" x14ac:dyDescent="0.3">
      <c r="B1" s="72"/>
      <c r="C1" s="1"/>
      <c r="D1" s="24"/>
    </row>
    <row r="2" spans="1:27" x14ac:dyDescent="0.3">
      <c r="C2" s="5"/>
      <c r="D2" s="26"/>
    </row>
    <row r="3" spans="1:27" x14ac:dyDescent="0.3">
      <c r="C3" s="5"/>
      <c r="D3" s="26"/>
    </row>
    <row r="4" spans="1:27" x14ac:dyDescent="0.3">
      <c r="C4" s="5"/>
      <c r="D4" s="25"/>
    </row>
    <row r="5" spans="1:27" x14ac:dyDescent="0.3">
      <c r="C5" s="5"/>
      <c r="D5" s="26"/>
      <c r="T5" s="66"/>
    </row>
    <row r="6" spans="1:27" ht="15" thickBot="1" x14ac:dyDescent="0.35">
      <c r="A6" s="73"/>
      <c r="B6" s="73"/>
      <c r="C6" s="6"/>
      <c r="D6" s="27"/>
      <c r="U6" s="17">
        <f ca="1">TODAY()</f>
        <v>44543</v>
      </c>
    </row>
    <row r="7" spans="1:27" ht="3.75" customHeight="1" thickBot="1" x14ac:dyDescent="0.35">
      <c r="A7" s="9"/>
      <c r="B7" s="8"/>
      <c r="C7" s="8"/>
      <c r="D7" s="8"/>
      <c r="E7" s="20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</row>
    <row r="8" spans="1:27" ht="15" thickBot="1" x14ac:dyDescent="0.35">
      <c r="A8" s="123" t="s">
        <v>62</v>
      </c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4"/>
      <c r="Q8" s="125" t="s">
        <v>63</v>
      </c>
      <c r="R8" s="126"/>
      <c r="S8" s="126"/>
      <c r="T8" s="126"/>
      <c r="U8" s="126"/>
      <c r="V8" s="126"/>
      <c r="W8" s="126"/>
    </row>
    <row r="9" spans="1:27" ht="28.8" x14ac:dyDescent="0.3">
      <c r="A9" s="77" t="s">
        <v>1</v>
      </c>
      <c r="B9" s="78" t="s">
        <v>2</v>
      </c>
      <c r="C9" s="79" t="s">
        <v>3</v>
      </c>
      <c r="D9" s="79" t="s">
        <v>4</v>
      </c>
      <c r="E9" s="80" t="s">
        <v>5</v>
      </c>
      <c r="F9" s="81" t="s">
        <v>64</v>
      </c>
      <c r="G9" s="80" t="s">
        <v>6</v>
      </c>
      <c r="H9" s="82" t="s">
        <v>7</v>
      </c>
      <c r="I9" s="83" t="s">
        <v>8</v>
      </c>
      <c r="J9" s="84" t="s">
        <v>9</v>
      </c>
      <c r="K9" s="85" t="s">
        <v>10</v>
      </c>
      <c r="L9" s="79" t="s">
        <v>11</v>
      </c>
      <c r="M9" s="79" t="s">
        <v>12</v>
      </c>
      <c r="N9" s="79" t="s">
        <v>13</v>
      </c>
      <c r="O9" s="79" t="s">
        <v>14</v>
      </c>
      <c r="P9" s="79" t="s">
        <v>15</v>
      </c>
      <c r="Q9" s="79" t="s">
        <v>16</v>
      </c>
      <c r="R9" s="79" t="s">
        <v>17</v>
      </c>
      <c r="S9" s="79" t="s">
        <v>18</v>
      </c>
      <c r="T9" s="81" t="s">
        <v>19</v>
      </c>
      <c r="U9" s="86" t="s">
        <v>20</v>
      </c>
      <c r="V9" s="79" t="s">
        <v>21</v>
      </c>
      <c r="W9" s="77" t="s">
        <v>0</v>
      </c>
    </row>
    <row r="10" spans="1:27" s="98" customFormat="1" ht="16.8" x14ac:dyDescent="0.3">
      <c r="A10" s="94">
        <f>IF(QUALIDOC[[#This Row],[Data Monitoria]]="","",((((WEEKNUM(B10)-WEEKNUM(DATE(YEAR(B10),MONTH(B10),1))+1)))))</f>
        <v>1</v>
      </c>
      <c r="B10" s="95">
        <v>44411</v>
      </c>
      <c r="C10" s="94">
        <v>21229147004</v>
      </c>
      <c r="D10" s="96" t="s">
        <v>25</v>
      </c>
      <c r="E10" s="97" t="s">
        <v>24</v>
      </c>
      <c r="F10" s="75"/>
      <c r="G10" s="12"/>
      <c r="H10" s="75"/>
      <c r="I10" s="13"/>
      <c r="J10" s="38"/>
      <c r="K10" s="40"/>
      <c r="L10" s="51"/>
      <c r="M10" s="13"/>
      <c r="N10" s="15"/>
      <c r="O10" s="15"/>
      <c r="P10" s="13"/>
      <c r="Q10" s="13"/>
      <c r="R10" s="13"/>
      <c r="S10" s="13"/>
      <c r="T10" s="13"/>
      <c r="U10" s="13"/>
      <c r="V10" s="13"/>
      <c r="W10" s="13"/>
      <c r="X10" s="113"/>
      <c r="Y10" s="64"/>
      <c r="Z10" s="103"/>
      <c r="AA10" s="13"/>
    </row>
    <row r="11" spans="1:27" s="98" customFormat="1" ht="16.8" x14ac:dyDescent="0.3">
      <c r="A11" s="94">
        <f>IF(QUALIDOC[[#This Row],[Data Monitoria]]="","",((((WEEKNUM(B11)-WEEKNUM(DATE(YEAR(B11),MONTH(B11),1))+1)))))</f>
        <v>1</v>
      </c>
      <c r="B11" s="95">
        <v>44411</v>
      </c>
      <c r="C11" s="94">
        <v>97884624214</v>
      </c>
      <c r="D11" s="96" t="s">
        <v>25</v>
      </c>
      <c r="E11" s="97" t="s">
        <v>24</v>
      </c>
      <c r="F11" s="75"/>
      <c r="G11" s="12"/>
      <c r="H11" s="75"/>
      <c r="I11" s="13"/>
      <c r="J11" s="38"/>
      <c r="K11" s="40"/>
      <c r="L11" s="51"/>
      <c r="M11" s="13"/>
      <c r="N11" s="15"/>
      <c r="O11" s="15"/>
      <c r="P11" s="13"/>
      <c r="Q11" s="13"/>
      <c r="R11" s="13"/>
      <c r="S11" s="13"/>
      <c r="T11" s="13"/>
      <c r="U11" s="13"/>
      <c r="V11" s="13"/>
      <c r="W11" s="13"/>
      <c r="X11" s="113"/>
      <c r="Y11" s="64"/>
      <c r="Z11" s="103"/>
      <c r="AA11" s="13"/>
    </row>
    <row r="12" spans="1:27" x14ac:dyDescent="0.3">
      <c r="A12" s="75">
        <f>IF(QUALIDOC[[#This Row],[Data Monitoria]]="","",((((WEEKNUM(B12)-WEEKNUM(DATE(YEAR(B12),MONTH(B12),1))+1)))))</f>
        <v>1</v>
      </c>
      <c r="B12" s="12">
        <v>44412</v>
      </c>
      <c r="C12" s="75">
        <v>21229147004</v>
      </c>
      <c r="D12" s="13" t="s">
        <v>23</v>
      </c>
      <c r="E12" s="38" t="s">
        <v>38</v>
      </c>
      <c r="F12" s="75"/>
      <c r="G12" s="12"/>
      <c r="H12" s="75"/>
      <c r="I12" s="13"/>
      <c r="J12" s="38"/>
      <c r="K12" s="40"/>
      <c r="L12" s="51"/>
      <c r="M12" s="13"/>
      <c r="N12" s="15"/>
      <c r="O12" s="15"/>
      <c r="P12" s="13"/>
      <c r="Q12" s="13"/>
      <c r="R12" s="13"/>
      <c r="S12" s="13"/>
      <c r="T12" s="13"/>
      <c r="U12" s="13"/>
      <c r="V12" s="13"/>
      <c r="W12" s="13"/>
      <c r="X12" s="113"/>
      <c r="Y12" s="64"/>
      <c r="Z12" s="103"/>
      <c r="AA12" s="13"/>
    </row>
    <row r="13" spans="1:27" x14ac:dyDescent="0.3">
      <c r="A13" s="75">
        <f>IF(QUALIDOC[[#This Row],[Data Monitoria]]="","",((((WEEKNUM(B13)-WEEKNUM(DATE(YEAR(B13),MONTH(B13),1))+1)))))</f>
        <v>1</v>
      </c>
      <c r="B13" s="12">
        <v>44412</v>
      </c>
      <c r="C13" s="75">
        <v>97884608286</v>
      </c>
      <c r="D13" s="13" t="s">
        <v>23</v>
      </c>
      <c r="E13" s="38" t="s">
        <v>38</v>
      </c>
      <c r="F13" s="75"/>
      <c r="G13" s="12"/>
      <c r="H13" s="75"/>
      <c r="I13" s="13"/>
      <c r="J13" s="38"/>
      <c r="K13" s="40"/>
      <c r="L13" s="51"/>
      <c r="M13" s="13"/>
      <c r="N13" s="15"/>
      <c r="O13" s="15"/>
      <c r="P13" s="13"/>
      <c r="Q13" s="13"/>
      <c r="R13" s="13"/>
      <c r="S13" s="13"/>
      <c r="T13" s="13"/>
      <c r="U13" s="13"/>
      <c r="V13" s="13"/>
      <c r="W13" s="13"/>
      <c r="X13" s="113"/>
      <c r="Y13" s="64"/>
      <c r="Z13" s="103"/>
      <c r="AA13" s="13"/>
    </row>
    <row r="14" spans="1:27" x14ac:dyDescent="0.3">
      <c r="A14" s="75">
        <f>IF(QUALIDOC[[#This Row],[Data Monitoria]]="","",((((WEEKNUM(B14)-WEEKNUM(DATE(YEAR(B14),MONTH(B14),1))+1)))))</f>
        <v>1</v>
      </c>
      <c r="B14" s="12">
        <v>44413</v>
      </c>
      <c r="C14" s="75">
        <v>21229147004</v>
      </c>
      <c r="D14" s="13" t="s">
        <v>25</v>
      </c>
      <c r="E14" s="38" t="s">
        <v>28</v>
      </c>
      <c r="F14" s="75"/>
      <c r="G14" s="12"/>
      <c r="H14" s="75"/>
      <c r="I14" s="13"/>
      <c r="J14" s="38"/>
      <c r="K14" s="40"/>
      <c r="L14" s="51"/>
      <c r="M14" s="13"/>
      <c r="N14" s="15"/>
      <c r="O14" s="15"/>
      <c r="P14" s="13"/>
      <c r="Q14" s="13"/>
      <c r="R14" s="13"/>
      <c r="S14" s="13"/>
      <c r="T14" s="13"/>
      <c r="U14" s="13"/>
      <c r="V14" s="13"/>
      <c r="W14" s="13"/>
      <c r="X14" s="113"/>
      <c r="Y14" s="64"/>
      <c r="Z14" s="103"/>
      <c r="AA14" s="13"/>
    </row>
    <row r="15" spans="1:27" x14ac:dyDescent="0.3">
      <c r="A15" s="75">
        <f>IF(QUALIDOC[[#This Row],[Data Monitoria]]="","",((((WEEKNUM(B15)-WEEKNUM(DATE(YEAR(B15),MONTH(B15),1))+1)))))</f>
        <v>1</v>
      </c>
      <c r="B15" s="12">
        <v>44413</v>
      </c>
      <c r="C15" s="75">
        <v>97884628201</v>
      </c>
      <c r="D15" s="13" t="s">
        <v>25</v>
      </c>
      <c r="E15" s="38" t="s">
        <v>28</v>
      </c>
      <c r="F15" s="75"/>
      <c r="G15" s="12"/>
      <c r="H15" s="75"/>
      <c r="I15" s="13"/>
      <c r="J15" s="38"/>
      <c r="K15" s="40"/>
      <c r="L15" s="51"/>
      <c r="M15" s="13"/>
      <c r="N15" s="15"/>
      <c r="O15" s="15"/>
      <c r="P15" s="13"/>
      <c r="Q15" s="13"/>
      <c r="R15" s="13"/>
      <c r="S15" s="13"/>
      <c r="T15" s="13"/>
      <c r="U15" s="13"/>
      <c r="V15" s="13"/>
      <c r="W15" s="13"/>
      <c r="X15" s="113"/>
      <c r="Y15" s="64"/>
      <c r="Z15" s="103"/>
      <c r="AA15" s="13"/>
    </row>
    <row r="16" spans="1:27" x14ac:dyDescent="0.3">
      <c r="A16" s="75">
        <f>IF(QUALIDOC[[#This Row],[Data Monitoria]]="","",((((WEEKNUM(B16)-WEEKNUM(DATE(YEAR(B16),MONTH(B16),1))+1)))))</f>
        <v>2</v>
      </c>
      <c r="B16" s="12">
        <v>44417</v>
      </c>
      <c r="C16" s="75">
        <v>21229147004</v>
      </c>
      <c r="D16" s="13" t="s">
        <v>25</v>
      </c>
      <c r="E16" s="38" t="s">
        <v>29</v>
      </c>
      <c r="F16" s="75"/>
      <c r="G16" s="12"/>
      <c r="H16" s="75"/>
      <c r="I16" s="13"/>
      <c r="J16" s="38"/>
      <c r="K16" s="40"/>
      <c r="L16" s="51"/>
      <c r="M16" s="13"/>
      <c r="N16" s="15"/>
      <c r="O16" s="15"/>
      <c r="P16" s="13"/>
      <c r="Q16" s="13"/>
      <c r="R16" s="13"/>
      <c r="S16" s="13"/>
      <c r="T16" s="13"/>
      <c r="U16" s="13"/>
      <c r="V16" s="13"/>
      <c r="W16" s="13"/>
      <c r="X16" s="113"/>
      <c r="Y16" s="64"/>
      <c r="Z16" s="103"/>
      <c r="AA16" s="13"/>
    </row>
    <row r="17" spans="1:27" x14ac:dyDescent="0.3">
      <c r="A17" s="75">
        <f>IF(QUALIDOC[[#This Row],[Data Monitoria]]="","",((((WEEKNUM(B17)-WEEKNUM(DATE(YEAR(B17),MONTH(B17),1))+1)))))</f>
        <v>2</v>
      </c>
      <c r="B17" s="12">
        <v>44417</v>
      </c>
      <c r="C17" s="94">
        <v>97884624214</v>
      </c>
      <c r="D17" s="13" t="s">
        <v>25</v>
      </c>
      <c r="E17" s="38" t="s">
        <v>29</v>
      </c>
      <c r="F17" s="75"/>
      <c r="G17" s="12"/>
      <c r="H17" s="75"/>
      <c r="I17" s="13"/>
      <c r="J17" s="38"/>
      <c r="K17" s="40"/>
      <c r="L17" s="51"/>
      <c r="M17" s="13"/>
      <c r="N17" s="15"/>
      <c r="O17" s="15"/>
      <c r="P17" s="13"/>
      <c r="Q17" s="13"/>
      <c r="R17" s="13"/>
      <c r="S17" s="13"/>
      <c r="T17" s="13"/>
      <c r="U17" s="13"/>
      <c r="V17" s="13"/>
      <c r="W17" s="13"/>
      <c r="X17" s="113"/>
      <c r="Y17" s="64"/>
      <c r="Z17" s="103"/>
      <c r="AA17" s="13"/>
    </row>
    <row r="18" spans="1:27" x14ac:dyDescent="0.3">
      <c r="A18" s="75">
        <f>IF(QUALIDOC[[#This Row],[Data Monitoria]]="","",((((WEEKNUM(B18)-WEEKNUM(DATE(YEAR(B18),MONTH(B18),1))+1)))))</f>
        <v>2</v>
      </c>
      <c r="B18" s="12">
        <v>44419</v>
      </c>
      <c r="C18" s="75">
        <v>21229147004</v>
      </c>
      <c r="D18" s="13" t="s">
        <v>25</v>
      </c>
      <c r="E18" s="38" t="s">
        <v>30</v>
      </c>
      <c r="F18" s="75"/>
      <c r="G18" s="12"/>
      <c r="H18" s="75"/>
      <c r="I18" s="13"/>
      <c r="J18" s="38"/>
      <c r="K18" s="40"/>
      <c r="L18" s="51"/>
      <c r="M18" s="13"/>
      <c r="N18" s="15"/>
      <c r="O18" s="15"/>
      <c r="P18" s="13"/>
      <c r="Q18" s="13"/>
      <c r="R18" s="13"/>
      <c r="S18" s="13"/>
      <c r="T18" s="13"/>
      <c r="U18" s="13"/>
      <c r="V18" s="13"/>
      <c r="W18" s="13"/>
      <c r="X18" s="113"/>
      <c r="Y18" s="64"/>
      <c r="Z18" s="103"/>
      <c r="AA18" s="13"/>
    </row>
    <row r="19" spans="1:27" x14ac:dyDescent="0.3">
      <c r="A19" s="75">
        <f>IF(QUALIDOC[[#This Row],[Data Monitoria]]="","",((((WEEKNUM(B19)-WEEKNUM(DATE(YEAR(B19),MONTH(B19),1))+1)))))</f>
        <v>2</v>
      </c>
      <c r="B19" s="12">
        <v>44419</v>
      </c>
      <c r="C19" s="75">
        <v>97884608286</v>
      </c>
      <c r="D19" s="13" t="s">
        <v>25</v>
      </c>
      <c r="E19" s="38" t="s">
        <v>30</v>
      </c>
      <c r="F19" s="75"/>
      <c r="G19" s="12"/>
      <c r="H19" s="75"/>
      <c r="I19" s="13"/>
      <c r="J19" s="38"/>
      <c r="K19" s="40"/>
      <c r="L19" s="51"/>
      <c r="M19" s="13"/>
      <c r="N19" s="15"/>
      <c r="O19" s="15"/>
      <c r="P19" s="13"/>
      <c r="Q19" s="13"/>
      <c r="R19" s="13"/>
      <c r="S19" s="13"/>
      <c r="T19" s="13"/>
      <c r="U19" s="13"/>
      <c r="V19" s="13"/>
      <c r="W19" s="13"/>
      <c r="X19" s="113"/>
      <c r="Y19" s="64"/>
      <c r="Z19" s="103"/>
      <c r="AA19" s="13"/>
    </row>
    <row r="20" spans="1:27" x14ac:dyDescent="0.3">
      <c r="A20" s="75">
        <f>IF(QUALIDOC[[#This Row],[Data Monitoria]]="","",((((WEEKNUM(B20)-WEEKNUM(DATE(YEAR(B20),MONTH(B20),1))+1)))))</f>
        <v>2</v>
      </c>
      <c r="B20" s="12">
        <v>44419</v>
      </c>
      <c r="C20" s="75">
        <v>21229147004</v>
      </c>
      <c r="D20" s="13" t="s">
        <v>23</v>
      </c>
      <c r="E20" s="38" t="s">
        <v>39</v>
      </c>
      <c r="F20" s="75"/>
      <c r="G20" s="12"/>
      <c r="H20" s="75"/>
      <c r="I20" s="13"/>
      <c r="J20" s="38"/>
      <c r="K20" s="40"/>
      <c r="L20" s="51"/>
      <c r="M20" s="13"/>
      <c r="N20" s="15"/>
      <c r="O20" s="15"/>
      <c r="P20" s="13"/>
      <c r="Q20" s="13"/>
      <c r="R20" s="13"/>
      <c r="S20" s="13"/>
      <c r="T20" s="13"/>
      <c r="U20" s="13"/>
      <c r="V20" s="13"/>
      <c r="W20" s="13"/>
      <c r="X20" s="113"/>
      <c r="Y20" s="64"/>
      <c r="Z20" s="103"/>
      <c r="AA20" s="13"/>
    </row>
    <row r="21" spans="1:27" x14ac:dyDescent="0.3">
      <c r="A21" s="75">
        <f>IF(QUALIDOC[[#This Row],[Data Monitoria]]="","",((((WEEKNUM(B21)-WEEKNUM(DATE(YEAR(B21),MONTH(B21),1))+1)))))</f>
        <v>2</v>
      </c>
      <c r="B21" s="12">
        <v>44419</v>
      </c>
      <c r="C21" s="75">
        <v>97884628201</v>
      </c>
      <c r="D21" s="13" t="s">
        <v>23</v>
      </c>
      <c r="E21" s="38" t="s">
        <v>39</v>
      </c>
      <c r="F21" s="75"/>
      <c r="G21" s="12"/>
      <c r="H21" s="75"/>
      <c r="I21" s="13"/>
      <c r="J21" s="38"/>
      <c r="K21" s="40"/>
      <c r="L21" s="51"/>
      <c r="M21" s="13"/>
      <c r="N21" s="15"/>
      <c r="O21" s="15"/>
      <c r="P21" s="13"/>
      <c r="Q21" s="13"/>
      <c r="R21" s="13"/>
      <c r="S21" s="13"/>
      <c r="T21" s="13"/>
      <c r="U21" s="13"/>
      <c r="V21" s="13"/>
      <c r="W21" s="13"/>
      <c r="X21" s="113"/>
      <c r="Y21" s="64"/>
      <c r="Z21" s="103"/>
      <c r="AA21" s="13"/>
    </row>
    <row r="22" spans="1:27" x14ac:dyDescent="0.3">
      <c r="A22" s="75">
        <f>IF(QUALIDOC[[#This Row],[Data Monitoria]]="","",((((WEEKNUM(B22)-WEEKNUM(DATE(YEAR(B22),MONTH(B22),1))+1)))))</f>
        <v>2</v>
      </c>
      <c r="B22" s="12">
        <v>44419</v>
      </c>
      <c r="C22" s="75">
        <v>21229147004</v>
      </c>
      <c r="D22" s="13" t="s">
        <v>23</v>
      </c>
      <c r="E22" s="13" t="s">
        <v>33</v>
      </c>
      <c r="F22" s="75"/>
      <c r="G22" s="12"/>
      <c r="H22" s="75"/>
      <c r="I22" s="13"/>
      <c r="J22" s="38"/>
      <c r="K22" s="40"/>
      <c r="L22" s="51"/>
      <c r="M22" s="13"/>
      <c r="N22" s="15"/>
      <c r="O22" s="15"/>
      <c r="P22" s="13"/>
      <c r="Q22" s="13"/>
      <c r="R22" s="13"/>
      <c r="S22" s="13"/>
      <c r="T22" s="13"/>
      <c r="U22" s="13"/>
      <c r="V22" s="13"/>
      <c r="W22" s="13"/>
      <c r="X22" s="113"/>
      <c r="Y22" s="64"/>
      <c r="Z22" s="103"/>
      <c r="AA22" s="13"/>
    </row>
    <row r="23" spans="1:27" x14ac:dyDescent="0.3">
      <c r="A23" s="75">
        <f>IF(QUALIDOC[[#This Row],[Data Monitoria]]="","",((((WEEKNUM(B23)-WEEKNUM(DATE(YEAR(B23),MONTH(B23),1))+1)))))</f>
        <v>2</v>
      </c>
      <c r="B23" s="12">
        <v>44419</v>
      </c>
      <c r="C23" s="94">
        <v>97884624214</v>
      </c>
      <c r="D23" s="13" t="s">
        <v>23</v>
      </c>
      <c r="E23" s="13" t="s">
        <v>33</v>
      </c>
      <c r="F23" s="75"/>
      <c r="G23" s="12"/>
      <c r="H23" s="75"/>
      <c r="I23" s="13"/>
      <c r="J23" s="38"/>
      <c r="K23" s="40"/>
      <c r="L23" s="51"/>
      <c r="M23" s="13"/>
      <c r="N23" s="15"/>
      <c r="O23" s="15"/>
      <c r="P23" s="13"/>
      <c r="Q23" s="13"/>
      <c r="R23" s="13"/>
      <c r="S23" s="13"/>
      <c r="T23" s="13"/>
      <c r="U23" s="13"/>
      <c r="V23" s="13"/>
      <c r="W23" s="13"/>
      <c r="X23" s="113"/>
      <c r="Y23" s="64"/>
      <c r="Z23" s="103"/>
      <c r="AA23" s="13"/>
    </row>
    <row r="24" spans="1:27" x14ac:dyDescent="0.3">
      <c r="A24" s="75">
        <f>IF(QUALIDOC[[#This Row],[Data Monitoria]]="","",((((WEEKNUM(B24)-WEEKNUM(DATE(YEAR(B24),MONTH(B24),1))+1)))))</f>
        <v>2</v>
      </c>
      <c r="B24" s="12">
        <v>44420</v>
      </c>
      <c r="C24" s="75">
        <v>21229147004</v>
      </c>
      <c r="D24" s="13" t="s">
        <v>25</v>
      </c>
      <c r="E24" s="13" t="s">
        <v>34</v>
      </c>
      <c r="F24" s="75"/>
      <c r="G24" s="12"/>
      <c r="H24" s="75"/>
      <c r="I24" s="13"/>
      <c r="J24" s="38"/>
      <c r="K24" s="40"/>
      <c r="L24" s="51"/>
      <c r="M24" s="13"/>
      <c r="N24" s="15"/>
      <c r="O24" s="15"/>
      <c r="P24" s="13"/>
      <c r="Q24" s="13"/>
      <c r="R24" s="13"/>
      <c r="S24" s="13"/>
      <c r="T24" s="13"/>
      <c r="U24" s="13"/>
      <c r="V24" s="13"/>
      <c r="W24" s="13"/>
      <c r="X24" s="113"/>
      <c r="Y24" s="64"/>
      <c r="Z24" s="103"/>
      <c r="AA24" s="13"/>
    </row>
    <row r="25" spans="1:27" x14ac:dyDescent="0.3">
      <c r="A25" s="75">
        <f>IF(QUALIDOC[[#This Row],[Data Monitoria]]="","",((((WEEKNUM(B25)-WEEKNUM(DATE(YEAR(B25),MONTH(B25),1))+1)))))</f>
        <v>2</v>
      </c>
      <c r="B25" s="12">
        <v>44420</v>
      </c>
      <c r="C25" s="75">
        <v>97884608286</v>
      </c>
      <c r="D25" s="13" t="s">
        <v>25</v>
      </c>
      <c r="E25" s="13" t="s">
        <v>34</v>
      </c>
      <c r="F25" s="75"/>
      <c r="G25" s="12"/>
      <c r="H25" s="75"/>
      <c r="I25" s="13"/>
      <c r="J25" s="38"/>
      <c r="K25" s="40"/>
      <c r="L25" s="51"/>
      <c r="M25" s="13"/>
      <c r="N25" s="15"/>
      <c r="O25" s="15"/>
      <c r="P25" s="13"/>
      <c r="Q25" s="13"/>
      <c r="R25" s="13"/>
      <c r="S25" s="13"/>
      <c r="T25" s="13"/>
      <c r="U25" s="13"/>
      <c r="V25" s="13"/>
      <c r="W25" s="13"/>
      <c r="X25" s="113"/>
      <c r="Y25" s="64"/>
      <c r="Z25" s="103"/>
      <c r="AA25" s="13"/>
    </row>
    <row r="26" spans="1:27" x14ac:dyDescent="0.3">
      <c r="A26" s="75">
        <f>IF(QUALIDOC[[#This Row],[Data Monitoria]]="","",((((WEEKNUM(B26)-WEEKNUM(DATE(YEAR(B26),MONTH(B26),1))+1)))))</f>
        <v>3</v>
      </c>
      <c r="B26" s="12">
        <v>44424</v>
      </c>
      <c r="C26" s="75">
        <v>21229147004</v>
      </c>
      <c r="D26" s="13" t="s">
        <v>23</v>
      </c>
      <c r="E26" s="13" t="s">
        <v>1326</v>
      </c>
      <c r="F26" s="75"/>
      <c r="G26" s="12"/>
      <c r="H26" s="75"/>
      <c r="I26" s="13"/>
      <c r="J26" s="38"/>
      <c r="K26" s="40"/>
      <c r="L26" s="51"/>
      <c r="M26" s="13"/>
      <c r="N26" s="15"/>
      <c r="O26" s="15"/>
      <c r="P26" s="13"/>
      <c r="Q26" s="13"/>
      <c r="R26" s="13"/>
      <c r="S26" s="13"/>
      <c r="T26" s="13"/>
      <c r="U26" s="13"/>
      <c r="V26" s="13"/>
      <c r="W26" s="13"/>
      <c r="X26" s="113"/>
      <c r="Y26" s="64"/>
      <c r="Z26" s="103"/>
      <c r="AA26" s="13"/>
    </row>
    <row r="27" spans="1:27" x14ac:dyDescent="0.3">
      <c r="A27" s="75">
        <f>IF(QUALIDOC[[#This Row],[Data Monitoria]]="","",((((WEEKNUM(B27)-WEEKNUM(DATE(YEAR(B27),MONTH(B27),1))+1)))))</f>
        <v>3</v>
      </c>
      <c r="B27" s="12">
        <v>44424</v>
      </c>
      <c r="C27" s="75">
        <v>97884608286</v>
      </c>
      <c r="D27" s="13" t="s">
        <v>23</v>
      </c>
      <c r="E27" s="13" t="s">
        <v>1326</v>
      </c>
      <c r="F27" s="75"/>
      <c r="G27" s="12"/>
      <c r="H27" s="75"/>
      <c r="I27" s="13"/>
      <c r="J27" s="38"/>
      <c r="K27" s="40"/>
      <c r="L27" s="51"/>
      <c r="M27" s="13"/>
      <c r="N27" s="15"/>
      <c r="O27" s="15"/>
      <c r="P27" s="13"/>
      <c r="Q27" s="13"/>
      <c r="R27" s="13"/>
      <c r="S27" s="13"/>
      <c r="T27" s="13"/>
      <c r="U27" s="13"/>
      <c r="V27" s="13"/>
      <c r="W27" s="13"/>
      <c r="X27" s="113"/>
      <c r="Y27" s="64"/>
      <c r="Z27" s="103"/>
      <c r="AA27" s="13"/>
    </row>
    <row r="28" spans="1:27" s="121" customFormat="1" x14ac:dyDescent="0.3">
      <c r="A28" s="120" t="str">
        <f>IF(QUALIDOC[[#This Row],[Data Monitoria]]="","",((((WEEKNUM(B28)-WEEKNUM(DATE(YEAR(B28),MONTH(B28),1))+1)))))</f>
        <v/>
      </c>
      <c r="B28" s="118"/>
      <c r="C28" s="120"/>
      <c r="D28" s="119"/>
      <c r="E28" s="119"/>
      <c r="F28" s="75"/>
      <c r="G28" s="12"/>
      <c r="H28" s="75"/>
      <c r="I28" s="13"/>
      <c r="J28" s="38"/>
      <c r="K28" s="40"/>
      <c r="L28" s="51"/>
      <c r="M28" s="13"/>
      <c r="N28" s="15"/>
      <c r="O28" s="15"/>
      <c r="P28" s="13"/>
      <c r="Q28" s="13"/>
      <c r="R28" s="13"/>
      <c r="S28" s="13"/>
      <c r="T28" s="13"/>
      <c r="U28" s="13"/>
      <c r="V28" s="13"/>
      <c r="W28" s="13"/>
      <c r="X28" s="113"/>
      <c r="Y28" s="64"/>
      <c r="Z28" s="103"/>
      <c r="AA28" s="13"/>
    </row>
    <row r="29" spans="1:27" x14ac:dyDescent="0.3">
      <c r="A29" s="75">
        <f>IF(QUALIDOC[[#This Row],[Data Monitoria]]="","",((((WEEKNUM(B29)-WEEKNUM(DATE(YEAR(B29),MONTH(B29),1))+1)))))</f>
        <v>4</v>
      </c>
      <c r="B29" s="12">
        <v>44432</v>
      </c>
      <c r="C29" s="75">
        <v>21229147004</v>
      </c>
      <c r="D29" s="13" t="s">
        <v>23</v>
      </c>
      <c r="E29" s="38" t="s">
        <v>211</v>
      </c>
      <c r="F29" s="75"/>
      <c r="G29" s="12"/>
      <c r="H29" s="75"/>
      <c r="I29" s="13"/>
      <c r="J29" s="38"/>
      <c r="K29" s="40"/>
      <c r="L29" s="51"/>
      <c r="M29" s="13"/>
      <c r="N29" s="15"/>
      <c r="O29" s="15"/>
      <c r="P29" s="13"/>
      <c r="Q29" s="13"/>
      <c r="R29" s="13"/>
      <c r="S29" s="13"/>
      <c r="T29" s="13"/>
      <c r="U29" s="13"/>
      <c r="V29" s="13"/>
      <c r="W29" s="13"/>
      <c r="X29" s="113"/>
      <c r="Y29" s="64"/>
      <c r="Z29" s="103"/>
      <c r="AA29" s="13"/>
    </row>
    <row r="30" spans="1:27" x14ac:dyDescent="0.3">
      <c r="A30" s="75">
        <f>IF(QUALIDOC[[#This Row],[Data Monitoria]]="","",((((WEEKNUM(B30)-WEEKNUM(DATE(YEAR(B30),MONTH(B30),1))+1)))))</f>
        <v>4</v>
      </c>
      <c r="B30" s="12">
        <v>44432</v>
      </c>
      <c r="C30" s="75">
        <v>97884634287</v>
      </c>
      <c r="D30" s="13" t="s">
        <v>23</v>
      </c>
      <c r="E30" s="38" t="s">
        <v>211</v>
      </c>
      <c r="F30" s="75"/>
      <c r="G30" s="12"/>
      <c r="H30" s="75"/>
      <c r="I30" s="13"/>
      <c r="J30" s="38"/>
      <c r="K30" s="40"/>
      <c r="L30" s="51"/>
      <c r="M30" s="13"/>
      <c r="N30" s="15"/>
      <c r="O30" s="15"/>
      <c r="P30" s="13"/>
      <c r="Q30" s="13"/>
      <c r="R30" s="13"/>
      <c r="S30" s="13"/>
      <c r="T30" s="13"/>
      <c r="U30" s="13"/>
      <c r="V30" s="13"/>
      <c r="W30" s="13"/>
      <c r="X30" s="113"/>
      <c r="Y30" s="64"/>
      <c r="Z30" s="103"/>
      <c r="AA30" s="13"/>
    </row>
    <row r="31" spans="1:27" x14ac:dyDescent="0.3">
      <c r="A31" s="75">
        <f>IF(QUALIDOC[[#This Row],[Data Monitoria]]="","",((((WEEKNUM(B31)-WEEKNUM(DATE(YEAR(B31),MONTH(B31),1))+1)))))</f>
        <v>4</v>
      </c>
      <c r="B31" s="12">
        <v>44435</v>
      </c>
      <c r="C31" s="34">
        <v>21229147004</v>
      </c>
      <c r="D31" s="13" t="s">
        <v>23</v>
      </c>
      <c r="E31" s="13" t="s">
        <v>587</v>
      </c>
      <c r="F31" s="75"/>
      <c r="G31" s="12"/>
      <c r="H31" s="75"/>
      <c r="I31" s="13"/>
      <c r="J31" s="38"/>
      <c r="K31" s="40"/>
      <c r="L31" s="51"/>
      <c r="M31" s="13"/>
      <c r="N31" s="15"/>
      <c r="O31" s="15"/>
      <c r="P31" s="13"/>
      <c r="Q31" s="13"/>
      <c r="R31" s="13"/>
      <c r="S31" s="13"/>
      <c r="T31" s="13"/>
      <c r="U31" s="13"/>
      <c r="V31" s="13"/>
      <c r="W31" s="13"/>
      <c r="X31" s="113"/>
      <c r="Y31" s="64"/>
      <c r="Z31" s="103"/>
      <c r="AA31" s="13"/>
    </row>
    <row r="32" spans="1:27" x14ac:dyDescent="0.3">
      <c r="A32" s="75">
        <f>IF(QUALIDOC[[#This Row],[Data Monitoria]]="","",((((WEEKNUM(B32)-WEEKNUM(DATE(YEAR(B32),MONTH(B32),1))+1)))))</f>
        <v>4</v>
      </c>
      <c r="B32" s="12">
        <v>44435</v>
      </c>
      <c r="C32" s="34">
        <v>97884605260</v>
      </c>
      <c r="D32" s="13" t="s">
        <v>23</v>
      </c>
      <c r="E32" s="13" t="s">
        <v>587</v>
      </c>
      <c r="F32" s="75"/>
      <c r="G32" s="12"/>
      <c r="H32" s="75"/>
      <c r="I32" s="13"/>
      <c r="J32" s="38"/>
      <c r="K32" s="40"/>
      <c r="L32" s="51"/>
      <c r="M32" s="13"/>
      <c r="N32" s="15"/>
      <c r="O32" s="15"/>
      <c r="P32" s="13"/>
      <c r="Q32" s="13"/>
      <c r="R32" s="13"/>
      <c r="S32" s="13"/>
      <c r="T32" s="13"/>
      <c r="U32" s="13"/>
      <c r="V32" s="13"/>
      <c r="W32" s="13"/>
      <c r="X32" s="113"/>
      <c r="Y32" s="64"/>
      <c r="Z32" s="103"/>
      <c r="AA32" s="13"/>
    </row>
    <row r="33" spans="1:27" x14ac:dyDescent="0.3">
      <c r="A33" s="75">
        <f>IF(QUALIDOC[[#This Row],[Data Monitoria]]="","",((((WEEKNUM(B33)-WEEKNUM(DATE(YEAR(B33),MONTH(B33),1))+1)))))</f>
        <v>4</v>
      </c>
      <c r="B33" s="12">
        <v>44435</v>
      </c>
      <c r="C33" s="34">
        <v>21229147004</v>
      </c>
      <c r="D33" s="13" t="s">
        <v>23</v>
      </c>
      <c r="E33" s="13" t="s">
        <v>839</v>
      </c>
      <c r="F33" s="75"/>
      <c r="G33" s="12"/>
      <c r="H33" s="75"/>
      <c r="I33" s="13"/>
      <c r="J33" s="38"/>
      <c r="K33" s="40"/>
      <c r="L33" s="51"/>
      <c r="M33" s="13"/>
      <c r="N33" s="15"/>
      <c r="O33" s="15"/>
      <c r="P33" s="13"/>
      <c r="Q33" s="13"/>
      <c r="R33" s="13"/>
      <c r="S33" s="13"/>
      <c r="T33" s="13"/>
      <c r="U33" s="13"/>
      <c r="V33" s="13"/>
      <c r="W33" s="13"/>
      <c r="X33" s="113"/>
      <c r="Y33" s="64"/>
      <c r="Z33" s="103"/>
      <c r="AA33" s="13"/>
    </row>
    <row r="34" spans="1:27" x14ac:dyDescent="0.3">
      <c r="A34" s="75">
        <f>IF(QUALIDOC[[#This Row],[Data Monitoria]]="","",((((WEEKNUM(B34)-WEEKNUM(DATE(YEAR(B34),MONTH(B34),1))+1)))))</f>
        <v>4</v>
      </c>
      <c r="B34" s="12">
        <v>44435</v>
      </c>
      <c r="C34" s="34">
        <v>97884608286</v>
      </c>
      <c r="D34" s="13" t="s">
        <v>23</v>
      </c>
      <c r="E34" s="13" t="s">
        <v>839</v>
      </c>
      <c r="F34" s="75"/>
      <c r="G34" s="12"/>
      <c r="H34" s="75"/>
      <c r="I34" s="13"/>
      <c r="J34" s="38"/>
      <c r="K34" s="40"/>
      <c r="L34" s="51"/>
      <c r="M34" s="13"/>
      <c r="N34" s="15"/>
      <c r="O34" s="15"/>
      <c r="P34" s="13"/>
      <c r="Q34" s="13"/>
      <c r="R34" s="13"/>
      <c r="S34" s="13"/>
      <c r="T34" s="13"/>
      <c r="U34" s="13"/>
      <c r="V34" s="13"/>
      <c r="W34" s="13"/>
      <c r="X34" s="113"/>
      <c r="Y34" s="64"/>
      <c r="Z34" s="103"/>
      <c r="AA34" s="13"/>
    </row>
    <row r="35" spans="1:27" x14ac:dyDescent="0.3">
      <c r="A35" s="75">
        <f>IF(QUALIDOC[[#This Row],[Data Monitoria]]="","",((((WEEKNUM(B35)-WEEKNUM(DATE(YEAR(B35),MONTH(B35),1))+1)))))</f>
        <v>4</v>
      </c>
      <c r="B35" s="12">
        <v>44435</v>
      </c>
      <c r="C35" s="34">
        <v>21229147004</v>
      </c>
      <c r="D35" s="13" t="s">
        <v>23</v>
      </c>
      <c r="E35" s="13" t="s">
        <v>830</v>
      </c>
      <c r="F35" s="75"/>
      <c r="G35" s="12"/>
      <c r="H35" s="75"/>
      <c r="I35" s="13"/>
      <c r="J35" s="38"/>
      <c r="K35" s="40"/>
      <c r="L35" s="51"/>
      <c r="M35" s="13"/>
      <c r="N35" s="15"/>
      <c r="O35" s="15"/>
      <c r="P35" s="13"/>
      <c r="Q35" s="13"/>
      <c r="R35" s="13"/>
      <c r="S35" s="13"/>
      <c r="T35" s="13"/>
      <c r="U35" s="13"/>
      <c r="V35" s="13"/>
      <c r="W35" s="13"/>
      <c r="X35" s="113"/>
      <c r="Y35" s="64"/>
      <c r="Z35" s="103"/>
      <c r="AA35" s="13"/>
    </row>
    <row r="36" spans="1:27" x14ac:dyDescent="0.3">
      <c r="A36" s="75">
        <f>IF(QUALIDOC[[#This Row],[Data Monitoria]]="","",((((WEEKNUM(B36)-WEEKNUM(DATE(YEAR(B36),MONTH(B36),1))+1)))))</f>
        <v>4</v>
      </c>
      <c r="B36" s="12">
        <v>44435</v>
      </c>
      <c r="C36" s="34">
        <v>97884611236</v>
      </c>
      <c r="D36" s="13" t="s">
        <v>23</v>
      </c>
      <c r="E36" s="13" t="s">
        <v>830</v>
      </c>
      <c r="F36" s="75"/>
      <c r="G36" s="12"/>
      <c r="H36" s="75"/>
      <c r="I36" s="13"/>
      <c r="J36" s="38"/>
      <c r="K36" s="40"/>
      <c r="L36" s="51"/>
      <c r="M36" s="13"/>
      <c r="N36" s="15"/>
      <c r="O36" s="15"/>
      <c r="P36" s="13"/>
      <c r="Q36" s="13"/>
      <c r="R36" s="13"/>
      <c r="S36" s="13"/>
      <c r="T36" s="13"/>
      <c r="U36" s="13"/>
      <c r="V36" s="13"/>
      <c r="W36" s="13"/>
      <c r="X36" s="113"/>
      <c r="Y36" s="64"/>
      <c r="Z36" s="103"/>
      <c r="AA36" s="13"/>
    </row>
    <row r="37" spans="1:27" x14ac:dyDescent="0.3">
      <c r="A37" s="75">
        <f>IF(QUALIDOC[[#This Row],[Data Monitoria]]="","",((((WEEKNUM(B37)-WEEKNUM(DATE(YEAR(B37),MONTH(B37),1))+1)))))</f>
        <v>4</v>
      </c>
      <c r="B37" s="12">
        <v>44435</v>
      </c>
      <c r="C37" s="34">
        <v>21229147004</v>
      </c>
      <c r="D37" s="13" t="s">
        <v>23</v>
      </c>
      <c r="E37" s="38" t="s">
        <v>475</v>
      </c>
      <c r="F37" s="75"/>
      <c r="G37" s="12"/>
      <c r="H37" s="75"/>
      <c r="I37" s="13"/>
      <c r="J37" s="38"/>
      <c r="K37" s="40"/>
      <c r="L37" s="51"/>
      <c r="M37" s="13"/>
      <c r="N37" s="15"/>
      <c r="O37" s="15"/>
      <c r="P37" s="13"/>
      <c r="Q37" s="13"/>
      <c r="R37" s="13"/>
      <c r="S37" s="13"/>
      <c r="T37" s="13"/>
      <c r="U37" s="13"/>
      <c r="V37" s="13"/>
      <c r="W37" s="13"/>
      <c r="X37" s="113"/>
      <c r="Y37" s="64"/>
      <c r="Z37" s="103"/>
      <c r="AA37" s="13"/>
    </row>
    <row r="38" spans="1:27" x14ac:dyDescent="0.3">
      <c r="A38" s="75">
        <f>IF(QUALIDOC[[#This Row],[Data Monitoria]]="","",((((WEEKNUM(B38)-WEEKNUM(DATE(YEAR(B38),MONTH(B38),1))+1)))))</f>
        <v>4</v>
      </c>
      <c r="B38" s="12">
        <v>44435</v>
      </c>
      <c r="C38" s="34">
        <v>97884603217</v>
      </c>
      <c r="D38" s="13" t="s">
        <v>23</v>
      </c>
      <c r="E38" s="38" t="s">
        <v>475</v>
      </c>
      <c r="F38" s="75"/>
      <c r="G38" s="12"/>
      <c r="H38" s="75"/>
      <c r="I38" s="13"/>
      <c r="J38" s="38"/>
      <c r="K38" s="40"/>
      <c r="L38" s="51"/>
      <c r="M38" s="13"/>
      <c r="N38" s="15"/>
      <c r="O38" s="15"/>
      <c r="P38" s="13"/>
      <c r="Q38" s="13"/>
      <c r="R38" s="13"/>
      <c r="S38" s="13"/>
      <c r="T38" s="13"/>
      <c r="U38" s="13"/>
      <c r="V38" s="13"/>
      <c r="W38" s="13"/>
      <c r="X38" s="113"/>
      <c r="Y38" s="64"/>
      <c r="Z38" s="103"/>
      <c r="AA38" s="13"/>
    </row>
    <row r="39" spans="1:27" x14ac:dyDescent="0.3">
      <c r="A39" s="75">
        <f>IF(QUALIDOC[[#This Row],[Data Monitoria]]="","",((((WEEKNUM(B39)-WEEKNUM(DATE(YEAR(B39),MONTH(B39),1))+1)))))</f>
        <v>4</v>
      </c>
      <c r="B39" s="12">
        <v>44435</v>
      </c>
      <c r="C39" s="34">
        <v>21229147004</v>
      </c>
      <c r="D39" s="13" t="s">
        <v>23</v>
      </c>
      <c r="E39" s="13" t="s">
        <v>34</v>
      </c>
      <c r="F39" s="75"/>
      <c r="G39" s="12"/>
      <c r="H39" s="75"/>
      <c r="I39" s="13"/>
      <c r="J39" s="38"/>
      <c r="K39" s="40"/>
      <c r="L39" s="51"/>
      <c r="M39" s="13"/>
      <c r="N39" s="15"/>
      <c r="O39" s="15"/>
      <c r="P39" s="13"/>
      <c r="Q39" s="13"/>
      <c r="R39" s="13"/>
      <c r="S39" s="13"/>
      <c r="T39" s="13"/>
      <c r="U39" s="13"/>
      <c r="V39" s="13"/>
      <c r="W39" s="13"/>
      <c r="X39" s="113"/>
      <c r="Y39" s="64"/>
      <c r="Z39" s="103"/>
      <c r="AA39" s="13"/>
    </row>
    <row r="40" spans="1:27" x14ac:dyDescent="0.3">
      <c r="A40" s="75">
        <f>IF(QUALIDOC[[#This Row],[Data Monitoria]]="","",((((WEEKNUM(B40)-WEEKNUM(DATE(YEAR(B40),MONTH(B40),1))+1)))))</f>
        <v>4</v>
      </c>
      <c r="B40" s="12">
        <v>44435</v>
      </c>
      <c r="C40" s="34">
        <v>97884612208</v>
      </c>
      <c r="D40" s="13" t="s">
        <v>23</v>
      </c>
      <c r="E40" s="13" t="s">
        <v>34</v>
      </c>
      <c r="F40" s="75"/>
      <c r="G40" s="12"/>
      <c r="H40" s="75"/>
      <c r="I40" s="13"/>
      <c r="J40" s="38"/>
      <c r="K40" s="40"/>
      <c r="L40" s="51"/>
      <c r="M40" s="13"/>
      <c r="N40" s="15"/>
      <c r="O40" s="15"/>
      <c r="P40" s="13"/>
      <c r="Q40" s="13"/>
      <c r="R40" s="13"/>
      <c r="S40" s="13"/>
      <c r="T40" s="13"/>
      <c r="U40" s="13"/>
      <c r="V40" s="13"/>
      <c r="W40" s="13"/>
      <c r="X40" s="113"/>
      <c r="Y40" s="64"/>
      <c r="Z40" s="103"/>
      <c r="AA40" s="13"/>
    </row>
    <row r="41" spans="1:27" x14ac:dyDescent="0.3">
      <c r="A41" s="75" t="str">
        <f>IF(QUALIDOC[[#This Row],[Data Monitoria]]="","",((((WEEKNUM(B41)-WEEKNUM(DATE(YEAR(B41),MONTH(B41),1))+1)))))</f>
        <v/>
      </c>
      <c r="B41" s="12"/>
      <c r="C41" s="34"/>
      <c r="D41" s="13"/>
      <c r="E41" s="13"/>
      <c r="F41" s="75"/>
      <c r="G41" s="12"/>
      <c r="H41" s="75"/>
      <c r="I41" s="13"/>
      <c r="J41" s="38"/>
      <c r="K41" s="40"/>
      <c r="L41" s="51"/>
      <c r="M41" s="13"/>
      <c r="N41" s="15"/>
      <c r="O41" s="15"/>
      <c r="P41" s="13"/>
      <c r="Q41" s="13"/>
      <c r="R41" s="13"/>
      <c r="S41" s="13"/>
      <c r="T41" s="13"/>
      <c r="U41" s="13"/>
      <c r="V41" s="13"/>
      <c r="W41" s="13"/>
      <c r="X41" s="113"/>
      <c r="Y41" s="64"/>
      <c r="Z41" s="103"/>
      <c r="AA41" s="13"/>
    </row>
    <row r="42" spans="1:27" x14ac:dyDescent="0.3">
      <c r="A42" s="75" t="str">
        <f>IF(QUALIDOC[[#This Row],[Data Monitoria]]="","",((((WEEKNUM(B42)-WEEKNUM(DATE(YEAR(B42),MONTH(B42),1))+1)))))</f>
        <v/>
      </c>
      <c r="B42" s="12"/>
      <c r="C42" s="34"/>
      <c r="D42" s="13"/>
      <c r="E42" s="13"/>
      <c r="F42" s="75"/>
      <c r="G42" s="12"/>
      <c r="H42" s="75"/>
      <c r="I42" s="13"/>
      <c r="J42" s="38"/>
      <c r="K42" s="40"/>
      <c r="L42" s="51"/>
      <c r="M42" s="13"/>
      <c r="N42" s="15"/>
      <c r="O42" s="15"/>
      <c r="P42" s="13"/>
      <c r="Q42" s="13"/>
      <c r="R42" s="13"/>
      <c r="S42" s="13"/>
      <c r="T42" s="13"/>
      <c r="U42" s="13"/>
      <c r="V42" s="13"/>
      <c r="W42" s="13"/>
      <c r="X42" s="113"/>
      <c r="Y42" s="64"/>
      <c r="Z42" s="103"/>
      <c r="AA42" s="13"/>
    </row>
    <row r="43" spans="1:27" x14ac:dyDescent="0.3">
      <c r="A43" s="75" t="str">
        <f>IF(QUALIDOC[[#This Row],[Data Monitoria]]="","",((((WEEKNUM(B43)-WEEKNUM(DATE(YEAR(B43),MONTH(B43),1))+1)))))</f>
        <v/>
      </c>
      <c r="B43" s="12"/>
      <c r="C43" s="34"/>
      <c r="D43" s="13"/>
      <c r="E43" s="13"/>
      <c r="F43" s="75"/>
      <c r="G43" s="12"/>
      <c r="H43" s="75"/>
      <c r="I43" s="13"/>
      <c r="J43" s="38"/>
      <c r="K43" s="40"/>
      <c r="L43" s="51"/>
      <c r="M43" s="13"/>
      <c r="N43" s="15"/>
      <c r="O43" s="15"/>
      <c r="P43" s="13"/>
      <c r="Q43" s="13"/>
      <c r="R43" s="13"/>
      <c r="S43" s="13"/>
      <c r="T43" s="13"/>
      <c r="U43" s="13"/>
      <c r="V43" s="13"/>
      <c r="W43" s="13"/>
      <c r="X43" s="113"/>
      <c r="Y43" s="64"/>
      <c r="Z43" s="103"/>
      <c r="AA43" s="13"/>
    </row>
    <row r="44" spans="1:27" x14ac:dyDescent="0.3">
      <c r="A44" s="75" t="str">
        <f>IF(QUALIDOC[[#This Row],[Data Monitoria]]="","",((((WEEKNUM(B44)-WEEKNUM(DATE(YEAR(B44),MONTH(B44),1))+1)))))</f>
        <v/>
      </c>
      <c r="B44" s="12"/>
      <c r="C44" s="34"/>
      <c r="D44" s="13"/>
      <c r="E44" s="13"/>
      <c r="F44" s="75"/>
      <c r="G44" s="12"/>
      <c r="H44" s="75"/>
      <c r="I44" s="13"/>
      <c r="J44" s="38"/>
      <c r="K44" s="40"/>
      <c r="L44" s="51"/>
      <c r="M44" s="13"/>
      <c r="N44" s="15"/>
      <c r="O44" s="15"/>
      <c r="P44" s="13"/>
      <c r="Q44" s="13"/>
      <c r="R44" s="13"/>
      <c r="S44" s="13"/>
      <c r="T44" s="13"/>
      <c r="U44" s="13"/>
      <c r="V44" s="13"/>
      <c r="W44" s="13"/>
      <c r="X44" s="113"/>
      <c r="Y44" s="64"/>
      <c r="Z44" s="103"/>
      <c r="AA44" s="13"/>
    </row>
    <row r="45" spans="1:27" x14ac:dyDescent="0.3">
      <c r="A45" s="75" t="str">
        <f>IF(QUALIDOC[[#This Row],[Data Monitoria]]="","",((((WEEKNUM(B45)-WEEKNUM(DATE(YEAR(B45),MONTH(B45),1))+1)))))</f>
        <v/>
      </c>
      <c r="B45" s="12"/>
      <c r="C45" s="34"/>
      <c r="D45" s="13"/>
      <c r="E45" s="13"/>
      <c r="F45" s="75"/>
      <c r="G45" s="12"/>
      <c r="H45" s="75"/>
      <c r="I45" s="13"/>
      <c r="J45" s="38"/>
      <c r="K45" s="40"/>
      <c r="L45" s="51"/>
      <c r="M45" s="13"/>
      <c r="N45" s="15"/>
      <c r="O45" s="15"/>
      <c r="P45" s="13"/>
      <c r="Q45" s="13"/>
      <c r="R45" s="13"/>
      <c r="S45" s="13"/>
      <c r="T45" s="13"/>
      <c r="U45" s="13"/>
      <c r="V45" s="13"/>
      <c r="W45" s="13"/>
      <c r="X45" s="113"/>
      <c r="Y45" s="64"/>
      <c r="Z45" s="103"/>
      <c r="AA45" s="13"/>
    </row>
    <row r="46" spans="1:27" x14ac:dyDescent="0.3">
      <c r="A46" s="75" t="str">
        <f>IF(QUALIDOC[[#This Row],[Data Monitoria]]="","",((((WEEKNUM(B46)-WEEKNUM(DATE(YEAR(B46),MONTH(B46),1))+1)))))</f>
        <v/>
      </c>
      <c r="B46" s="12"/>
      <c r="C46" s="34"/>
      <c r="D46" s="13"/>
      <c r="E46" s="13"/>
      <c r="F46" s="75"/>
      <c r="G46" s="12"/>
      <c r="H46" s="75"/>
      <c r="I46" s="13"/>
      <c r="J46" s="38"/>
      <c r="K46" s="40"/>
      <c r="L46" s="51"/>
      <c r="M46" s="13"/>
      <c r="N46" s="15"/>
      <c r="O46" s="15"/>
      <c r="P46" s="13"/>
      <c r="Q46" s="13"/>
      <c r="R46" s="13"/>
      <c r="S46" s="13"/>
      <c r="T46" s="13"/>
      <c r="U46" s="13"/>
      <c r="V46" s="13"/>
      <c r="W46" s="13"/>
      <c r="X46" s="113"/>
      <c r="Y46" s="64"/>
      <c r="Z46" s="103"/>
      <c r="AA46" s="13"/>
    </row>
    <row r="47" spans="1:27" x14ac:dyDescent="0.3">
      <c r="A47" s="75" t="str">
        <f>IF(QUALIDOC[[#This Row],[Data Monitoria]]="","",((((WEEKNUM(B47)-WEEKNUM(DATE(YEAR(B47),MONTH(B47),1))+1)))))</f>
        <v/>
      </c>
      <c r="B47" s="12"/>
      <c r="C47" s="34"/>
      <c r="D47" s="13"/>
      <c r="E47" s="13"/>
      <c r="F47" s="75"/>
      <c r="G47" s="12"/>
      <c r="H47" s="75"/>
      <c r="I47" s="13"/>
      <c r="J47" s="38"/>
      <c r="K47" s="40"/>
      <c r="L47" s="51"/>
      <c r="M47" s="13"/>
      <c r="N47" s="15"/>
      <c r="O47" s="15"/>
      <c r="P47" s="13"/>
      <c r="Q47" s="13"/>
      <c r="R47" s="13"/>
      <c r="S47" s="13"/>
      <c r="T47" s="13"/>
      <c r="U47" s="13"/>
      <c r="V47" s="13"/>
      <c r="W47" s="13"/>
      <c r="X47" s="113"/>
      <c r="Y47" s="64"/>
      <c r="Z47" s="103"/>
      <c r="AA47" s="13"/>
    </row>
    <row r="48" spans="1:27" x14ac:dyDescent="0.3">
      <c r="A48" s="75" t="str">
        <f>IF(QUALIDOC[[#This Row],[Data Monitoria]]="","",((((WEEKNUM(B48)-WEEKNUM(DATE(YEAR(B48),MONTH(B48),1))+1)))))</f>
        <v/>
      </c>
      <c r="B48" s="12"/>
      <c r="C48" s="34"/>
      <c r="D48" s="13"/>
      <c r="E48" s="13"/>
      <c r="F48" s="75"/>
      <c r="G48" s="12"/>
      <c r="H48" s="75"/>
      <c r="I48" s="13"/>
      <c r="J48" s="38"/>
      <c r="K48" s="40"/>
      <c r="L48" s="51"/>
      <c r="M48" s="13"/>
      <c r="N48" s="15"/>
      <c r="O48" s="15"/>
      <c r="P48" s="13"/>
      <c r="Q48" s="13"/>
      <c r="R48" s="13"/>
      <c r="S48" s="13"/>
      <c r="T48" s="13"/>
      <c r="U48" s="13"/>
      <c r="V48" s="13"/>
      <c r="W48" s="13"/>
      <c r="X48" s="113"/>
      <c r="Y48" s="64"/>
      <c r="Z48" s="103"/>
      <c r="AA48" s="13"/>
    </row>
    <row r="49" spans="1:27" x14ac:dyDescent="0.3">
      <c r="A49" s="75" t="str">
        <f>IF(QUALIDOC[[#This Row],[Data Monitoria]]="","",((((WEEKNUM(B49)-WEEKNUM(DATE(YEAR(B49),MONTH(B49),1))+1)))))</f>
        <v/>
      </c>
      <c r="B49" s="12"/>
      <c r="C49" s="34"/>
      <c r="D49" s="13"/>
      <c r="E49" s="13"/>
      <c r="F49" s="75"/>
      <c r="G49" s="12"/>
      <c r="H49" s="75"/>
      <c r="I49" s="13"/>
      <c r="J49" s="38"/>
      <c r="K49" s="40"/>
      <c r="L49" s="51"/>
      <c r="M49" s="13"/>
      <c r="N49" s="15"/>
      <c r="O49" s="15"/>
      <c r="P49" s="13"/>
      <c r="Q49" s="13"/>
      <c r="R49" s="13"/>
      <c r="S49" s="13"/>
      <c r="T49" s="13"/>
      <c r="U49" s="13"/>
      <c r="V49" s="13"/>
      <c r="W49" s="13"/>
      <c r="X49" s="113"/>
      <c r="Y49" s="64"/>
      <c r="Z49" s="103"/>
      <c r="AA49" s="13"/>
    </row>
    <row r="50" spans="1:27" x14ac:dyDescent="0.3">
      <c r="A50" s="75" t="str">
        <f>IF(QUALIDOC[[#This Row],[Data Monitoria]]="","",((((WEEKNUM(B50)-WEEKNUM(DATE(YEAR(B50),MONTH(B50),1))+1)))))</f>
        <v/>
      </c>
      <c r="B50" s="12"/>
      <c r="C50" s="34"/>
      <c r="D50" s="13"/>
      <c r="E50" s="13"/>
      <c r="F50" s="75"/>
      <c r="G50" s="12"/>
      <c r="H50" s="75"/>
      <c r="I50" s="13"/>
      <c r="J50" s="38"/>
      <c r="K50" s="40"/>
      <c r="L50" s="51"/>
      <c r="M50" s="13"/>
      <c r="N50" s="15"/>
      <c r="O50" s="15"/>
      <c r="P50" s="13"/>
      <c r="Q50" s="13"/>
      <c r="R50" s="13"/>
      <c r="S50" s="13"/>
      <c r="T50" s="13"/>
      <c r="U50" s="13"/>
      <c r="V50" s="13"/>
      <c r="W50" s="13"/>
      <c r="X50" s="113"/>
      <c r="Y50" s="64"/>
      <c r="Z50" s="103"/>
      <c r="AA50" s="13"/>
    </row>
    <row r="51" spans="1:27" x14ac:dyDescent="0.3">
      <c r="A51" s="75" t="str">
        <f>IF(QUALIDOC[[#This Row],[Data Monitoria]]="","",((((WEEKNUM(B51)-WEEKNUM(DATE(YEAR(B51),MONTH(B51),1))+1)))))</f>
        <v/>
      </c>
      <c r="B51" s="12"/>
      <c r="C51" s="34"/>
      <c r="D51" s="13"/>
      <c r="E51" s="13"/>
      <c r="F51" s="75"/>
      <c r="G51" s="12"/>
      <c r="H51" s="75"/>
      <c r="I51" s="13"/>
      <c r="J51" s="38"/>
      <c r="K51" s="40"/>
      <c r="L51" s="51"/>
      <c r="M51" s="13"/>
      <c r="N51" s="15"/>
      <c r="O51" s="15"/>
      <c r="P51" s="13"/>
      <c r="Q51" s="13"/>
      <c r="R51" s="13"/>
      <c r="S51" s="13"/>
      <c r="T51" s="13"/>
      <c r="U51" s="13"/>
      <c r="V51" s="13"/>
      <c r="W51" s="13"/>
      <c r="X51" s="113"/>
      <c r="Y51" s="64"/>
      <c r="Z51" s="103"/>
      <c r="AA51" s="13"/>
    </row>
    <row r="52" spans="1:27" x14ac:dyDescent="0.3">
      <c r="A52" s="75" t="str">
        <f>IF(QUALIDOC[[#This Row],[Data Monitoria]]="","",((((WEEKNUM(B52)-WEEKNUM(DATE(YEAR(B52),MONTH(B52),1))+1)))))</f>
        <v/>
      </c>
      <c r="B52" s="12"/>
      <c r="C52" s="34"/>
      <c r="D52" s="13"/>
      <c r="E52" s="13"/>
      <c r="F52" s="75"/>
      <c r="G52" s="12"/>
      <c r="H52" s="75"/>
      <c r="I52" s="13"/>
      <c r="J52" s="38"/>
      <c r="K52" s="40"/>
      <c r="L52" s="51"/>
      <c r="M52" s="13"/>
      <c r="N52" s="15"/>
      <c r="O52" s="15"/>
      <c r="P52" s="13"/>
      <c r="Q52" s="13"/>
      <c r="R52" s="13"/>
      <c r="S52" s="13"/>
      <c r="T52" s="13"/>
      <c r="U52" s="13"/>
      <c r="V52" s="13"/>
      <c r="W52" s="13"/>
      <c r="X52" s="113"/>
      <c r="Y52" s="64"/>
      <c r="Z52" s="103"/>
      <c r="AA52" s="13"/>
    </row>
    <row r="53" spans="1:27" x14ac:dyDescent="0.3">
      <c r="A53" s="75" t="str">
        <f>IF(QUALIDOC[[#This Row],[Data Monitoria]]="","",((((WEEKNUM(B53)-WEEKNUM(DATE(YEAR(B53),MONTH(B53),1))+1)))))</f>
        <v/>
      </c>
      <c r="B53" s="12"/>
      <c r="C53" s="34"/>
      <c r="D53" s="13"/>
      <c r="E53" s="13"/>
      <c r="F53" s="75"/>
      <c r="G53" s="12"/>
      <c r="H53" s="75"/>
      <c r="I53" s="13"/>
      <c r="J53" s="38"/>
      <c r="K53" s="40"/>
      <c r="L53" s="51"/>
      <c r="M53" s="13"/>
      <c r="N53" s="15"/>
      <c r="O53" s="15"/>
      <c r="P53" s="13"/>
      <c r="Q53" s="13"/>
      <c r="R53" s="13"/>
      <c r="S53" s="13"/>
      <c r="T53" s="13"/>
      <c r="U53" s="13"/>
      <c r="V53" s="13"/>
      <c r="W53" s="13"/>
      <c r="X53" s="113"/>
      <c r="Y53" s="64"/>
      <c r="Z53" s="103"/>
      <c r="AA53" s="13"/>
    </row>
    <row r="54" spans="1:27" x14ac:dyDescent="0.3">
      <c r="A54" s="75" t="str">
        <f>IF(QUALIDOC[[#This Row],[Data Monitoria]]="","",((((WEEKNUM(B54)-WEEKNUM(DATE(YEAR(B54),MONTH(B54),1))+1)))))</f>
        <v/>
      </c>
      <c r="B54" s="12"/>
      <c r="C54" s="34"/>
      <c r="D54" s="13"/>
      <c r="E54" s="13"/>
      <c r="F54" s="75"/>
      <c r="G54" s="12"/>
      <c r="H54" s="75"/>
      <c r="I54" s="13"/>
      <c r="J54" s="38"/>
      <c r="K54" s="40"/>
      <c r="L54" s="51"/>
      <c r="M54" s="13"/>
      <c r="N54" s="15"/>
      <c r="O54" s="15"/>
      <c r="P54" s="13"/>
      <c r="Q54" s="13"/>
      <c r="R54" s="13"/>
      <c r="S54" s="13"/>
      <c r="T54" s="13"/>
      <c r="U54" s="13"/>
      <c r="V54" s="13"/>
      <c r="W54" s="13"/>
      <c r="X54" s="113"/>
      <c r="Y54" s="64"/>
      <c r="Z54" s="103"/>
      <c r="AA54" s="13"/>
    </row>
    <row r="55" spans="1:27" x14ac:dyDescent="0.3">
      <c r="A55" s="75" t="str">
        <f>IF(QUALIDOC[[#This Row],[Data Monitoria]]="","",((((WEEKNUM(B55)-WEEKNUM(DATE(YEAR(B55),MONTH(B55),1))+1)))))</f>
        <v/>
      </c>
      <c r="B55" s="12"/>
      <c r="C55" s="34"/>
      <c r="D55" s="13"/>
      <c r="E55" s="13"/>
      <c r="F55" s="75"/>
      <c r="G55" s="12"/>
      <c r="H55" s="75"/>
      <c r="I55" s="13"/>
      <c r="J55" s="38"/>
      <c r="K55" s="40"/>
      <c r="L55" s="51"/>
      <c r="M55" s="13"/>
      <c r="N55" s="15"/>
      <c r="O55" s="15"/>
      <c r="P55" s="13"/>
      <c r="Q55" s="13"/>
      <c r="R55" s="13"/>
      <c r="S55" s="13"/>
      <c r="T55" s="13"/>
      <c r="U55" s="13"/>
      <c r="V55" s="13"/>
      <c r="W55" s="13"/>
      <c r="X55" s="113"/>
      <c r="Y55" s="64"/>
      <c r="Z55" s="103"/>
      <c r="AA55" s="13"/>
    </row>
    <row r="56" spans="1:27" x14ac:dyDescent="0.3">
      <c r="A56" s="75" t="str">
        <f>IF(QUALIDOC[[#This Row],[Data Monitoria]]="","",((((WEEKNUM(B56)-WEEKNUM(DATE(YEAR(B56),MONTH(B56),1))+1)))))</f>
        <v/>
      </c>
      <c r="B56" s="12"/>
      <c r="C56" s="34"/>
      <c r="D56" s="13"/>
      <c r="E56" s="13"/>
      <c r="F56" s="75"/>
      <c r="G56" s="12"/>
      <c r="H56" s="75"/>
      <c r="I56" s="13"/>
      <c r="J56" s="38"/>
      <c r="K56" s="40"/>
      <c r="L56" s="51"/>
      <c r="M56" s="13"/>
      <c r="N56" s="15"/>
      <c r="O56" s="15"/>
      <c r="P56" s="13"/>
      <c r="Q56" s="13"/>
      <c r="R56" s="13"/>
      <c r="S56" s="13"/>
      <c r="T56" s="13"/>
      <c r="U56" s="13"/>
      <c r="V56" s="13"/>
      <c r="W56" s="13"/>
      <c r="X56" s="113"/>
      <c r="Y56" s="64"/>
      <c r="Z56" s="103"/>
      <c r="AA56" s="13"/>
    </row>
    <row r="57" spans="1:27" x14ac:dyDescent="0.3">
      <c r="A57" s="75" t="str">
        <f>IF(QUALIDOC[[#This Row],[Data Monitoria]]="","",((((WEEKNUM(B57)-WEEKNUM(DATE(YEAR(B57),MONTH(B57),1))+1)))))</f>
        <v/>
      </c>
      <c r="B57" s="12"/>
      <c r="C57" s="34"/>
      <c r="D57" s="13"/>
      <c r="E57" s="13"/>
      <c r="F57" s="75"/>
      <c r="G57" s="12"/>
      <c r="H57" s="75"/>
      <c r="I57" s="13"/>
      <c r="J57" s="38"/>
      <c r="K57" s="40"/>
      <c r="L57" s="51"/>
      <c r="M57" s="13"/>
      <c r="N57" s="15"/>
      <c r="O57" s="15"/>
      <c r="P57" s="13"/>
      <c r="Q57" s="13"/>
      <c r="R57" s="13"/>
      <c r="S57" s="13"/>
      <c r="T57" s="13"/>
      <c r="U57" s="13"/>
      <c r="V57" s="13"/>
      <c r="W57" s="13"/>
      <c r="X57" s="113"/>
      <c r="Y57" s="64"/>
      <c r="Z57" s="103"/>
      <c r="AA57" s="13"/>
    </row>
    <row r="58" spans="1:27" x14ac:dyDescent="0.3">
      <c r="A58" s="75" t="str">
        <f>IF(QUALIDOC[[#This Row],[Data Monitoria]]="","",((((WEEKNUM(B58)-WEEKNUM(DATE(YEAR(B58),MONTH(B58),1))+1)))))</f>
        <v/>
      </c>
      <c r="B58" s="12"/>
      <c r="C58" s="34"/>
      <c r="D58" s="13"/>
      <c r="E58" s="13"/>
      <c r="F58" s="75"/>
      <c r="G58" s="12"/>
      <c r="H58" s="75"/>
      <c r="I58" s="13"/>
      <c r="J58" s="38"/>
      <c r="K58" s="40"/>
      <c r="L58" s="51"/>
      <c r="M58" s="13"/>
      <c r="N58" s="15"/>
      <c r="O58" s="15"/>
      <c r="P58" s="13"/>
      <c r="Q58" s="13"/>
      <c r="R58" s="13"/>
      <c r="S58" s="13"/>
      <c r="T58" s="13"/>
      <c r="U58" s="13"/>
      <c r="V58" s="13"/>
      <c r="W58" s="13"/>
      <c r="X58" s="113"/>
      <c r="Y58" s="64"/>
      <c r="Z58" s="103"/>
      <c r="AA58" s="13"/>
    </row>
    <row r="59" spans="1:27" x14ac:dyDescent="0.3">
      <c r="A59" s="75" t="str">
        <f>IF(QUALIDOC[[#This Row],[Data Monitoria]]="","",((((WEEKNUM(B59)-WEEKNUM(DATE(YEAR(B59),MONTH(B59),1))+1)))))</f>
        <v/>
      </c>
      <c r="B59" s="12"/>
      <c r="C59" s="34"/>
      <c r="D59" s="13"/>
      <c r="E59" s="13"/>
      <c r="F59" s="75"/>
      <c r="G59" s="12"/>
      <c r="H59" s="75"/>
      <c r="I59" s="13"/>
      <c r="J59" s="38"/>
      <c r="K59" s="40"/>
      <c r="L59" s="51"/>
      <c r="M59" s="13"/>
      <c r="N59" s="15"/>
      <c r="O59" s="15"/>
      <c r="P59" s="13"/>
      <c r="Q59" s="13"/>
      <c r="R59" s="13"/>
      <c r="S59" s="13"/>
      <c r="T59" s="13"/>
      <c r="U59" s="13"/>
      <c r="V59" s="13"/>
      <c r="W59" s="13"/>
      <c r="X59" s="113"/>
      <c r="Y59" s="64"/>
      <c r="Z59" s="103"/>
      <c r="AA59" s="13"/>
    </row>
    <row r="60" spans="1:27" x14ac:dyDescent="0.3">
      <c r="A60" s="75" t="str">
        <f>IF(QUALIDOC[[#This Row],[Data Monitoria]]="","",((((WEEKNUM(B60)-WEEKNUM(DATE(YEAR(B60),MONTH(B60),1))+1)))))</f>
        <v/>
      </c>
      <c r="B60" s="12"/>
      <c r="C60" s="34"/>
      <c r="D60" s="13"/>
      <c r="E60" s="13"/>
      <c r="F60" s="75"/>
      <c r="G60" s="12"/>
      <c r="H60" s="75"/>
      <c r="I60" s="13"/>
      <c r="J60" s="38"/>
      <c r="K60" s="40"/>
      <c r="L60" s="51"/>
      <c r="M60" s="13"/>
      <c r="N60" s="15"/>
      <c r="O60" s="15"/>
      <c r="P60" s="13"/>
      <c r="Q60" s="13"/>
      <c r="R60" s="13"/>
      <c r="S60" s="13"/>
      <c r="T60" s="13"/>
      <c r="U60" s="13"/>
      <c r="V60" s="13"/>
      <c r="W60" s="13"/>
      <c r="X60" s="113"/>
      <c r="Y60" s="64"/>
      <c r="Z60" s="103"/>
      <c r="AA60" s="13"/>
    </row>
    <row r="61" spans="1:27" x14ac:dyDescent="0.3">
      <c r="A61" s="75" t="str">
        <f>IF(QUALIDOC[[#This Row],[Data Monitoria]]="","",((((WEEKNUM(B61)-WEEKNUM(DATE(YEAR(B61),MONTH(B61),1))+1)))))</f>
        <v/>
      </c>
      <c r="B61" s="12"/>
      <c r="C61" s="34"/>
      <c r="D61" s="13"/>
      <c r="E61" s="13"/>
      <c r="F61" s="75"/>
      <c r="G61" s="12"/>
      <c r="H61" s="75"/>
      <c r="I61" s="13"/>
      <c r="J61" s="38"/>
      <c r="K61" s="40"/>
      <c r="L61" s="51"/>
      <c r="M61" s="13"/>
      <c r="N61" s="15"/>
      <c r="O61" s="15"/>
      <c r="P61" s="13"/>
      <c r="Q61" s="13"/>
      <c r="R61" s="13"/>
      <c r="S61" s="13"/>
      <c r="T61" s="13"/>
      <c r="U61" s="13"/>
      <c r="V61" s="13"/>
      <c r="W61" s="13"/>
      <c r="X61" s="113"/>
      <c r="Y61" s="64"/>
      <c r="Z61" s="103"/>
      <c r="AA61" s="13"/>
    </row>
    <row r="62" spans="1:27" x14ac:dyDescent="0.3">
      <c r="A62" s="75" t="str">
        <f>IF(QUALIDOC[[#This Row],[Data Monitoria]]="","",((((WEEKNUM(B62)-WEEKNUM(DATE(YEAR(B62),MONTH(B62),1))+1)))))</f>
        <v/>
      </c>
      <c r="B62" s="12"/>
      <c r="C62" s="34"/>
      <c r="D62" s="13"/>
      <c r="E62" s="13"/>
      <c r="F62" s="75"/>
      <c r="G62" s="12"/>
      <c r="H62" s="75"/>
      <c r="I62" s="13"/>
      <c r="J62" s="38"/>
      <c r="K62" s="40"/>
      <c r="L62" s="51"/>
      <c r="M62" s="13"/>
      <c r="N62" s="15"/>
      <c r="O62" s="15"/>
      <c r="P62" s="13"/>
      <c r="Q62" s="13"/>
      <c r="R62" s="13"/>
      <c r="S62" s="13"/>
      <c r="T62" s="13"/>
      <c r="U62" s="13"/>
      <c r="V62" s="13"/>
      <c r="W62" s="13"/>
      <c r="X62" s="113"/>
      <c r="Y62" s="64"/>
      <c r="Z62" s="103"/>
      <c r="AA62" s="13"/>
    </row>
    <row r="63" spans="1:27" x14ac:dyDescent="0.3">
      <c r="A63" s="75" t="str">
        <f>IF(QUALIDOC[[#This Row],[Data Monitoria]]="","",((((WEEKNUM(B63)-WEEKNUM(DATE(YEAR(B63),MONTH(B63),1))+1)))))</f>
        <v/>
      </c>
      <c r="B63" s="12"/>
      <c r="C63" s="34"/>
      <c r="D63" s="13"/>
      <c r="E63" s="13"/>
      <c r="F63" s="75"/>
      <c r="G63" s="12"/>
      <c r="H63" s="75"/>
      <c r="I63" s="13"/>
      <c r="J63" s="38"/>
      <c r="K63" s="40"/>
      <c r="L63" s="51"/>
      <c r="M63" s="13"/>
      <c r="N63" s="15"/>
      <c r="O63" s="15"/>
      <c r="P63" s="13"/>
      <c r="Q63" s="13"/>
      <c r="R63" s="13"/>
      <c r="S63" s="13"/>
      <c r="T63" s="13"/>
      <c r="U63" s="13"/>
      <c r="V63" s="13"/>
      <c r="W63" s="13"/>
      <c r="X63" s="113"/>
      <c r="Y63" s="64"/>
      <c r="Z63" s="103"/>
      <c r="AA63" s="13"/>
    </row>
    <row r="64" spans="1:27" x14ac:dyDescent="0.3">
      <c r="A64" s="75" t="str">
        <f>IF(QUALIDOC[[#This Row],[Data Monitoria]]="","",((((WEEKNUM(B64)-WEEKNUM(DATE(YEAR(B64),MONTH(B64),1))+1)))))</f>
        <v/>
      </c>
      <c r="B64" s="12"/>
      <c r="C64" s="34"/>
      <c r="D64" s="13"/>
      <c r="E64" s="13"/>
      <c r="F64" s="75"/>
      <c r="G64" s="12"/>
      <c r="H64" s="75"/>
      <c r="I64" s="13"/>
      <c r="J64" s="38"/>
      <c r="K64" s="40"/>
      <c r="L64" s="51"/>
      <c r="M64" s="13"/>
      <c r="N64" s="15"/>
      <c r="O64" s="15"/>
      <c r="P64" s="13"/>
      <c r="Q64" s="13"/>
      <c r="R64" s="13"/>
      <c r="S64" s="13"/>
      <c r="T64" s="13"/>
      <c r="U64" s="13"/>
      <c r="V64" s="13"/>
      <c r="W64" s="13"/>
      <c r="X64" s="113"/>
      <c r="Y64" s="64"/>
      <c r="Z64" s="103"/>
      <c r="AA64" s="13"/>
    </row>
    <row r="65" spans="1:27" x14ac:dyDescent="0.3">
      <c r="A65" s="75" t="str">
        <f>IF(QUALIDOC[[#This Row],[Data Monitoria]]="","",((((WEEKNUM(B65)-WEEKNUM(DATE(YEAR(B65),MONTH(B65),1))+1)))))</f>
        <v/>
      </c>
      <c r="B65" s="12"/>
      <c r="C65" s="34"/>
      <c r="D65" s="13"/>
      <c r="E65" s="13"/>
      <c r="F65" s="75"/>
      <c r="G65" s="12"/>
      <c r="H65" s="75"/>
      <c r="I65" s="13"/>
      <c r="J65" s="38"/>
      <c r="K65" s="40"/>
      <c r="L65" s="51"/>
      <c r="M65" s="13"/>
      <c r="N65" s="15"/>
      <c r="O65" s="15"/>
      <c r="P65" s="13"/>
      <c r="Q65" s="13"/>
      <c r="R65" s="13"/>
      <c r="S65" s="13"/>
      <c r="T65" s="13"/>
      <c r="U65" s="13"/>
      <c r="V65" s="13"/>
      <c r="W65" s="13"/>
      <c r="X65" s="113"/>
      <c r="Y65" s="64"/>
      <c r="Z65" s="103"/>
      <c r="AA65" s="13"/>
    </row>
    <row r="66" spans="1:27" x14ac:dyDescent="0.3">
      <c r="A66" s="75" t="str">
        <f>IF(QUALIDOC[[#This Row],[Data Monitoria]]="","",((((WEEKNUM(B66)-WEEKNUM(DATE(YEAR(B66),MONTH(B66),1))+1)))))</f>
        <v/>
      </c>
      <c r="B66" s="12"/>
      <c r="C66" s="34"/>
      <c r="D66" s="13"/>
      <c r="E66" s="13"/>
      <c r="F66" s="75"/>
      <c r="G66" s="12"/>
      <c r="H66" s="75"/>
      <c r="I66" s="13"/>
      <c r="J66" s="38"/>
      <c r="K66" s="40"/>
      <c r="L66" s="51"/>
      <c r="M66" s="13"/>
      <c r="N66" s="15"/>
      <c r="O66" s="15"/>
      <c r="P66" s="13"/>
      <c r="Q66" s="13"/>
      <c r="R66" s="13"/>
      <c r="S66" s="13"/>
      <c r="T66" s="13"/>
      <c r="U66" s="13"/>
      <c r="V66" s="13"/>
      <c r="W66" s="13"/>
      <c r="X66" s="113"/>
      <c r="Y66" s="64"/>
      <c r="Z66" s="103"/>
      <c r="AA66" s="13"/>
    </row>
    <row r="67" spans="1:27" x14ac:dyDescent="0.3">
      <c r="A67" s="75" t="str">
        <f>IF(QUALIDOC[[#This Row],[Data Monitoria]]="","",((((WEEKNUM(B67)-WEEKNUM(DATE(YEAR(B67),MONTH(B67),1))+1)))))</f>
        <v/>
      </c>
      <c r="B67" s="12"/>
      <c r="C67" s="34"/>
      <c r="D67" s="13"/>
      <c r="E67" s="13"/>
      <c r="F67" s="75"/>
      <c r="G67" s="12"/>
      <c r="H67" s="75"/>
      <c r="I67" s="13"/>
      <c r="J67" s="38"/>
      <c r="K67" s="40"/>
      <c r="L67" s="51"/>
      <c r="M67" s="13"/>
      <c r="N67" s="15"/>
      <c r="O67" s="15"/>
      <c r="P67" s="13"/>
      <c r="Q67" s="13"/>
      <c r="R67" s="13"/>
      <c r="S67" s="13"/>
      <c r="T67" s="13"/>
      <c r="U67" s="13"/>
      <c r="V67" s="13"/>
      <c r="W67" s="13"/>
      <c r="X67" s="113"/>
      <c r="Y67" s="64"/>
      <c r="Z67" s="103"/>
      <c r="AA67" s="13"/>
    </row>
    <row r="68" spans="1:27" x14ac:dyDescent="0.3">
      <c r="A68" s="75" t="str">
        <f>IF(QUALIDOC[[#This Row],[Data Monitoria]]="","",((((WEEKNUM(B68)-WEEKNUM(DATE(YEAR(B68),MONTH(B68),1))+1)))))</f>
        <v/>
      </c>
      <c r="B68" s="12"/>
      <c r="C68" s="34"/>
      <c r="D68" s="13"/>
      <c r="E68" s="13"/>
      <c r="F68" s="75"/>
      <c r="G68" s="12"/>
      <c r="H68" s="75"/>
      <c r="I68" s="13"/>
      <c r="J68" s="38"/>
      <c r="K68" s="40"/>
      <c r="L68" s="51"/>
      <c r="M68" s="13"/>
      <c r="N68" s="15"/>
      <c r="O68" s="15"/>
      <c r="P68" s="13"/>
      <c r="Q68" s="13"/>
      <c r="R68" s="13"/>
      <c r="S68" s="13"/>
      <c r="T68" s="13"/>
      <c r="U68" s="13"/>
      <c r="V68" s="13"/>
      <c r="W68" s="13"/>
      <c r="X68" s="113"/>
      <c r="Y68" s="64"/>
      <c r="Z68" s="103"/>
      <c r="AA68" s="13"/>
    </row>
    <row r="69" spans="1:27" x14ac:dyDescent="0.3">
      <c r="A69" s="75" t="str">
        <f>IF(QUALIDOC[[#This Row],[Data Monitoria]]="","",((((WEEKNUM(B69)-WEEKNUM(DATE(YEAR(B69),MONTH(B69),1))+1)))))</f>
        <v/>
      </c>
      <c r="B69" s="12"/>
      <c r="C69" s="34"/>
      <c r="D69" s="13"/>
      <c r="E69" s="13"/>
      <c r="F69" s="75"/>
      <c r="G69" s="12"/>
      <c r="H69" s="75"/>
      <c r="I69" s="13"/>
      <c r="J69" s="38"/>
      <c r="K69" s="40"/>
      <c r="L69" s="51"/>
      <c r="M69" s="13"/>
      <c r="N69" s="15"/>
      <c r="O69" s="15"/>
      <c r="P69" s="13"/>
      <c r="Q69" s="13"/>
      <c r="R69" s="13"/>
      <c r="S69" s="13"/>
      <c r="T69" s="13"/>
      <c r="U69" s="13"/>
      <c r="V69" s="13"/>
      <c r="W69" s="13"/>
      <c r="X69" s="113"/>
      <c r="Y69" s="64"/>
      <c r="Z69" s="103"/>
      <c r="AA69" s="13"/>
    </row>
    <row r="70" spans="1:27" x14ac:dyDescent="0.3">
      <c r="A70" s="75" t="str">
        <f>IF(QUALIDOC[[#This Row],[Data Monitoria]]="","",((((WEEKNUM(B70)-WEEKNUM(DATE(YEAR(B70),MONTH(B70),1))+1)))))</f>
        <v/>
      </c>
      <c r="B70" s="12"/>
      <c r="C70" s="34"/>
      <c r="D70" s="13"/>
      <c r="E70" s="13"/>
      <c r="F70" s="75"/>
      <c r="G70" s="12"/>
      <c r="H70" s="75"/>
      <c r="I70" s="13"/>
      <c r="J70" s="38"/>
      <c r="K70" s="40"/>
      <c r="L70" s="51"/>
      <c r="M70" s="13"/>
      <c r="N70" s="15"/>
      <c r="O70" s="15"/>
      <c r="P70" s="13"/>
      <c r="Q70" s="13"/>
      <c r="R70" s="13"/>
      <c r="S70" s="13"/>
      <c r="T70" s="13"/>
      <c r="U70" s="13"/>
      <c r="V70" s="13"/>
      <c r="W70" s="13"/>
      <c r="X70" s="113"/>
      <c r="Y70" s="64"/>
      <c r="Z70" s="103"/>
      <c r="AA70" s="13"/>
    </row>
    <row r="71" spans="1:27" x14ac:dyDescent="0.3">
      <c r="A71" s="75" t="str">
        <f>IF(QUALIDOC[[#This Row],[Data Monitoria]]="","",((((WEEKNUM(B71)-WEEKNUM(DATE(YEAR(B71),MONTH(B71),1))+1)))))</f>
        <v/>
      </c>
      <c r="B71" s="88"/>
      <c r="C71" s="122"/>
      <c r="D71" s="22"/>
      <c r="E71" s="22"/>
      <c r="F71" s="75"/>
      <c r="G71" s="12"/>
      <c r="H71" s="75"/>
      <c r="I71" s="13"/>
      <c r="J71" s="38"/>
      <c r="K71" s="40"/>
      <c r="L71" s="51"/>
      <c r="M71" s="13"/>
      <c r="N71" s="15"/>
      <c r="O71" s="15"/>
      <c r="P71" s="13"/>
      <c r="Q71" s="13"/>
      <c r="R71" s="13"/>
      <c r="S71" s="13"/>
      <c r="T71" s="13"/>
      <c r="U71" s="13"/>
      <c r="V71" s="13"/>
      <c r="W71" s="13"/>
      <c r="X71" s="113"/>
      <c r="Y71" s="64"/>
      <c r="Z71" s="103"/>
      <c r="AA71" s="13"/>
    </row>
    <row r="72" spans="1:27" x14ac:dyDescent="0.3">
      <c r="A72" s="75" t="str">
        <f>IF(QUALIDOC[[#This Row],[Data Monitoria]]="","",((((WEEKNUM(B72)-WEEKNUM(DATE(YEAR(B72),MONTH(B72),1))+1)))))</f>
        <v/>
      </c>
      <c r="B72" s="13"/>
      <c r="C72" s="34"/>
      <c r="D72" s="13"/>
      <c r="E72" s="13"/>
      <c r="F72" s="75"/>
      <c r="G72" s="12"/>
      <c r="H72" s="75"/>
      <c r="I72" s="13"/>
      <c r="J72" s="38"/>
      <c r="K72" s="40"/>
      <c r="L72" s="51"/>
      <c r="M72" s="13"/>
      <c r="N72" s="15"/>
      <c r="O72" s="15"/>
      <c r="P72" s="13"/>
      <c r="Q72" s="13"/>
      <c r="R72" s="13"/>
      <c r="S72" s="13"/>
      <c r="T72" s="13"/>
      <c r="U72" s="13"/>
      <c r="V72" s="13"/>
      <c r="W72" s="13"/>
      <c r="X72" s="113"/>
      <c r="Y72" s="64"/>
      <c r="Z72" s="103"/>
      <c r="AA72" s="13"/>
    </row>
    <row r="73" spans="1:27" x14ac:dyDescent="0.3">
      <c r="A73" s="75" t="str">
        <f>IF(QUALIDOC[[#This Row],[Data Monitoria]]="","",((((WEEKNUM(B73)-WEEKNUM(DATE(YEAR(B73),MONTH(B73),1))+1)))))</f>
        <v/>
      </c>
      <c r="B73" s="13"/>
      <c r="C73" s="34"/>
      <c r="D73" s="13"/>
      <c r="E73" s="13"/>
      <c r="F73" s="75"/>
      <c r="G73" s="12"/>
      <c r="H73" s="75"/>
      <c r="I73" s="13"/>
      <c r="J73" s="38"/>
      <c r="K73" s="40"/>
      <c r="L73" s="51"/>
      <c r="M73" s="13"/>
      <c r="N73" s="15"/>
      <c r="O73" s="15"/>
      <c r="P73" s="13"/>
      <c r="Q73" s="13"/>
      <c r="R73" s="13"/>
      <c r="S73" s="13"/>
      <c r="T73" s="13"/>
      <c r="U73" s="13"/>
      <c r="V73" s="13"/>
      <c r="W73" s="13"/>
      <c r="X73" s="113"/>
      <c r="Y73" s="64"/>
      <c r="Z73" s="103"/>
      <c r="AA73" s="13"/>
    </row>
    <row r="74" spans="1:27" x14ac:dyDescent="0.3">
      <c r="A74" s="75" t="str">
        <f>IF(QUALIDOC[[#This Row],[Data Monitoria]]="","",((((WEEKNUM(B74)-WEEKNUM(DATE(YEAR(B74),MONTH(B74),1))+1)))))</f>
        <v/>
      </c>
      <c r="B74" s="13"/>
      <c r="C74" s="34"/>
      <c r="D74" s="13"/>
      <c r="E74" s="13"/>
      <c r="F74" s="75"/>
      <c r="G74" s="12"/>
      <c r="H74" s="75"/>
      <c r="I74" s="13"/>
      <c r="J74" s="38"/>
      <c r="K74" s="40"/>
      <c r="L74" s="51"/>
      <c r="M74" s="13"/>
      <c r="N74" s="15"/>
      <c r="O74" s="15"/>
      <c r="P74" s="13"/>
      <c r="Q74" s="13"/>
      <c r="R74" s="13"/>
      <c r="S74" s="13"/>
      <c r="T74" s="13"/>
      <c r="U74" s="13"/>
      <c r="V74" s="13"/>
      <c r="W74" s="13"/>
      <c r="X74" s="113"/>
      <c r="Y74" s="64"/>
      <c r="Z74" s="103"/>
      <c r="AA74" s="13"/>
    </row>
    <row r="75" spans="1:27" x14ac:dyDescent="0.3">
      <c r="A75" s="75" t="str">
        <f>IF(QUALIDOC[[#This Row],[Data Monitoria]]="","",((((WEEKNUM(B75)-WEEKNUM(DATE(YEAR(B75),MONTH(B75),1))+1)))))</f>
        <v/>
      </c>
      <c r="B75" s="13"/>
      <c r="C75" s="34"/>
      <c r="D75" s="13"/>
      <c r="E75" s="13"/>
      <c r="F75" s="75"/>
      <c r="G75" s="12"/>
      <c r="H75" s="75"/>
      <c r="I75" s="13"/>
      <c r="J75" s="38"/>
      <c r="K75" s="40"/>
      <c r="L75" s="51"/>
      <c r="M75" s="13"/>
      <c r="N75" s="15"/>
      <c r="O75" s="15"/>
      <c r="P75" s="13"/>
      <c r="Q75" s="13"/>
      <c r="R75" s="13"/>
      <c r="S75" s="13"/>
      <c r="T75" s="13"/>
      <c r="U75" s="13"/>
      <c r="V75" s="13"/>
      <c r="W75" s="13"/>
      <c r="X75" s="113"/>
      <c r="Y75" s="64"/>
      <c r="Z75" s="103"/>
      <c r="AA75" s="13"/>
    </row>
    <row r="76" spans="1:27" x14ac:dyDescent="0.3">
      <c r="A76" s="75" t="str">
        <f>IF(QUALIDOC[[#This Row],[Data Monitoria]]="","",((((WEEKNUM(B76)-WEEKNUM(DATE(YEAR(B76),MONTH(B76),1))+1)))))</f>
        <v/>
      </c>
      <c r="B76" s="13"/>
      <c r="C76" s="34"/>
      <c r="D76" s="13"/>
      <c r="E76" s="13"/>
      <c r="F76" s="13" t="str">
        <f>IF(QUALIDOC[[#This Row],[Produtos]]="","",((VLOOKUP(E76,'TAB PROD'!B:D,3,))))</f>
        <v/>
      </c>
      <c r="G76" s="13" t="str">
        <f>IF(QUALIDOC[[#This Row],[Produtos]]="","",((VLOOKUP(E76,'TAB PROD'!B:C,2,))))</f>
        <v/>
      </c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14" t="str">
        <f>IF(QUALIDOC[[#This Row],[Abertura de chamado]]="","",NETWORKDAYS(QUALIDOC[[#This Row],[Abertura de chamado]],U$6))</f>
        <v/>
      </c>
      <c r="V76" s="13"/>
      <c r="W76" s="13"/>
    </row>
  </sheetData>
  <mergeCells count="2">
    <mergeCell ref="A8:P8"/>
    <mergeCell ref="Q8:W8"/>
  </mergeCells>
  <dataValidations count="3">
    <dataValidation type="list" allowBlank="1" showInputMessage="1" showErrorMessage="1" sqref="Q10:S75" xr:uid="{66D60336-9904-4CB3-ADFC-4F69596CB1F4}">
      <formula1>"Sim,Não"</formula1>
    </dataValidation>
    <dataValidation type="list" allowBlank="1" showInputMessage="1" showErrorMessage="1" sqref="K76 P10:P75" xr:uid="{5DE00246-1362-47B4-B157-1658ABC2C1C6}">
      <formula1>"Legado,Novo"</formula1>
    </dataValidation>
    <dataValidation type="list" allowBlank="1" showInputMessage="1" showErrorMessage="1" sqref="D10:D76 I10:I75" xr:uid="{3BF85B15-463F-428C-BB08-0FF66ECF51EE}">
      <formula1>"Sim, 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76:G76" calculatedColumn="1"/>
  </ignoredErrors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C801D-9CD3-4BE3-BF0A-D1C55C202901}">
  <sheetPr codeName="Planilha8"/>
  <dimension ref="A5:W79"/>
  <sheetViews>
    <sheetView showGridLines="0" zoomScale="70" zoomScaleNormal="70" workbookViewId="0">
      <selection activeCell="C17" sqref="C17"/>
    </sheetView>
  </sheetViews>
  <sheetFormatPr defaultRowHeight="14.4" x14ac:dyDescent="0.3"/>
  <cols>
    <col min="1" max="1" width="22.88671875" style="2" bestFit="1" customWidth="1"/>
    <col min="2" max="2" width="18.109375" bestFit="1" customWidth="1"/>
    <col min="3" max="3" width="23" bestFit="1" customWidth="1"/>
    <col min="4" max="4" width="13.44140625" customWidth="1"/>
    <col min="5" max="5" width="59.33203125" style="18" bestFit="1" customWidth="1"/>
    <col min="6" max="6" width="15.88671875" bestFit="1" customWidth="1"/>
    <col min="7" max="7" width="17.44140625" bestFit="1" customWidth="1"/>
    <col min="8" max="8" width="38.88671875" bestFit="1" customWidth="1"/>
    <col min="9" max="9" width="27.88671875" bestFit="1" customWidth="1"/>
    <col min="10" max="10" width="13.44140625" bestFit="1" customWidth="1"/>
    <col min="11" max="11" width="17.6640625" bestFit="1" customWidth="1"/>
    <col min="12" max="12" width="10.33203125" bestFit="1" customWidth="1"/>
    <col min="13" max="13" width="12" bestFit="1" customWidth="1"/>
    <col min="14" max="14" width="12" customWidth="1"/>
    <col min="15" max="15" width="54.6640625" bestFit="1" customWidth="1"/>
    <col min="16" max="16" width="31" bestFit="1" customWidth="1"/>
    <col min="17" max="17" width="16" bestFit="1" customWidth="1"/>
    <col min="18" max="18" width="20.109375" bestFit="1" customWidth="1"/>
    <col min="19" max="19" width="30" bestFit="1" customWidth="1"/>
    <col min="20" max="20" width="25.44140625" bestFit="1" customWidth="1"/>
    <col min="21" max="21" width="13" bestFit="1" customWidth="1"/>
    <col min="22" max="22" width="25.6640625" bestFit="1" customWidth="1"/>
    <col min="23" max="23" width="8" bestFit="1" customWidth="1"/>
  </cols>
  <sheetData>
    <row r="5" spans="1:23" x14ac:dyDescent="0.3">
      <c r="T5" s="66"/>
    </row>
    <row r="6" spans="1:23" x14ac:dyDescent="0.3">
      <c r="U6" s="17">
        <f ca="1">TODAY()</f>
        <v>44543</v>
      </c>
    </row>
    <row r="7" spans="1:23" s="8" customFormat="1" ht="3.75" customHeight="1" thickBot="1" x14ac:dyDescent="0.35">
      <c r="A7" s="9"/>
      <c r="E7" s="20"/>
    </row>
    <row r="8" spans="1:23" ht="15" thickBot="1" x14ac:dyDescent="0.35">
      <c r="A8" s="123" t="s">
        <v>62</v>
      </c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4"/>
      <c r="Q8" s="125" t="s">
        <v>63</v>
      </c>
      <c r="R8" s="126"/>
      <c r="S8" s="126"/>
      <c r="T8" s="126"/>
      <c r="U8" s="126"/>
      <c r="V8" s="126"/>
      <c r="W8" s="126"/>
    </row>
    <row r="9" spans="1:23" ht="28.8" x14ac:dyDescent="0.3">
      <c r="A9" s="77" t="s">
        <v>1</v>
      </c>
      <c r="B9" s="78" t="s">
        <v>2</v>
      </c>
      <c r="C9" s="79" t="s">
        <v>3</v>
      </c>
      <c r="D9" s="79" t="s">
        <v>4</v>
      </c>
      <c r="E9" s="80" t="s">
        <v>5</v>
      </c>
      <c r="F9" s="81" t="s">
        <v>64</v>
      </c>
      <c r="G9" s="80" t="s">
        <v>6</v>
      </c>
      <c r="H9" s="82" t="s">
        <v>7</v>
      </c>
      <c r="I9" s="83" t="s">
        <v>8</v>
      </c>
      <c r="J9" s="84" t="s">
        <v>9</v>
      </c>
      <c r="K9" s="85" t="s">
        <v>10</v>
      </c>
      <c r="L9" s="79" t="s">
        <v>11</v>
      </c>
      <c r="M9" s="79" t="s">
        <v>12</v>
      </c>
      <c r="N9" s="79" t="s">
        <v>13</v>
      </c>
      <c r="O9" s="79" t="s">
        <v>14</v>
      </c>
      <c r="P9" s="79" t="s">
        <v>15</v>
      </c>
      <c r="Q9" s="79" t="s">
        <v>16</v>
      </c>
      <c r="R9" s="79" t="s">
        <v>17</v>
      </c>
      <c r="S9" s="79" t="s">
        <v>18</v>
      </c>
      <c r="T9" s="81" t="s">
        <v>19</v>
      </c>
      <c r="U9" s="86" t="s">
        <v>20</v>
      </c>
      <c r="V9" s="79" t="s">
        <v>21</v>
      </c>
      <c r="W9" s="77" t="s">
        <v>0</v>
      </c>
    </row>
    <row r="10" spans="1:23" x14ac:dyDescent="0.3">
      <c r="A10" s="75"/>
      <c r="B10" s="12"/>
      <c r="C10" s="75"/>
      <c r="D10" s="13"/>
      <c r="E10" s="38"/>
      <c r="F10" s="40"/>
      <c r="G10" s="51"/>
      <c r="H10" s="13"/>
      <c r="I10" s="15"/>
      <c r="J10" s="15"/>
      <c r="K10" s="13"/>
      <c r="L10" s="13"/>
      <c r="M10" s="13"/>
      <c r="N10" s="13"/>
      <c r="O10" s="13"/>
      <c r="P10" s="13"/>
      <c r="Q10" s="13"/>
      <c r="R10" s="13"/>
      <c r="S10" s="113"/>
      <c r="T10" s="64"/>
      <c r="U10" s="103"/>
      <c r="V10" s="13"/>
      <c r="W10" s="75" t="s">
        <v>49</v>
      </c>
    </row>
    <row r="11" spans="1:23" x14ac:dyDescent="0.3">
      <c r="A11" s="75"/>
      <c r="B11" s="12"/>
      <c r="C11" s="75"/>
      <c r="D11" s="13"/>
      <c r="E11" s="38"/>
      <c r="F11" s="40"/>
      <c r="G11" s="51"/>
      <c r="H11" s="13"/>
      <c r="I11" s="15"/>
      <c r="J11" s="15"/>
      <c r="K11" s="13"/>
      <c r="L11" s="13"/>
      <c r="M11" s="13"/>
      <c r="N11" s="13"/>
      <c r="O11" s="13"/>
      <c r="P11" s="13"/>
      <c r="Q11" s="13"/>
      <c r="R11" s="13"/>
      <c r="S11" s="113"/>
      <c r="T11" s="64"/>
      <c r="U11" s="103"/>
      <c r="V11" s="13"/>
      <c r="W11" s="75" t="s">
        <v>49</v>
      </c>
    </row>
    <row r="12" spans="1:23" x14ac:dyDescent="0.3">
      <c r="A12" s="75"/>
      <c r="B12" s="12"/>
      <c r="C12" s="75"/>
      <c r="D12" s="13"/>
      <c r="E12" s="38"/>
      <c r="F12" s="40"/>
      <c r="G12" s="51"/>
      <c r="H12" s="13"/>
      <c r="I12" s="15"/>
      <c r="J12" s="15"/>
      <c r="K12" s="13"/>
      <c r="L12" s="13"/>
      <c r="M12" s="13"/>
      <c r="N12" s="13"/>
      <c r="O12" s="13"/>
      <c r="P12" s="13"/>
      <c r="Q12" s="13"/>
      <c r="R12" s="13"/>
      <c r="S12" s="113"/>
      <c r="T12" s="64"/>
      <c r="U12" s="103"/>
      <c r="V12" s="13"/>
      <c r="W12" s="75" t="s">
        <v>49</v>
      </c>
    </row>
    <row r="13" spans="1:23" x14ac:dyDescent="0.3">
      <c r="A13" s="75"/>
      <c r="B13" s="12"/>
      <c r="C13" s="75"/>
      <c r="D13" s="13"/>
      <c r="E13" s="38"/>
      <c r="F13" s="40"/>
      <c r="G13" s="51"/>
      <c r="H13" s="13"/>
      <c r="I13" s="15"/>
      <c r="J13" s="15"/>
      <c r="K13" s="13"/>
      <c r="L13" s="13"/>
      <c r="M13" s="13"/>
      <c r="N13" s="13"/>
      <c r="O13" s="13"/>
      <c r="P13" s="13"/>
      <c r="Q13" s="13"/>
      <c r="R13" s="13"/>
      <c r="S13" s="113"/>
      <c r="T13" s="64"/>
      <c r="U13" s="103"/>
      <c r="V13" s="13"/>
      <c r="W13" s="75" t="s">
        <v>49</v>
      </c>
    </row>
    <row r="14" spans="1:23" x14ac:dyDescent="0.3">
      <c r="A14" s="75"/>
      <c r="B14" s="12"/>
      <c r="C14" s="75"/>
      <c r="D14" s="13"/>
      <c r="E14" s="38"/>
      <c r="F14" s="40"/>
      <c r="G14" s="51"/>
      <c r="H14" s="13"/>
      <c r="I14" s="15"/>
      <c r="J14" s="15"/>
      <c r="K14" s="13"/>
      <c r="L14" s="13"/>
      <c r="M14" s="13"/>
      <c r="N14" s="13"/>
      <c r="O14" s="13"/>
      <c r="P14" s="13"/>
      <c r="Q14" s="13"/>
      <c r="R14" s="13"/>
      <c r="S14" s="113"/>
      <c r="T14" s="64"/>
      <c r="U14" s="103"/>
      <c r="V14" s="13"/>
      <c r="W14" s="75" t="s">
        <v>49</v>
      </c>
    </row>
    <row r="15" spans="1:23" x14ac:dyDescent="0.3">
      <c r="A15" s="75"/>
      <c r="B15" s="12"/>
      <c r="C15" s="75"/>
      <c r="D15" s="13"/>
      <c r="E15" s="38"/>
      <c r="F15" s="40"/>
      <c r="G15" s="51"/>
      <c r="H15" s="13"/>
      <c r="I15" s="15"/>
      <c r="J15" s="15"/>
      <c r="K15" s="13"/>
      <c r="L15" s="13"/>
      <c r="M15" s="13"/>
      <c r="N15" s="13"/>
      <c r="O15" s="13"/>
      <c r="P15" s="13"/>
      <c r="Q15" s="13"/>
      <c r="R15" s="13"/>
      <c r="S15" s="113"/>
      <c r="T15" s="64"/>
      <c r="U15" s="103"/>
      <c r="V15" s="13"/>
      <c r="W15" s="75" t="s">
        <v>49</v>
      </c>
    </row>
    <row r="16" spans="1:23" x14ac:dyDescent="0.3">
      <c r="A16" s="75"/>
      <c r="B16" s="12"/>
      <c r="C16" s="75"/>
      <c r="D16" s="13"/>
      <c r="E16" s="38"/>
      <c r="F16" s="40"/>
      <c r="G16" s="51"/>
      <c r="H16" s="13"/>
      <c r="I16" s="15"/>
      <c r="J16" s="15"/>
      <c r="K16" s="13"/>
      <c r="L16" s="13"/>
      <c r="M16" s="13"/>
      <c r="N16" s="13"/>
      <c r="O16" s="13"/>
      <c r="P16" s="13"/>
      <c r="Q16" s="13"/>
      <c r="R16" s="13"/>
      <c r="S16" s="113"/>
      <c r="T16" s="64"/>
      <c r="U16" s="103"/>
      <c r="V16" s="13"/>
      <c r="W16" s="75" t="s">
        <v>49</v>
      </c>
    </row>
    <row r="17" spans="1:23" x14ac:dyDescent="0.3">
      <c r="A17" s="75"/>
      <c r="B17" s="12"/>
      <c r="C17" s="75"/>
      <c r="D17" s="13"/>
      <c r="E17" s="38"/>
      <c r="F17" s="40"/>
      <c r="G17" s="51"/>
      <c r="H17" s="13"/>
      <c r="I17" s="15"/>
      <c r="J17" s="15"/>
      <c r="K17" s="13"/>
      <c r="L17" s="13"/>
      <c r="M17" s="13"/>
      <c r="N17" s="13"/>
      <c r="O17" s="13"/>
      <c r="P17" s="13"/>
      <c r="Q17" s="13"/>
      <c r="R17" s="13"/>
      <c r="S17" s="113"/>
      <c r="T17" s="64"/>
      <c r="U17" s="103"/>
      <c r="V17" s="13"/>
      <c r="W17" s="75" t="s">
        <v>49</v>
      </c>
    </row>
    <row r="18" spans="1:23" x14ac:dyDescent="0.3">
      <c r="A18" s="75"/>
      <c r="B18" s="12"/>
      <c r="C18" s="75"/>
      <c r="D18" s="13"/>
      <c r="E18" s="38"/>
      <c r="F18" s="40"/>
      <c r="G18" s="51"/>
      <c r="H18" s="13"/>
      <c r="I18" s="15"/>
      <c r="J18" s="15"/>
      <c r="K18" s="13"/>
      <c r="L18" s="13"/>
      <c r="M18" s="13"/>
      <c r="N18" s="13"/>
      <c r="O18" s="13"/>
      <c r="P18" s="13"/>
      <c r="Q18" s="13"/>
      <c r="R18" s="13"/>
      <c r="S18" s="113"/>
      <c r="T18" s="64"/>
      <c r="U18" s="103"/>
      <c r="V18" s="13"/>
      <c r="W18" s="75" t="s">
        <v>49</v>
      </c>
    </row>
    <row r="19" spans="1:23" x14ac:dyDescent="0.3">
      <c r="A19" s="75"/>
      <c r="B19" s="12"/>
      <c r="C19" s="75"/>
      <c r="D19" s="13"/>
      <c r="E19" s="38"/>
      <c r="F19" s="40"/>
      <c r="G19" s="51"/>
      <c r="H19" s="13"/>
      <c r="I19" s="15"/>
      <c r="J19" s="15"/>
      <c r="K19" s="13"/>
      <c r="L19" s="13"/>
      <c r="M19" s="13"/>
      <c r="N19" s="13"/>
      <c r="O19" s="13"/>
      <c r="P19" s="13"/>
      <c r="Q19" s="13"/>
      <c r="R19" s="13"/>
      <c r="S19" s="113"/>
      <c r="T19" s="64"/>
      <c r="U19" s="103"/>
      <c r="V19" s="13"/>
      <c r="W19" s="75" t="s">
        <v>49</v>
      </c>
    </row>
    <row r="20" spans="1:23" x14ac:dyDescent="0.3">
      <c r="A20" s="75"/>
      <c r="B20" s="12"/>
      <c r="C20" s="75"/>
      <c r="D20" s="13"/>
      <c r="E20" s="38"/>
      <c r="F20" s="40"/>
      <c r="G20" s="51"/>
      <c r="H20" s="13"/>
      <c r="I20" s="15"/>
      <c r="J20" s="15"/>
      <c r="K20" s="13"/>
      <c r="L20" s="13"/>
      <c r="M20" s="13"/>
      <c r="N20" s="13"/>
      <c r="O20" s="13"/>
      <c r="P20" s="13"/>
      <c r="Q20" s="13"/>
      <c r="R20" s="13"/>
      <c r="S20" s="113"/>
      <c r="T20" s="64"/>
      <c r="U20" s="103"/>
      <c r="V20" s="13"/>
      <c r="W20" s="75" t="s">
        <v>49</v>
      </c>
    </row>
    <row r="21" spans="1:23" x14ac:dyDescent="0.3">
      <c r="A21" s="75"/>
      <c r="B21" s="12"/>
      <c r="C21" s="75"/>
      <c r="D21" s="13"/>
      <c r="E21" s="38"/>
      <c r="F21" s="40"/>
      <c r="G21" s="51"/>
      <c r="H21" s="13"/>
      <c r="I21" s="15"/>
      <c r="J21" s="15"/>
      <c r="K21" s="13"/>
      <c r="L21" s="13"/>
      <c r="M21" s="13"/>
      <c r="N21" s="13"/>
      <c r="O21" s="13"/>
      <c r="P21" s="13"/>
      <c r="Q21" s="13"/>
      <c r="R21" s="13"/>
      <c r="S21" s="113"/>
      <c r="T21" s="64"/>
      <c r="U21" s="103"/>
      <c r="V21" s="13"/>
      <c r="W21" s="75" t="s">
        <v>49</v>
      </c>
    </row>
    <row r="22" spans="1:23" x14ac:dyDescent="0.3">
      <c r="A22" s="75"/>
      <c r="B22" s="12"/>
      <c r="C22" s="75"/>
      <c r="D22" s="13"/>
      <c r="E22" s="38"/>
      <c r="F22" s="40"/>
      <c r="G22" s="51"/>
      <c r="H22" s="13"/>
      <c r="I22" s="15"/>
      <c r="J22" s="15"/>
      <c r="K22" s="13"/>
      <c r="L22" s="13"/>
      <c r="M22" s="13"/>
      <c r="N22" s="13"/>
      <c r="O22" s="13"/>
      <c r="P22" s="13"/>
      <c r="Q22" s="13"/>
      <c r="R22" s="13"/>
      <c r="S22" s="113"/>
      <c r="T22" s="64"/>
      <c r="U22" s="103"/>
      <c r="V22" s="13"/>
      <c r="W22" s="75" t="s">
        <v>49</v>
      </c>
    </row>
    <row r="23" spans="1:23" x14ac:dyDescent="0.3">
      <c r="A23" s="75"/>
      <c r="B23" s="12"/>
      <c r="C23" s="75"/>
      <c r="D23" s="13"/>
      <c r="E23" s="38"/>
      <c r="F23" s="40"/>
      <c r="G23" s="51"/>
      <c r="H23" s="13"/>
      <c r="I23" s="15"/>
      <c r="J23" s="15"/>
      <c r="K23" s="13"/>
      <c r="L23" s="13"/>
      <c r="M23" s="13"/>
      <c r="N23" s="13"/>
      <c r="O23" s="13"/>
      <c r="P23" s="13"/>
      <c r="Q23" s="13"/>
      <c r="R23" s="13"/>
      <c r="S23" s="113"/>
      <c r="T23" s="64"/>
      <c r="U23" s="103"/>
      <c r="V23" s="13"/>
      <c r="W23" s="75" t="s">
        <v>49</v>
      </c>
    </row>
    <row r="24" spans="1:23" x14ac:dyDescent="0.3">
      <c r="A24" s="75"/>
      <c r="B24" s="12"/>
      <c r="C24" s="75"/>
      <c r="D24" s="13"/>
      <c r="E24" s="38"/>
      <c r="F24" s="40"/>
      <c r="G24" s="51"/>
      <c r="H24" s="13"/>
      <c r="I24" s="15"/>
      <c r="J24" s="15"/>
      <c r="K24" s="13"/>
      <c r="L24" s="13"/>
      <c r="M24" s="13"/>
      <c r="N24" s="13"/>
      <c r="O24" s="13"/>
      <c r="P24" s="13"/>
      <c r="Q24" s="13"/>
      <c r="R24" s="13"/>
      <c r="S24" s="113"/>
      <c r="T24" s="64"/>
      <c r="U24" s="103"/>
      <c r="V24" s="13"/>
      <c r="W24" s="75" t="s">
        <v>49</v>
      </c>
    </row>
    <row r="25" spans="1:23" x14ac:dyDescent="0.3">
      <c r="A25" s="75"/>
      <c r="B25" s="12"/>
      <c r="C25" s="75"/>
      <c r="D25" s="13"/>
      <c r="E25" s="38"/>
      <c r="F25" s="40"/>
      <c r="G25" s="51"/>
      <c r="H25" s="13"/>
      <c r="I25" s="15"/>
      <c r="J25" s="15"/>
      <c r="K25" s="13"/>
      <c r="L25" s="13"/>
      <c r="M25" s="13"/>
      <c r="N25" s="13"/>
      <c r="O25" s="13"/>
      <c r="P25" s="13"/>
      <c r="Q25" s="13"/>
      <c r="R25" s="13"/>
      <c r="S25" s="113"/>
      <c r="T25" s="64"/>
      <c r="U25" s="103"/>
      <c r="V25" s="13"/>
      <c r="W25" s="75" t="s">
        <v>49</v>
      </c>
    </row>
    <row r="26" spans="1:23" x14ac:dyDescent="0.3">
      <c r="A26" s="75"/>
      <c r="B26" s="12"/>
      <c r="C26" s="75"/>
      <c r="D26" s="13"/>
      <c r="E26" s="38"/>
      <c r="F26" s="40"/>
      <c r="G26" s="51"/>
      <c r="H26" s="13"/>
      <c r="I26" s="15"/>
      <c r="J26" s="15"/>
      <c r="K26" s="13"/>
      <c r="L26" s="13"/>
      <c r="M26" s="13"/>
      <c r="N26" s="13"/>
      <c r="O26" s="13"/>
      <c r="P26" s="13"/>
      <c r="Q26" s="13"/>
      <c r="R26" s="13"/>
      <c r="S26" s="113"/>
      <c r="T26" s="64"/>
      <c r="U26" s="103"/>
      <c r="V26" s="13"/>
      <c r="W26" s="75" t="s">
        <v>49</v>
      </c>
    </row>
    <row r="27" spans="1:23" x14ac:dyDescent="0.3">
      <c r="A27" s="75"/>
      <c r="B27" s="12"/>
      <c r="C27" s="75"/>
      <c r="D27" s="13"/>
      <c r="E27" s="38"/>
      <c r="F27" s="40"/>
      <c r="G27" s="51"/>
      <c r="H27" s="13"/>
      <c r="I27" s="15"/>
      <c r="J27" s="15"/>
      <c r="K27" s="13"/>
      <c r="L27" s="13"/>
      <c r="M27" s="13"/>
      <c r="N27" s="13"/>
      <c r="O27" s="13"/>
      <c r="P27" s="13"/>
      <c r="Q27" s="13"/>
      <c r="R27" s="13"/>
      <c r="S27" s="113"/>
      <c r="T27" s="64"/>
      <c r="U27" s="103"/>
      <c r="V27" s="13"/>
      <c r="W27" s="75" t="s">
        <v>49</v>
      </c>
    </row>
    <row r="28" spans="1:23" x14ac:dyDescent="0.3">
      <c r="A28" s="75"/>
      <c r="B28" s="12"/>
      <c r="C28" s="75"/>
      <c r="D28" s="13"/>
      <c r="E28" s="38"/>
      <c r="F28" s="40"/>
      <c r="G28" s="51"/>
      <c r="H28" s="13"/>
      <c r="I28" s="15"/>
      <c r="J28" s="15"/>
      <c r="K28" s="13"/>
      <c r="L28" s="13"/>
      <c r="M28" s="13"/>
      <c r="N28" s="13"/>
      <c r="O28" s="13"/>
      <c r="P28" s="13"/>
      <c r="Q28" s="13"/>
      <c r="R28" s="13"/>
      <c r="S28" s="113"/>
      <c r="T28" s="64"/>
      <c r="U28" s="103"/>
      <c r="V28" s="13"/>
      <c r="W28" s="75" t="s">
        <v>49</v>
      </c>
    </row>
    <row r="29" spans="1:23" x14ac:dyDescent="0.3">
      <c r="A29" s="75"/>
      <c r="B29" s="12"/>
      <c r="C29" s="75"/>
      <c r="D29" s="13"/>
      <c r="E29" s="38"/>
      <c r="F29" s="40"/>
      <c r="G29" s="51"/>
      <c r="H29" s="13"/>
      <c r="I29" s="15"/>
      <c r="J29" s="15"/>
      <c r="K29" s="13"/>
      <c r="L29" s="13"/>
      <c r="M29" s="13"/>
      <c r="N29" s="13"/>
      <c r="O29" s="13"/>
      <c r="P29" s="13"/>
      <c r="Q29" s="13"/>
      <c r="R29" s="13"/>
      <c r="S29" s="113"/>
      <c r="T29" s="64"/>
      <c r="U29" s="103"/>
      <c r="V29" s="13"/>
      <c r="W29" s="75" t="s">
        <v>49</v>
      </c>
    </row>
    <row r="30" spans="1:23" x14ac:dyDescent="0.3">
      <c r="A30" s="75"/>
      <c r="B30" s="12"/>
      <c r="C30" s="75"/>
      <c r="D30" s="13"/>
      <c r="E30" s="38"/>
      <c r="F30" s="40"/>
      <c r="G30" s="51"/>
      <c r="H30" s="13"/>
      <c r="I30" s="15"/>
      <c r="J30" s="15"/>
      <c r="K30" s="13"/>
      <c r="L30" s="13"/>
      <c r="M30" s="13"/>
      <c r="N30" s="13"/>
      <c r="O30" s="13"/>
      <c r="P30" s="13"/>
      <c r="Q30" s="13"/>
      <c r="R30" s="13"/>
      <c r="S30" s="113"/>
      <c r="T30" s="64"/>
      <c r="U30" s="103"/>
      <c r="V30" s="13"/>
      <c r="W30" s="75" t="s">
        <v>49</v>
      </c>
    </row>
    <row r="31" spans="1:23" x14ac:dyDescent="0.3">
      <c r="A31" s="75"/>
      <c r="B31" s="12"/>
      <c r="C31" s="75"/>
      <c r="D31" s="13"/>
      <c r="E31" s="38"/>
      <c r="F31" s="40"/>
      <c r="G31" s="51"/>
      <c r="H31" s="13"/>
      <c r="I31" s="15"/>
      <c r="J31" s="15"/>
      <c r="K31" s="13"/>
      <c r="L31" s="13"/>
      <c r="M31" s="13"/>
      <c r="N31" s="13"/>
      <c r="O31" s="13"/>
      <c r="P31" s="13"/>
      <c r="Q31" s="13"/>
      <c r="R31" s="13"/>
      <c r="S31" s="113"/>
      <c r="T31" s="64"/>
      <c r="U31" s="103"/>
      <c r="V31" s="13"/>
      <c r="W31" s="75" t="s">
        <v>49</v>
      </c>
    </row>
    <row r="32" spans="1:23" x14ac:dyDescent="0.3">
      <c r="A32" s="75"/>
      <c r="B32" s="12"/>
      <c r="C32" s="75"/>
      <c r="D32" s="13"/>
      <c r="E32" s="38"/>
      <c r="F32" s="40"/>
      <c r="G32" s="51"/>
      <c r="H32" s="13"/>
      <c r="I32" s="15"/>
      <c r="J32" s="15"/>
      <c r="K32" s="13"/>
      <c r="L32" s="13"/>
      <c r="M32" s="13"/>
      <c r="N32" s="13"/>
      <c r="O32" s="13"/>
      <c r="P32" s="13"/>
      <c r="Q32" s="13"/>
      <c r="R32" s="13"/>
      <c r="S32" s="113"/>
      <c r="T32" s="64"/>
      <c r="U32" s="103"/>
      <c r="V32" s="13"/>
      <c r="W32" s="75" t="s">
        <v>49</v>
      </c>
    </row>
    <row r="33" spans="1:23" x14ac:dyDescent="0.3">
      <c r="A33" s="75"/>
      <c r="B33" s="12"/>
      <c r="C33" s="75"/>
      <c r="D33" s="13"/>
      <c r="E33" s="38"/>
      <c r="F33" s="40"/>
      <c r="G33" s="51"/>
      <c r="H33" s="13"/>
      <c r="I33" s="15"/>
      <c r="J33" s="15"/>
      <c r="K33" s="13"/>
      <c r="L33" s="13"/>
      <c r="M33" s="13"/>
      <c r="N33" s="13"/>
      <c r="O33" s="13"/>
      <c r="P33" s="13"/>
      <c r="Q33" s="13"/>
      <c r="R33" s="13"/>
      <c r="S33" s="113"/>
      <c r="T33" s="64"/>
      <c r="U33" s="103"/>
      <c r="V33" s="13"/>
      <c r="W33" s="75" t="s">
        <v>49</v>
      </c>
    </row>
    <row r="34" spans="1:23" x14ac:dyDescent="0.3">
      <c r="A34" s="75"/>
      <c r="B34" s="12"/>
      <c r="C34" s="75"/>
      <c r="D34" s="13"/>
      <c r="E34" s="38"/>
      <c r="F34" s="40"/>
      <c r="G34" s="51"/>
      <c r="H34" s="13"/>
      <c r="I34" s="15"/>
      <c r="J34" s="15"/>
      <c r="K34" s="13"/>
      <c r="L34" s="13"/>
      <c r="M34" s="13"/>
      <c r="N34" s="13"/>
      <c r="O34" s="13"/>
      <c r="P34" s="13"/>
      <c r="Q34" s="13"/>
      <c r="R34" s="13"/>
      <c r="S34" s="113"/>
      <c r="T34" s="64"/>
      <c r="U34" s="103"/>
      <c r="V34" s="13"/>
      <c r="W34" s="75" t="s">
        <v>49</v>
      </c>
    </row>
    <row r="35" spans="1:23" x14ac:dyDescent="0.3">
      <c r="A35" s="75"/>
      <c r="B35" s="12"/>
      <c r="C35" s="75"/>
      <c r="D35" s="13"/>
      <c r="E35" s="38"/>
      <c r="F35" s="40"/>
      <c r="G35" s="51"/>
      <c r="H35" s="13"/>
      <c r="I35" s="15"/>
      <c r="J35" s="15"/>
      <c r="K35" s="13"/>
      <c r="L35" s="13"/>
      <c r="M35" s="13"/>
      <c r="N35" s="13"/>
      <c r="O35" s="13"/>
      <c r="P35" s="13"/>
      <c r="Q35" s="13"/>
      <c r="R35" s="13"/>
      <c r="S35" s="113"/>
      <c r="T35" s="64"/>
      <c r="U35" s="103"/>
      <c r="V35" s="13"/>
      <c r="W35" s="75" t="s">
        <v>49</v>
      </c>
    </row>
    <row r="36" spans="1:23" x14ac:dyDescent="0.3">
      <c r="A36" s="75"/>
      <c r="B36" s="12"/>
      <c r="C36" s="75"/>
      <c r="D36" s="13"/>
      <c r="E36" s="38"/>
      <c r="F36" s="40"/>
      <c r="G36" s="51"/>
      <c r="H36" s="13"/>
      <c r="I36" s="15"/>
      <c r="J36" s="15"/>
      <c r="K36" s="13"/>
      <c r="L36" s="13"/>
      <c r="M36" s="13"/>
      <c r="N36" s="13"/>
      <c r="O36" s="13"/>
      <c r="P36" s="13"/>
      <c r="Q36" s="13"/>
      <c r="R36" s="13"/>
      <c r="S36" s="113"/>
      <c r="T36" s="64"/>
      <c r="U36" s="103"/>
      <c r="V36" s="13"/>
      <c r="W36" s="75" t="s">
        <v>49</v>
      </c>
    </row>
    <row r="37" spans="1:23" x14ac:dyDescent="0.3">
      <c r="A37" s="75"/>
      <c r="B37" s="12"/>
      <c r="C37" s="75"/>
      <c r="D37" s="13"/>
      <c r="E37" s="38"/>
      <c r="F37" s="40"/>
      <c r="G37" s="51"/>
      <c r="H37" s="13"/>
      <c r="I37" s="15"/>
      <c r="J37" s="15"/>
      <c r="K37" s="13"/>
      <c r="L37" s="13"/>
      <c r="M37" s="13"/>
      <c r="N37" s="13"/>
      <c r="O37" s="13"/>
      <c r="P37" s="13"/>
      <c r="Q37" s="13"/>
      <c r="R37" s="13"/>
      <c r="S37" s="113"/>
      <c r="T37" s="64"/>
      <c r="U37" s="103"/>
      <c r="V37" s="13"/>
      <c r="W37" s="75" t="s">
        <v>49</v>
      </c>
    </row>
    <row r="38" spans="1:23" x14ac:dyDescent="0.3">
      <c r="A38" s="75"/>
      <c r="B38" s="12"/>
      <c r="C38" s="75"/>
      <c r="D38" s="13"/>
      <c r="E38" s="38"/>
      <c r="F38" s="40"/>
      <c r="G38" s="51"/>
      <c r="H38" s="13"/>
      <c r="I38" s="15"/>
      <c r="J38" s="15"/>
      <c r="K38" s="13"/>
      <c r="L38" s="13"/>
      <c r="M38" s="13"/>
      <c r="N38" s="13"/>
      <c r="O38" s="13"/>
      <c r="P38" s="13"/>
      <c r="Q38" s="13"/>
      <c r="R38" s="13"/>
      <c r="S38" s="113"/>
      <c r="T38" s="64"/>
      <c r="U38" s="103"/>
      <c r="V38" s="13"/>
      <c r="W38" s="75" t="s">
        <v>49</v>
      </c>
    </row>
    <row r="39" spans="1:23" x14ac:dyDescent="0.3">
      <c r="A39" s="75"/>
      <c r="B39" s="12"/>
      <c r="C39" s="75"/>
      <c r="D39" s="13"/>
      <c r="E39" s="38"/>
      <c r="F39" s="40"/>
      <c r="G39" s="51"/>
      <c r="H39" s="13"/>
      <c r="I39" s="15"/>
      <c r="J39" s="15"/>
      <c r="K39" s="13"/>
      <c r="L39" s="13"/>
      <c r="M39" s="13"/>
      <c r="N39" s="13"/>
      <c r="O39" s="13"/>
      <c r="P39" s="13"/>
      <c r="Q39" s="13"/>
      <c r="R39" s="13"/>
      <c r="S39" s="113"/>
      <c r="T39" s="64"/>
      <c r="U39" s="103"/>
      <c r="V39" s="13"/>
      <c r="W39" s="75" t="s">
        <v>49</v>
      </c>
    </row>
    <row r="40" spans="1:23" x14ac:dyDescent="0.3">
      <c r="A40" s="75"/>
      <c r="B40" s="12"/>
      <c r="C40" s="75"/>
      <c r="D40" s="13"/>
      <c r="E40" s="38"/>
      <c r="F40" s="40"/>
      <c r="G40" s="51"/>
      <c r="H40" s="13"/>
      <c r="I40" s="15"/>
      <c r="J40" s="15"/>
      <c r="K40" s="13"/>
      <c r="L40" s="13"/>
      <c r="M40" s="13"/>
      <c r="N40" s="13"/>
      <c r="O40" s="13"/>
      <c r="P40" s="13"/>
      <c r="Q40" s="13"/>
      <c r="R40" s="13"/>
      <c r="S40" s="113"/>
      <c r="T40" s="64"/>
      <c r="U40" s="103"/>
      <c r="V40" s="13"/>
      <c r="W40" s="75" t="s">
        <v>49</v>
      </c>
    </row>
    <row r="41" spans="1:23" x14ac:dyDescent="0.3">
      <c r="A41" s="75"/>
      <c r="B41" s="12"/>
      <c r="C41" s="75"/>
      <c r="D41" s="13"/>
      <c r="E41" s="38"/>
      <c r="F41" s="40"/>
      <c r="G41" s="51"/>
      <c r="H41" s="13"/>
      <c r="I41" s="15"/>
      <c r="J41" s="15"/>
      <c r="K41" s="13"/>
      <c r="L41" s="13"/>
      <c r="M41" s="13"/>
      <c r="N41" s="13"/>
      <c r="O41" s="13"/>
      <c r="P41" s="13"/>
      <c r="Q41" s="13"/>
      <c r="R41" s="13"/>
      <c r="S41" s="113"/>
      <c r="T41" s="64"/>
      <c r="U41" s="103"/>
      <c r="V41" s="13"/>
      <c r="W41" s="75" t="s">
        <v>49</v>
      </c>
    </row>
    <row r="42" spans="1:23" x14ac:dyDescent="0.3">
      <c r="A42" s="75"/>
      <c r="B42" s="12"/>
      <c r="C42" s="75"/>
      <c r="D42" s="13"/>
      <c r="E42" s="38"/>
      <c r="F42" s="40"/>
      <c r="G42" s="51"/>
      <c r="H42" s="13"/>
      <c r="I42" s="15"/>
      <c r="J42" s="15"/>
      <c r="K42" s="13"/>
      <c r="L42" s="13"/>
      <c r="M42" s="13"/>
      <c r="N42" s="13"/>
      <c r="O42" s="13"/>
      <c r="P42" s="13"/>
      <c r="Q42" s="13"/>
      <c r="R42" s="13"/>
      <c r="S42" s="113"/>
      <c r="T42" s="64"/>
      <c r="U42" s="103"/>
      <c r="V42" s="13"/>
      <c r="W42" s="75" t="s">
        <v>49</v>
      </c>
    </row>
    <row r="43" spans="1:23" x14ac:dyDescent="0.3">
      <c r="A43" s="75"/>
      <c r="B43" s="12"/>
      <c r="C43" s="75"/>
      <c r="D43" s="13"/>
      <c r="E43" s="38"/>
      <c r="F43" s="40"/>
      <c r="G43" s="51"/>
      <c r="H43" s="13"/>
      <c r="I43" s="15"/>
      <c r="J43" s="15"/>
      <c r="K43" s="13"/>
      <c r="L43" s="13"/>
      <c r="M43" s="13"/>
      <c r="N43" s="13"/>
      <c r="O43" s="13"/>
      <c r="P43" s="13"/>
      <c r="Q43" s="13"/>
      <c r="R43" s="13"/>
      <c r="S43" s="113"/>
      <c r="T43" s="64"/>
      <c r="U43" s="103"/>
      <c r="V43" s="13"/>
      <c r="W43" s="75" t="s">
        <v>49</v>
      </c>
    </row>
    <row r="44" spans="1:23" x14ac:dyDescent="0.3">
      <c r="A44" s="75"/>
      <c r="B44" s="12"/>
      <c r="C44" s="75"/>
      <c r="D44" s="13"/>
      <c r="E44" s="38"/>
      <c r="F44" s="40"/>
      <c r="G44" s="51"/>
      <c r="H44" s="13"/>
      <c r="I44" s="15"/>
      <c r="J44" s="15"/>
      <c r="K44" s="13"/>
      <c r="L44" s="13"/>
      <c r="M44" s="13"/>
      <c r="N44" s="13"/>
      <c r="O44" s="13"/>
      <c r="P44" s="13"/>
      <c r="Q44" s="13"/>
      <c r="R44" s="13"/>
      <c r="S44" s="113"/>
      <c r="T44" s="64"/>
      <c r="U44" s="103"/>
      <c r="V44" s="13"/>
      <c r="W44" s="75" t="s">
        <v>49</v>
      </c>
    </row>
    <row r="45" spans="1:23" x14ac:dyDescent="0.3">
      <c r="A45" s="75"/>
      <c r="B45" s="12"/>
      <c r="C45" s="75"/>
      <c r="D45" s="13"/>
      <c r="E45" s="38"/>
      <c r="F45" s="40"/>
      <c r="G45" s="51"/>
      <c r="H45" s="13"/>
      <c r="I45" s="15"/>
      <c r="J45" s="15"/>
      <c r="K45" s="13"/>
      <c r="L45" s="13"/>
      <c r="M45" s="13"/>
      <c r="N45" s="13"/>
      <c r="O45" s="13"/>
      <c r="P45" s="13"/>
      <c r="Q45" s="13"/>
      <c r="R45" s="13"/>
      <c r="S45" s="113"/>
      <c r="T45" s="64"/>
      <c r="U45" s="103"/>
      <c r="V45" s="13"/>
      <c r="W45" s="75" t="s">
        <v>49</v>
      </c>
    </row>
    <row r="46" spans="1:23" x14ac:dyDescent="0.3">
      <c r="A46" s="75"/>
      <c r="B46" s="12"/>
      <c r="C46" s="75"/>
      <c r="D46" s="13"/>
      <c r="E46" s="38"/>
      <c r="F46" s="40"/>
      <c r="G46" s="51"/>
      <c r="H46" s="13"/>
      <c r="I46" s="15"/>
      <c r="J46" s="15"/>
      <c r="K46" s="13"/>
      <c r="L46" s="13"/>
      <c r="M46" s="13"/>
      <c r="N46" s="13"/>
      <c r="O46" s="13"/>
      <c r="P46" s="13"/>
      <c r="Q46" s="13"/>
      <c r="R46" s="13"/>
      <c r="S46" s="113"/>
      <c r="T46" s="64"/>
      <c r="U46" s="103"/>
      <c r="V46" s="13"/>
      <c r="W46" s="75" t="s">
        <v>49</v>
      </c>
    </row>
    <row r="47" spans="1:23" x14ac:dyDescent="0.3">
      <c r="A47" s="75"/>
      <c r="B47" s="12"/>
      <c r="C47" s="75"/>
      <c r="D47" s="13"/>
      <c r="E47" s="38"/>
      <c r="F47" s="40"/>
      <c r="G47" s="51"/>
      <c r="H47" s="13"/>
      <c r="I47" s="15"/>
      <c r="J47" s="15"/>
      <c r="K47" s="13"/>
      <c r="L47" s="13"/>
      <c r="M47" s="13"/>
      <c r="N47" s="13"/>
      <c r="O47" s="13"/>
      <c r="P47" s="13"/>
      <c r="Q47" s="13"/>
      <c r="R47" s="13"/>
      <c r="S47" s="113"/>
      <c r="T47" s="64"/>
      <c r="U47" s="103"/>
      <c r="V47" s="13"/>
      <c r="W47" s="75" t="s">
        <v>49</v>
      </c>
    </row>
    <row r="48" spans="1:23" x14ac:dyDescent="0.3">
      <c r="A48" s="75"/>
      <c r="B48" s="12"/>
      <c r="C48" s="75"/>
      <c r="D48" s="13"/>
      <c r="E48" s="38"/>
      <c r="F48" s="40"/>
      <c r="G48" s="51"/>
      <c r="H48" s="13"/>
      <c r="I48" s="15"/>
      <c r="J48" s="15"/>
      <c r="K48" s="13"/>
      <c r="L48" s="13"/>
      <c r="M48" s="13"/>
      <c r="N48" s="13"/>
      <c r="O48" s="13"/>
      <c r="P48" s="13"/>
      <c r="Q48" s="13"/>
      <c r="R48" s="13"/>
      <c r="S48" s="113"/>
      <c r="T48" s="64"/>
      <c r="U48" s="103"/>
      <c r="V48" s="13"/>
      <c r="W48" s="75" t="s">
        <v>49</v>
      </c>
    </row>
    <row r="49" spans="1:23" x14ac:dyDescent="0.3">
      <c r="A49" s="75"/>
      <c r="B49" s="12"/>
      <c r="C49" s="75"/>
      <c r="D49" s="13"/>
      <c r="E49" s="38"/>
      <c r="F49" s="40"/>
      <c r="G49" s="51"/>
      <c r="H49" s="13"/>
      <c r="I49" s="15"/>
      <c r="J49" s="15"/>
      <c r="K49" s="13"/>
      <c r="L49" s="13"/>
      <c r="M49" s="13"/>
      <c r="N49" s="13"/>
      <c r="O49" s="13"/>
      <c r="P49" s="13"/>
      <c r="Q49" s="13"/>
      <c r="R49" s="13"/>
      <c r="S49" s="113"/>
      <c r="T49" s="64"/>
      <c r="U49" s="103"/>
      <c r="V49" s="13"/>
      <c r="W49" s="75" t="s">
        <v>49</v>
      </c>
    </row>
    <row r="50" spans="1:23" x14ac:dyDescent="0.3">
      <c r="A50" s="75"/>
      <c r="B50" s="12"/>
      <c r="C50" s="75"/>
      <c r="D50" s="13"/>
      <c r="E50" s="38"/>
      <c r="F50" s="40"/>
      <c r="G50" s="51"/>
      <c r="H50" s="13"/>
      <c r="I50" s="15"/>
      <c r="J50" s="15"/>
      <c r="K50" s="13"/>
      <c r="L50" s="13"/>
      <c r="M50" s="13"/>
      <c r="N50" s="13"/>
      <c r="O50" s="13"/>
      <c r="P50" s="13"/>
      <c r="Q50" s="13"/>
      <c r="R50" s="13"/>
      <c r="S50" s="113"/>
      <c r="T50" s="64"/>
      <c r="U50" s="103"/>
      <c r="V50" s="13"/>
      <c r="W50" s="75" t="s">
        <v>49</v>
      </c>
    </row>
    <row r="51" spans="1:23" x14ac:dyDescent="0.3">
      <c r="A51" s="75"/>
      <c r="B51" s="12"/>
      <c r="C51" s="75"/>
      <c r="D51" s="13"/>
      <c r="E51" s="38"/>
      <c r="F51" s="40"/>
      <c r="G51" s="51"/>
      <c r="H51" s="13"/>
      <c r="I51" s="15"/>
      <c r="J51" s="15"/>
      <c r="K51" s="13"/>
      <c r="L51" s="13"/>
      <c r="M51" s="13"/>
      <c r="N51" s="13"/>
      <c r="O51" s="13"/>
      <c r="P51" s="13"/>
      <c r="Q51" s="13"/>
      <c r="R51" s="13"/>
      <c r="S51" s="113"/>
      <c r="T51" s="64"/>
      <c r="U51" s="103"/>
      <c r="V51" s="13"/>
      <c r="W51" s="75" t="s">
        <v>49</v>
      </c>
    </row>
    <row r="52" spans="1:23" x14ac:dyDescent="0.3">
      <c r="A52" s="75"/>
      <c r="B52" s="12"/>
      <c r="C52" s="75"/>
      <c r="D52" s="13"/>
      <c r="E52" s="38"/>
      <c r="F52" s="40"/>
      <c r="G52" s="51"/>
      <c r="H52" s="13"/>
      <c r="I52" s="15"/>
      <c r="J52" s="15"/>
      <c r="K52" s="13"/>
      <c r="L52" s="13"/>
      <c r="M52" s="13"/>
      <c r="N52" s="13"/>
      <c r="O52" s="13"/>
      <c r="P52" s="13"/>
      <c r="Q52" s="13"/>
      <c r="R52" s="13"/>
      <c r="S52" s="113"/>
      <c r="T52" s="64"/>
      <c r="U52" s="103"/>
      <c r="V52" s="13"/>
      <c r="W52" s="75" t="s">
        <v>49</v>
      </c>
    </row>
    <row r="53" spans="1:23" x14ac:dyDescent="0.3">
      <c r="A53" s="75"/>
      <c r="B53" s="12"/>
      <c r="C53" s="75"/>
      <c r="D53" s="13"/>
      <c r="E53" s="38"/>
      <c r="F53" s="40"/>
      <c r="G53" s="51"/>
      <c r="H53" s="13"/>
      <c r="I53" s="15"/>
      <c r="J53" s="15"/>
      <c r="K53" s="13"/>
      <c r="L53" s="13"/>
      <c r="M53" s="13"/>
      <c r="N53" s="13"/>
      <c r="O53" s="13"/>
      <c r="P53" s="13"/>
      <c r="Q53" s="13"/>
      <c r="R53" s="13"/>
      <c r="S53" s="113"/>
      <c r="T53" s="64"/>
      <c r="U53" s="103"/>
      <c r="V53" s="13"/>
      <c r="W53" s="75" t="s">
        <v>49</v>
      </c>
    </row>
    <row r="54" spans="1:23" x14ac:dyDescent="0.3">
      <c r="A54" s="75"/>
      <c r="B54" s="12"/>
      <c r="C54" s="75"/>
      <c r="D54" s="13"/>
      <c r="E54" s="38"/>
      <c r="F54" s="40"/>
      <c r="G54" s="51"/>
      <c r="H54" s="13"/>
      <c r="I54" s="15"/>
      <c r="J54" s="15"/>
      <c r="K54" s="13"/>
      <c r="L54" s="13"/>
      <c r="M54" s="13"/>
      <c r="N54" s="13"/>
      <c r="O54" s="13"/>
      <c r="P54" s="13"/>
      <c r="Q54" s="13"/>
      <c r="R54" s="13"/>
      <c r="S54" s="113"/>
      <c r="T54" s="64"/>
      <c r="U54" s="103"/>
      <c r="V54" s="13"/>
      <c r="W54" s="75" t="s">
        <v>49</v>
      </c>
    </row>
    <row r="55" spans="1:23" x14ac:dyDescent="0.3">
      <c r="A55" s="75"/>
      <c r="B55" s="12"/>
      <c r="C55" s="75"/>
      <c r="D55" s="13"/>
      <c r="E55" s="38"/>
      <c r="F55" s="40"/>
      <c r="G55" s="51"/>
      <c r="H55" s="13"/>
      <c r="I55" s="15"/>
      <c r="J55" s="15"/>
      <c r="K55" s="13"/>
      <c r="L55" s="13"/>
      <c r="M55" s="13"/>
      <c r="N55" s="13"/>
      <c r="O55" s="13"/>
      <c r="P55" s="13"/>
      <c r="Q55" s="13"/>
      <c r="R55" s="13"/>
      <c r="S55" s="113"/>
      <c r="T55" s="64"/>
      <c r="U55" s="103"/>
      <c r="V55" s="13"/>
      <c r="W55" s="75" t="s">
        <v>49</v>
      </c>
    </row>
    <row r="56" spans="1:23" x14ac:dyDescent="0.3">
      <c r="A56" s="75"/>
      <c r="B56" s="12"/>
      <c r="C56" s="75"/>
      <c r="D56" s="13"/>
      <c r="E56" s="38"/>
      <c r="F56" s="40"/>
      <c r="G56" s="51"/>
      <c r="H56" s="13"/>
      <c r="I56" s="15"/>
      <c r="J56" s="15"/>
      <c r="K56" s="13"/>
      <c r="L56" s="13"/>
      <c r="M56" s="13"/>
      <c r="N56" s="13"/>
      <c r="O56" s="13"/>
      <c r="P56" s="13"/>
      <c r="Q56" s="13"/>
      <c r="R56" s="13"/>
      <c r="S56" s="113"/>
      <c r="T56" s="64"/>
      <c r="U56" s="103"/>
      <c r="V56" s="13"/>
      <c r="W56" s="75" t="s">
        <v>49</v>
      </c>
    </row>
    <row r="57" spans="1:23" x14ac:dyDescent="0.3">
      <c r="A57" s="75"/>
      <c r="B57" s="12"/>
      <c r="C57" s="75"/>
      <c r="D57" s="13"/>
      <c r="E57" s="38"/>
      <c r="F57" s="40"/>
      <c r="G57" s="51"/>
      <c r="H57" s="13"/>
      <c r="I57" s="15"/>
      <c r="J57" s="15"/>
      <c r="K57" s="13"/>
      <c r="L57" s="13"/>
      <c r="M57" s="13"/>
      <c r="N57" s="13"/>
      <c r="O57" s="13"/>
      <c r="P57" s="13"/>
      <c r="Q57" s="13"/>
      <c r="R57" s="13"/>
      <c r="S57" s="113"/>
      <c r="T57" s="64"/>
      <c r="U57" s="103"/>
      <c r="V57" s="13"/>
      <c r="W57" s="75" t="s">
        <v>49</v>
      </c>
    </row>
    <row r="58" spans="1:23" x14ac:dyDescent="0.3">
      <c r="A58" s="75"/>
      <c r="B58" s="12"/>
      <c r="C58" s="75"/>
      <c r="D58" s="13"/>
      <c r="E58" s="38"/>
      <c r="F58" s="40"/>
      <c r="G58" s="51"/>
      <c r="H58" s="13"/>
      <c r="I58" s="15"/>
      <c r="J58" s="15"/>
      <c r="K58" s="13"/>
      <c r="L58" s="13"/>
      <c r="M58" s="13"/>
      <c r="N58" s="13"/>
      <c r="O58" s="13"/>
      <c r="P58" s="13"/>
      <c r="Q58" s="13"/>
      <c r="R58" s="13"/>
      <c r="S58" s="113"/>
      <c r="T58" s="64"/>
      <c r="U58" s="103"/>
      <c r="V58" s="13"/>
      <c r="W58" s="75" t="s">
        <v>49</v>
      </c>
    </row>
    <row r="59" spans="1:23" x14ac:dyDescent="0.3">
      <c r="A59" s="75"/>
      <c r="B59" s="12"/>
      <c r="C59" s="75"/>
      <c r="D59" s="13"/>
      <c r="E59" s="38"/>
      <c r="F59" s="40"/>
      <c r="G59" s="51"/>
      <c r="H59" s="13"/>
      <c r="I59" s="15"/>
      <c r="J59" s="15"/>
      <c r="K59" s="13"/>
      <c r="L59" s="13"/>
      <c r="M59" s="13"/>
      <c r="N59" s="13"/>
      <c r="O59" s="13"/>
      <c r="P59" s="13"/>
      <c r="Q59" s="13"/>
      <c r="R59" s="13"/>
      <c r="S59" s="113"/>
      <c r="T59" s="64"/>
      <c r="U59" s="103"/>
      <c r="V59" s="13"/>
      <c r="W59" s="75" t="s">
        <v>49</v>
      </c>
    </row>
    <row r="60" spans="1:23" x14ac:dyDescent="0.3">
      <c r="A60" s="75"/>
      <c r="B60" s="12"/>
      <c r="C60" s="75"/>
      <c r="D60" s="13"/>
      <c r="E60" s="38"/>
      <c r="F60" s="40"/>
      <c r="G60" s="51"/>
      <c r="H60" s="13"/>
      <c r="I60" s="15"/>
      <c r="J60" s="15"/>
      <c r="K60" s="13"/>
      <c r="L60" s="13"/>
      <c r="M60" s="13"/>
      <c r="N60" s="13"/>
      <c r="O60" s="13"/>
      <c r="P60" s="13"/>
      <c r="Q60" s="13"/>
      <c r="R60" s="13"/>
      <c r="S60" s="113"/>
      <c r="T60" s="64"/>
      <c r="U60" s="103"/>
      <c r="V60" s="13"/>
      <c r="W60" s="75" t="s">
        <v>49</v>
      </c>
    </row>
    <row r="61" spans="1:23" x14ac:dyDescent="0.3">
      <c r="A61" s="75"/>
      <c r="B61" s="12"/>
      <c r="C61" s="75"/>
      <c r="D61" s="13"/>
      <c r="E61" s="38"/>
      <c r="F61" s="40"/>
      <c r="G61" s="51"/>
      <c r="H61" s="13"/>
      <c r="I61" s="15"/>
      <c r="J61" s="15"/>
      <c r="K61" s="13"/>
      <c r="L61" s="13"/>
      <c r="M61" s="13"/>
      <c r="N61" s="13"/>
      <c r="O61" s="13"/>
      <c r="P61" s="13"/>
      <c r="Q61" s="13"/>
      <c r="R61" s="13"/>
      <c r="S61" s="113"/>
      <c r="T61" s="64"/>
      <c r="U61" s="103"/>
      <c r="V61" s="13"/>
      <c r="W61" s="75" t="s">
        <v>49</v>
      </c>
    </row>
    <row r="62" spans="1:23" x14ac:dyDescent="0.3">
      <c r="A62" s="75"/>
      <c r="B62" s="12"/>
      <c r="C62" s="75"/>
      <c r="D62" s="13"/>
      <c r="E62" s="38"/>
      <c r="F62" s="40"/>
      <c r="G62" s="51"/>
      <c r="H62" s="13"/>
      <c r="I62" s="15"/>
      <c r="J62" s="15"/>
      <c r="K62" s="13"/>
      <c r="L62" s="13"/>
      <c r="M62" s="13"/>
      <c r="N62" s="13"/>
      <c r="O62" s="13"/>
      <c r="P62" s="13"/>
      <c r="Q62" s="13"/>
      <c r="R62" s="13"/>
      <c r="S62" s="113"/>
      <c r="T62" s="64"/>
      <c r="U62" s="103"/>
      <c r="V62" s="13"/>
      <c r="W62" s="75" t="s">
        <v>49</v>
      </c>
    </row>
    <row r="63" spans="1:23" x14ac:dyDescent="0.3">
      <c r="A63" s="75"/>
      <c r="B63" s="12"/>
      <c r="C63" s="75"/>
      <c r="D63" s="13"/>
      <c r="E63" s="38"/>
      <c r="F63" s="40"/>
      <c r="G63" s="51"/>
      <c r="H63" s="13"/>
      <c r="I63" s="15"/>
      <c r="J63" s="15"/>
      <c r="K63" s="13"/>
      <c r="L63" s="13"/>
      <c r="M63" s="13"/>
      <c r="N63" s="13"/>
      <c r="O63" s="13"/>
      <c r="P63" s="13"/>
      <c r="Q63" s="13"/>
      <c r="R63" s="13"/>
      <c r="S63" s="113"/>
      <c r="T63" s="64"/>
      <c r="U63" s="103"/>
      <c r="V63" s="13"/>
      <c r="W63" s="75" t="s">
        <v>49</v>
      </c>
    </row>
    <row r="64" spans="1:23" x14ac:dyDescent="0.3">
      <c r="A64" s="75"/>
      <c r="B64" s="12"/>
      <c r="C64" s="75"/>
      <c r="D64" s="13"/>
      <c r="E64" s="38"/>
      <c r="F64" s="40"/>
      <c r="G64" s="51"/>
      <c r="H64" s="13"/>
      <c r="I64" s="15"/>
      <c r="J64" s="15"/>
      <c r="K64" s="13"/>
      <c r="L64" s="13"/>
      <c r="M64" s="13"/>
      <c r="N64" s="13"/>
      <c r="O64" s="13"/>
      <c r="P64" s="13"/>
      <c r="Q64" s="13"/>
      <c r="R64" s="13"/>
      <c r="S64" s="113"/>
      <c r="T64" s="64"/>
      <c r="U64" s="103"/>
      <c r="V64" s="13"/>
      <c r="W64" s="75" t="s">
        <v>49</v>
      </c>
    </row>
    <row r="65" spans="1:23" x14ac:dyDescent="0.3">
      <c r="A65" s="75"/>
      <c r="B65" s="12"/>
      <c r="C65" s="75"/>
      <c r="D65" s="13"/>
      <c r="E65" s="38"/>
      <c r="F65" s="40"/>
      <c r="G65" s="51"/>
      <c r="H65" s="13"/>
      <c r="I65" s="15"/>
      <c r="J65" s="15"/>
      <c r="K65" s="13"/>
      <c r="L65" s="13"/>
      <c r="M65" s="13"/>
      <c r="N65" s="13"/>
      <c r="O65" s="13"/>
      <c r="P65" s="13"/>
      <c r="Q65" s="13"/>
      <c r="R65" s="13"/>
      <c r="S65" s="113"/>
      <c r="T65" s="64"/>
      <c r="U65" s="103"/>
      <c r="V65" s="13"/>
      <c r="W65" s="75" t="s">
        <v>49</v>
      </c>
    </row>
    <row r="66" spans="1:23" x14ac:dyDescent="0.3">
      <c r="A66" s="75"/>
      <c r="B66" s="12"/>
      <c r="C66" s="75"/>
      <c r="D66" s="13"/>
      <c r="E66" s="38"/>
      <c r="F66" s="40"/>
      <c r="G66" s="51"/>
      <c r="H66" s="13"/>
      <c r="I66" s="15"/>
      <c r="J66" s="15"/>
      <c r="K66" s="13"/>
      <c r="L66" s="13"/>
      <c r="M66" s="13"/>
      <c r="N66" s="13"/>
      <c r="O66" s="13"/>
      <c r="P66" s="13"/>
      <c r="Q66" s="13"/>
      <c r="R66" s="13"/>
      <c r="S66" s="113"/>
      <c r="T66" s="64"/>
      <c r="U66" s="103"/>
      <c r="V66" s="13"/>
      <c r="W66" s="75" t="s">
        <v>49</v>
      </c>
    </row>
    <row r="67" spans="1:23" x14ac:dyDescent="0.3">
      <c r="A67" s="75"/>
      <c r="B67" s="12"/>
      <c r="C67" s="75"/>
      <c r="D67" s="13"/>
      <c r="E67" s="38"/>
      <c r="F67" s="40"/>
      <c r="G67" s="51"/>
      <c r="H67" s="13"/>
      <c r="I67" s="15"/>
      <c r="J67" s="15"/>
      <c r="K67" s="13"/>
      <c r="L67" s="13"/>
      <c r="M67" s="13"/>
      <c r="N67" s="13"/>
      <c r="O67" s="13"/>
      <c r="P67" s="13"/>
      <c r="Q67" s="13"/>
      <c r="R67" s="13"/>
      <c r="S67" s="113"/>
      <c r="T67" s="64"/>
      <c r="U67" s="103"/>
      <c r="V67" s="13"/>
      <c r="W67" s="75" t="s">
        <v>49</v>
      </c>
    </row>
    <row r="68" spans="1:23" x14ac:dyDescent="0.3">
      <c r="A68" s="75"/>
      <c r="B68" s="12"/>
      <c r="C68" s="75"/>
      <c r="D68" s="13"/>
      <c r="E68" s="38"/>
      <c r="F68" s="40"/>
      <c r="G68" s="51"/>
      <c r="H68" s="13"/>
      <c r="I68" s="15"/>
      <c r="J68" s="15"/>
      <c r="K68" s="13"/>
      <c r="L68" s="13"/>
      <c r="M68" s="13"/>
      <c r="N68" s="13"/>
      <c r="O68" s="13"/>
      <c r="P68" s="13"/>
      <c r="Q68" s="13"/>
      <c r="R68" s="13"/>
      <c r="S68" s="113"/>
      <c r="T68" s="64"/>
      <c r="U68" s="103"/>
      <c r="V68" s="13"/>
      <c r="W68" s="75" t="s">
        <v>49</v>
      </c>
    </row>
    <row r="69" spans="1:23" x14ac:dyDescent="0.3">
      <c r="A69" s="75"/>
      <c r="B69" s="12"/>
      <c r="C69" s="75"/>
      <c r="D69" s="13"/>
      <c r="E69" s="38"/>
      <c r="F69" s="40"/>
      <c r="G69" s="51"/>
      <c r="H69" s="13"/>
      <c r="I69" s="15"/>
      <c r="J69" s="15"/>
      <c r="K69" s="13"/>
      <c r="L69" s="13"/>
      <c r="M69" s="13"/>
      <c r="N69" s="13"/>
      <c r="O69" s="13"/>
      <c r="P69" s="13"/>
      <c r="Q69" s="13"/>
      <c r="R69" s="13"/>
      <c r="S69" s="113"/>
      <c r="T69" s="64"/>
      <c r="U69" s="103"/>
      <c r="V69" s="13"/>
      <c r="W69" s="75" t="s">
        <v>49</v>
      </c>
    </row>
    <row r="70" spans="1:23" x14ac:dyDescent="0.3">
      <c r="A70" s="75"/>
      <c r="B70" s="12"/>
      <c r="C70" s="75"/>
      <c r="D70" s="13"/>
      <c r="E70" s="38"/>
      <c r="F70" s="40"/>
      <c r="G70" s="51"/>
      <c r="H70" s="13"/>
      <c r="I70" s="15"/>
      <c r="J70" s="15"/>
      <c r="K70" s="13"/>
      <c r="L70" s="13"/>
      <c r="M70" s="13"/>
      <c r="N70" s="13"/>
      <c r="O70" s="13"/>
      <c r="P70" s="13"/>
      <c r="Q70" s="13"/>
      <c r="R70" s="13"/>
      <c r="S70" s="113"/>
      <c r="T70" s="64"/>
      <c r="U70" s="103"/>
      <c r="V70" s="13"/>
      <c r="W70" s="75" t="s">
        <v>49</v>
      </c>
    </row>
    <row r="71" spans="1:23" x14ac:dyDescent="0.3">
      <c r="A71" s="75"/>
      <c r="B71" s="12"/>
      <c r="C71" s="75"/>
      <c r="D71" s="13"/>
      <c r="E71" s="38"/>
      <c r="F71" s="40"/>
      <c r="G71" s="51"/>
      <c r="H71" s="13"/>
      <c r="I71" s="15"/>
      <c r="J71" s="15"/>
      <c r="K71" s="13"/>
      <c r="L71" s="13"/>
      <c r="M71" s="13"/>
      <c r="N71" s="13"/>
      <c r="O71" s="13"/>
      <c r="P71" s="13"/>
      <c r="Q71" s="13"/>
      <c r="R71" s="13"/>
      <c r="S71" s="113"/>
      <c r="T71" s="64"/>
      <c r="U71" s="103"/>
      <c r="V71" s="13"/>
      <c r="W71" s="75" t="s">
        <v>49</v>
      </c>
    </row>
    <row r="72" spans="1:23" x14ac:dyDescent="0.3">
      <c r="A72" s="75"/>
      <c r="B72" s="12"/>
      <c r="C72" s="75"/>
      <c r="D72" s="13"/>
      <c r="E72" s="38"/>
      <c r="F72" s="40"/>
      <c r="G72" s="51"/>
      <c r="H72" s="13"/>
      <c r="I72" s="15"/>
      <c r="J72" s="15"/>
      <c r="K72" s="13"/>
      <c r="L72" s="13"/>
      <c r="M72" s="13"/>
      <c r="N72" s="13"/>
      <c r="O72" s="13"/>
      <c r="P72" s="13"/>
      <c r="Q72" s="13"/>
      <c r="R72" s="13"/>
      <c r="S72" s="113"/>
      <c r="T72" s="64"/>
      <c r="U72" s="103"/>
      <c r="V72" s="13"/>
      <c r="W72" s="75" t="s">
        <v>49</v>
      </c>
    </row>
    <row r="73" spans="1:23" x14ac:dyDescent="0.3">
      <c r="A73" s="75"/>
      <c r="B73" s="12"/>
      <c r="C73" s="75"/>
      <c r="D73" s="13"/>
      <c r="E73" s="38"/>
      <c r="F73" s="40"/>
      <c r="G73" s="51"/>
      <c r="H73" s="13"/>
      <c r="I73" s="15"/>
      <c r="J73" s="15"/>
      <c r="K73" s="13"/>
      <c r="L73" s="13"/>
      <c r="M73" s="13"/>
      <c r="N73" s="13"/>
      <c r="O73" s="13"/>
      <c r="P73" s="13"/>
      <c r="Q73" s="13"/>
      <c r="R73" s="13"/>
      <c r="S73" s="113"/>
      <c r="T73" s="64"/>
      <c r="U73" s="103"/>
      <c r="V73" s="13"/>
      <c r="W73" s="75" t="s">
        <v>49</v>
      </c>
    </row>
    <row r="74" spans="1:23" x14ac:dyDescent="0.3">
      <c r="A74" s="75"/>
      <c r="B74" s="12"/>
      <c r="C74" s="75"/>
      <c r="D74" s="13"/>
      <c r="E74" s="38"/>
      <c r="F74" s="40"/>
      <c r="G74" s="51"/>
      <c r="H74" s="13"/>
      <c r="I74" s="15"/>
      <c r="J74" s="15"/>
      <c r="K74" s="13"/>
      <c r="L74" s="13"/>
      <c r="M74" s="13"/>
      <c r="N74" s="13"/>
      <c r="O74" s="13"/>
      <c r="P74" s="13"/>
      <c r="Q74" s="13"/>
      <c r="R74" s="13"/>
      <c r="S74" s="113"/>
      <c r="T74" s="64"/>
      <c r="U74" s="103"/>
      <c r="V74" s="13"/>
      <c r="W74" s="22"/>
    </row>
    <row r="75" spans="1:23" x14ac:dyDescent="0.3">
      <c r="A75" s="75"/>
      <c r="B75" s="12"/>
      <c r="C75" s="75"/>
      <c r="D75" s="13"/>
      <c r="E75" s="38"/>
      <c r="F75" s="40"/>
      <c r="G75" s="51"/>
      <c r="H75" s="13"/>
      <c r="I75" s="15"/>
      <c r="J75" s="15"/>
      <c r="K75" s="13"/>
      <c r="L75" s="13"/>
      <c r="M75" s="13"/>
      <c r="N75" s="13"/>
      <c r="O75" s="13"/>
      <c r="P75" s="13"/>
      <c r="Q75" s="13"/>
      <c r="R75" s="13"/>
      <c r="S75" s="113"/>
      <c r="T75" s="64"/>
      <c r="U75" s="103"/>
      <c r="V75" s="13"/>
      <c r="W75" s="22"/>
    </row>
    <row r="76" spans="1:23" x14ac:dyDescent="0.3">
      <c r="A76" s="75"/>
      <c r="B76" s="12"/>
      <c r="C76" s="75"/>
      <c r="D76" s="13"/>
      <c r="E76" s="38"/>
      <c r="F76" s="40"/>
      <c r="G76" s="51"/>
      <c r="H76" s="13"/>
      <c r="I76" s="15"/>
      <c r="J76" s="15"/>
      <c r="K76" s="13"/>
      <c r="L76" s="13"/>
      <c r="M76" s="13"/>
      <c r="N76" s="13"/>
      <c r="O76" s="13"/>
      <c r="P76" s="13"/>
      <c r="Q76" s="13"/>
      <c r="R76" s="13"/>
      <c r="S76" s="113"/>
      <c r="T76" s="64"/>
      <c r="U76" s="103"/>
      <c r="V76" s="13"/>
      <c r="W76" s="22"/>
    </row>
    <row r="77" spans="1:23" x14ac:dyDescent="0.3">
      <c r="A77" s="75"/>
      <c r="B77" s="12"/>
      <c r="C77" s="75"/>
      <c r="D77" s="13"/>
      <c r="E77" s="38"/>
      <c r="F77" s="40"/>
      <c r="G77" s="51"/>
      <c r="H77" s="13"/>
      <c r="I77" s="15"/>
      <c r="J77" s="15"/>
      <c r="K77" s="13"/>
      <c r="L77" s="13"/>
      <c r="M77" s="13"/>
      <c r="N77" s="13"/>
      <c r="O77" s="13"/>
      <c r="P77" s="13"/>
      <c r="Q77" s="13"/>
      <c r="R77" s="13"/>
      <c r="S77" s="113"/>
      <c r="T77" s="64"/>
      <c r="U77" s="103"/>
      <c r="V77" s="13"/>
      <c r="W77" s="22"/>
    </row>
    <row r="78" spans="1:23" x14ac:dyDescent="0.3">
      <c r="A78" s="75"/>
      <c r="B78" s="12"/>
      <c r="C78" s="75"/>
      <c r="D78" s="13"/>
      <c r="E78" s="38"/>
      <c r="F78" s="40"/>
      <c r="G78" s="51"/>
      <c r="H78" s="13"/>
      <c r="I78" s="15"/>
      <c r="J78" s="15"/>
      <c r="K78" s="13"/>
      <c r="L78" s="13"/>
      <c r="M78" s="13"/>
      <c r="N78" s="13"/>
      <c r="O78" s="13"/>
      <c r="P78" s="13"/>
      <c r="Q78" s="13"/>
      <c r="R78" s="13"/>
      <c r="S78" s="113"/>
      <c r="T78" s="64"/>
      <c r="U78" s="103"/>
      <c r="V78" s="13"/>
      <c r="W78" s="13"/>
    </row>
    <row r="79" spans="1:23" x14ac:dyDescent="0.3">
      <c r="A79" s="75"/>
      <c r="B79" s="12"/>
      <c r="C79" s="75"/>
      <c r="D79" s="13"/>
      <c r="E79" s="38"/>
      <c r="F79" s="40"/>
      <c r="G79" s="51"/>
      <c r="H79" s="13"/>
      <c r="I79" s="15"/>
      <c r="J79" s="15"/>
      <c r="K79" s="13"/>
      <c r="L79" s="13"/>
      <c r="M79" s="13"/>
      <c r="N79" s="13"/>
      <c r="O79" s="13"/>
      <c r="P79" s="13"/>
      <c r="Q79" s="13"/>
      <c r="R79" s="13"/>
      <c r="S79" s="113"/>
      <c r="T79" s="64"/>
      <c r="U79" s="103"/>
      <c r="V79" s="13"/>
      <c r="W79" s="13"/>
    </row>
  </sheetData>
  <mergeCells count="2">
    <mergeCell ref="A8:P8"/>
    <mergeCell ref="Q8:W8"/>
  </mergeCells>
  <conditionalFormatting sqref="U9">
    <cfRule type="cellIs" dxfId="43" priority="17" operator="between">
      <formula>6</formula>
      <formula>10</formula>
    </cfRule>
    <cfRule type="cellIs" dxfId="42" priority="18" operator="between">
      <formula>1</formula>
      <formula>5</formula>
    </cfRule>
  </conditionalFormatting>
  <conditionalFormatting sqref="U9">
    <cfRule type="cellIs" dxfId="41" priority="16" operator="between">
      <formula>11</formula>
      <formula>30</formula>
    </cfRule>
  </conditionalFormatting>
  <dataValidations count="3">
    <dataValidation type="list" allowBlank="1" showInputMessage="1" showErrorMessage="1" sqref="L10:N79" xr:uid="{287D5C9B-8EF7-4058-8B31-0CA17EE03540}">
      <formula1>"Sim,Não"</formula1>
    </dataValidation>
    <dataValidation type="list" allowBlank="1" showInputMessage="1" showErrorMessage="1" sqref="K10:K79" xr:uid="{6D0FF0E2-9725-4D13-8384-A1C38FA85352}">
      <formula1>"Legado,Novo"</formula1>
    </dataValidation>
    <dataValidation type="list" allowBlank="1" showInputMessage="1" showErrorMessage="1" sqref="D10:D79" xr:uid="{9CE0ACC3-F8E3-4077-BA05-94EEBBB3D070}">
      <formula1>"Sim, 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D4961-9AD3-4835-B50A-2FC4E3542B61}">
  <sheetPr codeName="Planilha3"/>
  <dimension ref="A5:W80"/>
  <sheetViews>
    <sheetView showGridLines="0" topLeftCell="P1" zoomScale="95" zoomScaleNormal="95" workbookViewId="0">
      <selection activeCell="A10" sqref="A10:V10"/>
    </sheetView>
  </sheetViews>
  <sheetFormatPr defaultRowHeight="14.4" x14ac:dyDescent="0.3"/>
  <cols>
    <col min="1" max="1" width="22.88671875" style="18" bestFit="1" customWidth="1"/>
    <col min="2" max="2" width="21.5546875" style="17" bestFit="1" customWidth="1"/>
    <col min="3" max="3" width="26" customWidth="1"/>
    <col min="4" max="4" width="15.109375" customWidth="1"/>
    <col min="5" max="5" width="59.33203125" style="2" bestFit="1" customWidth="1"/>
    <col min="6" max="6" width="18.109375" style="3" bestFit="1" customWidth="1"/>
    <col min="7" max="7" width="17.44140625" style="18" bestFit="1" customWidth="1"/>
    <col min="8" max="8" width="38.88671875" style="3" bestFit="1" customWidth="1"/>
    <col min="9" max="9" width="14.5546875" customWidth="1"/>
    <col min="10" max="10" width="15.33203125" bestFit="1" customWidth="1"/>
    <col min="11" max="11" width="21" bestFit="1" customWidth="1"/>
    <col min="12" max="12" width="11.5546875" bestFit="1" customWidth="1"/>
    <col min="13" max="13" width="13.44140625" bestFit="1" customWidth="1"/>
    <col min="14" max="14" width="30.33203125" bestFit="1" customWidth="1"/>
    <col min="15" max="15" width="77.109375" bestFit="1" customWidth="1"/>
    <col min="16" max="16" width="36.44140625" bestFit="1" customWidth="1"/>
    <col min="17" max="17" width="18.33203125" bestFit="1" customWidth="1"/>
    <col min="18" max="18" width="36.6640625" bestFit="1" customWidth="1"/>
    <col min="19" max="19" width="30" bestFit="1" customWidth="1"/>
    <col min="20" max="20" width="29.33203125" bestFit="1" customWidth="1"/>
    <col min="21" max="21" width="15" bestFit="1" customWidth="1"/>
    <col min="22" max="22" width="30" bestFit="1" customWidth="1"/>
    <col min="23" max="23" width="8.88671875" bestFit="1" customWidth="1"/>
  </cols>
  <sheetData>
    <row r="5" spans="1:23" x14ac:dyDescent="0.3">
      <c r="T5" s="66"/>
    </row>
    <row r="6" spans="1:23" x14ac:dyDescent="0.3">
      <c r="U6" s="110">
        <f ca="1">TODAY()</f>
        <v>44543</v>
      </c>
    </row>
    <row r="7" spans="1:23" s="8" customFormat="1" ht="3.75" customHeight="1" thickBot="1" x14ac:dyDescent="0.35">
      <c r="A7" s="20"/>
      <c r="B7" s="19"/>
      <c r="E7" s="9"/>
      <c r="F7" s="10"/>
      <c r="G7" s="20"/>
      <c r="H7" s="10"/>
    </row>
    <row r="8" spans="1:23" ht="15" thickBot="1" x14ac:dyDescent="0.35">
      <c r="A8" s="123" t="s">
        <v>62</v>
      </c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4"/>
      <c r="Q8" s="125" t="s">
        <v>63</v>
      </c>
      <c r="R8" s="126"/>
      <c r="S8" s="126"/>
      <c r="T8" s="126"/>
      <c r="U8" s="126"/>
      <c r="V8" s="126"/>
      <c r="W8" s="126"/>
    </row>
    <row r="9" spans="1:23" ht="28.8" x14ac:dyDescent="0.3">
      <c r="A9" s="77" t="s">
        <v>1</v>
      </c>
      <c r="B9" s="78" t="s">
        <v>2</v>
      </c>
      <c r="C9" s="79" t="s">
        <v>3</v>
      </c>
      <c r="D9" s="79" t="s">
        <v>4</v>
      </c>
      <c r="E9" s="80" t="s">
        <v>5</v>
      </c>
      <c r="F9" s="81" t="s">
        <v>64</v>
      </c>
      <c r="G9" s="80" t="s">
        <v>6</v>
      </c>
      <c r="H9" s="82" t="s">
        <v>7</v>
      </c>
      <c r="I9" s="83" t="s">
        <v>8</v>
      </c>
      <c r="J9" s="84" t="s">
        <v>9</v>
      </c>
      <c r="K9" s="85" t="s">
        <v>10</v>
      </c>
      <c r="L9" s="79" t="s">
        <v>11</v>
      </c>
      <c r="M9" s="79" t="s">
        <v>12</v>
      </c>
      <c r="N9" s="79" t="s">
        <v>13</v>
      </c>
      <c r="O9" s="79" t="s">
        <v>14</v>
      </c>
      <c r="P9" s="79" t="s">
        <v>15</v>
      </c>
      <c r="Q9" s="79" t="s">
        <v>16</v>
      </c>
      <c r="R9" s="79" t="s">
        <v>17</v>
      </c>
      <c r="S9" s="79" t="s">
        <v>18</v>
      </c>
      <c r="T9" s="81" t="s">
        <v>19</v>
      </c>
      <c r="U9" s="86" t="s">
        <v>20</v>
      </c>
      <c r="V9" s="79" t="s">
        <v>21</v>
      </c>
      <c r="W9" s="77" t="s">
        <v>0</v>
      </c>
    </row>
    <row r="10" spans="1:23" x14ac:dyDescent="0.3">
      <c r="A10" s="75"/>
      <c r="B10" s="12"/>
      <c r="C10" s="75"/>
      <c r="D10" s="13"/>
      <c r="E10" s="38"/>
      <c r="F10" s="40"/>
      <c r="G10" s="51"/>
      <c r="H10" s="13"/>
      <c r="I10" s="15"/>
      <c r="J10" s="15"/>
      <c r="K10" s="13"/>
      <c r="L10" s="13"/>
      <c r="M10" s="13"/>
      <c r="N10" s="13"/>
      <c r="O10" s="13"/>
      <c r="P10" s="13"/>
      <c r="Q10" s="13"/>
      <c r="R10" s="13"/>
      <c r="S10" s="113"/>
      <c r="T10" s="64"/>
      <c r="U10" s="103"/>
      <c r="V10" s="13"/>
      <c r="W10" s="75" t="s">
        <v>40</v>
      </c>
    </row>
    <row r="11" spans="1:23" x14ac:dyDescent="0.3">
      <c r="A11" s="75"/>
      <c r="B11" s="12"/>
      <c r="C11" s="75"/>
      <c r="D11" s="13"/>
      <c r="E11" s="38"/>
      <c r="F11" s="40"/>
      <c r="G11" s="51"/>
      <c r="H11" s="13"/>
      <c r="I11" s="15"/>
      <c r="J11" s="15"/>
      <c r="K11" s="13"/>
      <c r="L11" s="13"/>
      <c r="M11" s="13"/>
      <c r="N11" s="13"/>
      <c r="O11" s="13"/>
      <c r="P11" s="13"/>
      <c r="Q11" s="13"/>
      <c r="R11" s="13"/>
      <c r="S11" s="113"/>
      <c r="T11" s="64"/>
      <c r="U11" s="103"/>
      <c r="V11" s="13"/>
      <c r="W11" s="75" t="s">
        <v>40</v>
      </c>
    </row>
    <row r="12" spans="1:23" x14ac:dyDescent="0.3">
      <c r="A12" s="75"/>
      <c r="B12" s="12"/>
      <c r="C12" s="75"/>
      <c r="D12" s="13"/>
      <c r="E12" s="38"/>
      <c r="F12" s="40"/>
      <c r="G12" s="51"/>
      <c r="H12" s="13"/>
      <c r="I12" s="15"/>
      <c r="J12" s="15"/>
      <c r="K12" s="13"/>
      <c r="L12" s="13"/>
      <c r="M12" s="13"/>
      <c r="N12" s="13"/>
      <c r="O12" s="13"/>
      <c r="P12" s="13"/>
      <c r="Q12" s="13"/>
      <c r="R12" s="13"/>
      <c r="S12" s="113"/>
      <c r="T12" s="64"/>
      <c r="U12" s="103"/>
      <c r="V12" s="13"/>
      <c r="W12" s="75" t="s">
        <v>40</v>
      </c>
    </row>
    <row r="13" spans="1:23" x14ac:dyDescent="0.3">
      <c r="A13" s="75"/>
      <c r="B13" s="12"/>
      <c r="C13" s="75"/>
      <c r="D13" s="13"/>
      <c r="E13" s="38"/>
      <c r="F13" s="40"/>
      <c r="G13" s="51"/>
      <c r="H13" s="13"/>
      <c r="I13" s="15"/>
      <c r="J13" s="15"/>
      <c r="K13" s="13"/>
      <c r="L13" s="13"/>
      <c r="M13" s="13"/>
      <c r="N13" s="13"/>
      <c r="O13" s="13"/>
      <c r="P13" s="13"/>
      <c r="Q13" s="13"/>
      <c r="R13" s="13"/>
      <c r="S13" s="113"/>
      <c r="T13" s="64"/>
      <c r="U13" s="103"/>
      <c r="V13" s="13"/>
      <c r="W13" s="75" t="s">
        <v>40</v>
      </c>
    </row>
    <row r="14" spans="1:23" x14ac:dyDescent="0.3">
      <c r="A14" s="75"/>
      <c r="B14" s="12"/>
      <c r="C14" s="75"/>
      <c r="D14" s="13"/>
      <c r="E14" s="38"/>
      <c r="F14" s="40"/>
      <c r="G14" s="51"/>
      <c r="H14" s="13"/>
      <c r="I14" s="15"/>
      <c r="J14" s="15"/>
      <c r="K14" s="13"/>
      <c r="L14" s="13"/>
      <c r="M14" s="13"/>
      <c r="N14" s="13"/>
      <c r="O14" s="13"/>
      <c r="P14" s="13"/>
      <c r="Q14" s="13"/>
      <c r="R14" s="13"/>
      <c r="S14" s="113"/>
      <c r="T14" s="64"/>
      <c r="U14" s="103"/>
      <c r="V14" s="13"/>
      <c r="W14" s="75" t="s">
        <v>40</v>
      </c>
    </row>
    <row r="15" spans="1:23" x14ac:dyDescent="0.3">
      <c r="A15" s="75"/>
      <c r="B15" s="12"/>
      <c r="C15" s="75"/>
      <c r="D15" s="13"/>
      <c r="E15" s="38"/>
      <c r="F15" s="40"/>
      <c r="G15" s="51"/>
      <c r="H15" s="13"/>
      <c r="I15" s="15"/>
      <c r="J15" s="15"/>
      <c r="K15" s="13"/>
      <c r="L15" s="13"/>
      <c r="M15" s="13"/>
      <c r="N15" s="13"/>
      <c r="O15" s="13"/>
      <c r="P15" s="13"/>
      <c r="Q15" s="13"/>
      <c r="R15" s="13"/>
      <c r="S15" s="113"/>
      <c r="T15" s="64"/>
      <c r="U15" s="103"/>
      <c r="V15" s="13"/>
      <c r="W15" s="75" t="s">
        <v>40</v>
      </c>
    </row>
    <row r="16" spans="1:23" x14ac:dyDescent="0.3">
      <c r="A16" s="75"/>
      <c r="B16" s="12"/>
      <c r="C16" s="75"/>
      <c r="D16" s="13"/>
      <c r="E16" s="38"/>
      <c r="F16" s="40"/>
      <c r="G16" s="51"/>
      <c r="H16" s="13"/>
      <c r="I16" s="15"/>
      <c r="J16" s="15"/>
      <c r="K16" s="13"/>
      <c r="L16" s="13"/>
      <c r="M16" s="13"/>
      <c r="N16" s="13"/>
      <c r="O16" s="13"/>
      <c r="P16" s="13"/>
      <c r="Q16" s="13"/>
      <c r="R16" s="13"/>
      <c r="S16" s="113"/>
      <c r="T16" s="64"/>
      <c r="U16" s="103"/>
      <c r="V16" s="13"/>
      <c r="W16" s="75" t="s">
        <v>40</v>
      </c>
    </row>
    <row r="17" spans="1:23" x14ac:dyDescent="0.3">
      <c r="A17" s="75"/>
      <c r="B17" s="12"/>
      <c r="C17" s="75"/>
      <c r="D17" s="13"/>
      <c r="E17" s="38"/>
      <c r="F17" s="40"/>
      <c r="G17" s="51"/>
      <c r="H17" s="13"/>
      <c r="I17" s="15"/>
      <c r="J17" s="15"/>
      <c r="K17" s="13"/>
      <c r="L17" s="13"/>
      <c r="M17" s="13"/>
      <c r="N17" s="13"/>
      <c r="O17" s="13"/>
      <c r="P17" s="13"/>
      <c r="Q17" s="13"/>
      <c r="R17" s="13"/>
      <c r="S17" s="113"/>
      <c r="T17" s="64"/>
      <c r="U17" s="103"/>
      <c r="V17" s="13"/>
      <c r="W17" s="75" t="s">
        <v>40</v>
      </c>
    </row>
    <row r="18" spans="1:23" x14ac:dyDescent="0.3">
      <c r="A18" s="75"/>
      <c r="B18" s="12"/>
      <c r="C18" s="75"/>
      <c r="D18" s="13"/>
      <c r="E18" s="38"/>
      <c r="F18" s="40"/>
      <c r="G18" s="51"/>
      <c r="H18" s="13"/>
      <c r="I18" s="15"/>
      <c r="J18" s="15"/>
      <c r="K18" s="13"/>
      <c r="L18" s="13"/>
      <c r="M18" s="13"/>
      <c r="N18" s="13"/>
      <c r="O18" s="13"/>
      <c r="P18" s="13"/>
      <c r="Q18" s="13"/>
      <c r="R18" s="13"/>
      <c r="S18" s="113"/>
      <c r="T18" s="64"/>
      <c r="U18" s="103"/>
      <c r="V18" s="13"/>
      <c r="W18" s="75" t="s">
        <v>40</v>
      </c>
    </row>
    <row r="19" spans="1:23" x14ac:dyDescent="0.3">
      <c r="A19" s="75"/>
      <c r="B19" s="12"/>
      <c r="C19" s="75"/>
      <c r="D19" s="13"/>
      <c r="E19" s="38"/>
      <c r="F19" s="40"/>
      <c r="G19" s="51"/>
      <c r="H19" s="13"/>
      <c r="I19" s="15"/>
      <c r="J19" s="15"/>
      <c r="K19" s="13"/>
      <c r="L19" s="13"/>
      <c r="M19" s="13"/>
      <c r="N19" s="13"/>
      <c r="O19" s="13"/>
      <c r="P19" s="13"/>
      <c r="Q19" s="13"/>
      <c r="R19" s="13"/>
      <c r="S19" s="113"/>
      <c r="T19" s="64"/>
      <c r="U19" s="103"/>
      <c r="V19" s="13"/>
      <c r="W19" s="75" t="s">
        <v>40</v>
      </c>
    </row>
    <row r="20" spans="1:23" x14ac:dyDescent="0.3">
      <c r="A20" s="75"/>
      <c r="B20" s="12"/>
      <c r="C20" s="75"/>
      <c r="D20" s="13"/>
      <c r="E20" s="38"/>
      <c r="F20" s="40"/>
      <c r="G20" s="51"/>
      <c r="H20" s="13"/>
      <c r="I20" s="15"/>
      <c r="J20" s="15"/>
      <c r="K20" s="13"/>
      <c r="L20" s="13"/>
      <c r="M20" s="13"/>
      <c r="N20" s="13"/>
      <c r="O20" s="13"/>
      <c r="P20" s="13"/>
      <c r="Q20" s="13"/>
      <c r="R20" s="13"/>
      <c r="S20" s="113"/>
      <c r="T20" s="64"/>
      <c r="U20" s="103"/>
      <c r="V20" s="13"/>
      <c r="W20" s="75" t="s">
        <v>40</v>
      </c>
    </row>
    <row r="21" spans="1:23" x14ac:dyDescent="0.3">
      <c r="A21" s="75"/>
      <c r="B21" s="12"/>
      <c r="C21" s="75"/>
      <c r="D21" s="13"/>
      <c r="E21" s="38"/>
      <c r="F21" s="40"/>
      <c r="G21" s="51"/>
      <c r="H21" s="13"/>
      <c r="I21" s="15"/>
      <c r="J21" s="15"/>
      <c r="K21" s="13"/>
      <c r="L21" s="13"/>
      <c r="M21" s="13"/>
      <c r="N21" s="13"/>
      <c r="O21" s="13"/>
      <c r="P21" s="13"/>
      <c r="Q21" s="13"/>
      <c r="R21" s="13"/>
      <c r="S21" s="113"/>
      <c r="T21" s="64"/>
      <c r="U21" s="103"/>
      <c r="V21" s="13"/>
      <c r="W21" s="75" t="s">
        <v>40</v>
      </c>
    </row>
    <row r="22" spans="1:23" x14ac:dyDescent="0.3">
      <c r="A22" s="75"/>
      <c r="B22" s="12"/>
      <c r="C22" s="75"/>
      <c r="D22" s="13"/>
      <c r="E22" s="38"/>
      <c r="F22" s="40"/>
      <c r="G22" s="51"/>
      <c r="H22" s="13"/>
      <c r="I22" s="15"/>
      <c r="J22" s="15"/>
      <c r="K22" s="13"/>
      <c r="L22" s="13"/>
      <c r="M22" s="13"/>
      <c r="N22" s="13"/>
      <c r="O22" s="13"/>
      <c r="P22" s="13"/>
      <c r="Q22" s="13"/>
      <c r="R22" s="13"/>
      <c r="S22" s="113"/>
      <c r="T22" s="64"/>
      <c r="U22" s="103"/>
      <c r="V22" s="13"/>
      <c r="W22" s="75" t="s">
        <v>40</v>
      </c>
    </row>
    <row r="23" spans="1:23" x14ac:dyDescent="0.3">
      <c r="A23" s="75"/>
      <c r="B23" s="12"/>
      <c r="C23" s="75"/>
      <c r="D23" s="13"/>
      <c r="E23" s="38"/>
      <c r="F23" s="40"/>
      <c r="G23" s="51"/>
      <c r="H23" s="13"/>
      <c r="I23" s="15"/>
      <c r="J23" s="15"/>
      <c r="K23" s="13"/>
      <c r="L23" s="13"/>
      <c r="M23" s="13"/>
      <c r="N23" s="13"/>
      <c r="O23" s="13"/>
      <c r="P23" s="13"/>
      <c r="Q23" s="13"/>
      <c r="R23" s="13"/>
      <c r="S23" s="113"/>
      <c r="T23" s="64"/>
      <c r="U23" s="103"/>
      <c r="V23" s="13"/>
      <c r="W23" s="75" t="s">
        <v>40</v>
      </c>
    </row>
    <row r="24" spans="1:23" x14ac:dyDescent="0.3">
      <c r="A24" s="75"/>
      <c r="B24" s="12"/>
      <c r="C24" s="75"/>
      <c r="D24" s="13"/>
      <c r="E24" s="38"/>
      <c r="F24" s="40"/>
      <c r="G24" s="51"/>
      <c r="H24" s="13"/>
      <c r="I24" s="15"/>
      <c r="J24" s="15"/>
      <c r="K24" s="13"/>
      <c r="L24" s="13"/>
      <c r="M24" s="13"/>
      <c r="N24" s="13"/>
      <c r="O24" s="13"/>
      <c r="P24" s="13"/>
      <c r="Q24" s="13"/>
      <c r="R24" s="13"/>
      <c r="S24" s="113"/>
      <c r="T24" s="64"/>
      <c r="U24" s="103"/>
      <c r="V24" s="13"/>
      <c r="W24" s="75" t="s">
        <v>40</v>
      </c>
    </row>
    <row r="25" spans="1:23" x14ac:dyDescent="0.3">
      <c r="A25" s="75"/>
      <c r="B25" s="12"/>
      <c r="C25" s="75"/>
      <c r="D25" s="13"/>
      <c r="E25" s="38"/>
      <c r="F25" s="40"/>
      <c r="G25" s="51"/>
      <c r="H25" s="13"/>
      <c r="I25" s="15"/>
      <c r="J25" s="15"/>
      <c r="K25" s="13"/>
      <c r="L25" s="13"/>
      <c r="M25" s="13"/>
      <c r="N25" s="13"/>
      <c r="O25" s="13"/>
      <c r="P25" s="13"/>
      <c r="Q25" s="13"/>
      <c r="R25" s="13"/>
      <c r="S25" s="113"/>
      <c r="T25" s="64"/>
      <c r="U25" s="103"/>
      <c r="V25" s="13"/>
      <c r="W25" s="75" t="s">
        <v>40</v>
      </c>
    </row>
    <row r="26" spans="1:23" x14ac:dyDescent="0.3">
      <c r="A26" s="75"/>
      <c r="B26" s="12"/>
      <c r="C26" s="75"/>
      <c r="D26" s="13"/>
      <c r="E26" s="38"/>
      <c r="F26" s="40"/>
      <c r="G26" s="51"/>
      <c r="H26" s="13"/>
      <c r="I26" s="15"/>
      <c r="J26" s="15"/>
      <c r="K26" s="13"/>
      <c r="L26" s="13"/>
      <c r="M26" s="13"/>
      <c r="N26" s="13"/>
      <c r="O26" s="13"/>
      <c r="P26" s="13"/>
      <c r="Q26" s="13"/>
      <c r="R26" s="13"/>
      <c r="S26" s="113"/>
      <c r="T26" s="64"/>
      <c r="U26" s="103"/>
      <c r="V26" s="13"/>
      <c r="W26" s="75" t="s">
        <v>40</v>
      </c>
    </row>
    <row r="27" spans="1:23" x14ac:dyDescent="0.3">
      <c r="A27" s="75"/>
      <c r="B27" s="12"/>
      <c r="C27" s="75"/>
      <c r="D27" s="13"/>
      <c r="E27" s="38"/>
      <c r="F27" s="40"/>
      <c r="G27" s="51"/>
      <c r="H27" s="13"/>
      <c r="I27" s="15"/>
      <c r="J27" s="15"/>
      <c r="K27" s="13"/>
      <c r="L27" s="13"/>
      <c r="M27" s="13"/>
      <c r="N27" s="13"/>
      <c r="O27" s="13"/>
      <c r="P27" s="13"/>
      <c r="Q27" s="13"/>
      <c r="R27" s="13"/>
      <c r="S27" s="113"/>
      <c r="T27" s="64"/>
      <c r="U27" s="103"/>
      <c r="V27" s="13"/>
      <c r="W27" s="75" t="s">
        <v>40</v>
      </c>
    </row>
    <row r="28" spans="1:23" x14ac:dyDescent="0.3">
      <c r="A28" s="75"/>
      <c r="B28" s="12"/>
      <c r="C28" s="75"/>
      <c r="D28" s="13"/>
      <c r="E28" s="38"/>
      <c r="F28" s="40"/>
      <c r="G28" s="51"/>
      <c r="H28" s="13"/>
      <c r="I28" s="15"/>
      <c r="J28" s="15"/>
      <c r="K28" s="13"/>
      <c r="L28" s="13"/>
      <c r="M28" s="13"/>
      <c r="N28" s="13"/>
      <c r="O28" s="13"/>
      <c r="P28" s="13"/>
      <c r="Q28" s="13"/>
      <c r="R28" s="13"/>
      <c r="S28" s="113"/>
      <c r="T28" s="64"/>
      <c r="U28" s="103"/>
      <c r="V28" s="13"/>
      <c r="W28" s="75" t="s">
        <v>40</v>
      </c>
    </row>
    <row r="29" spans="1:23" x14ac:dyDescent="0.3">
      <c r="A29" s="75"/>
      <c r="B29" s="12"/>
      <c r="C29" s="75"/>
      <c r="D29" s="13"/>
      <c r="E29" s="38"/>
      <c r="F29" s="40"/>
      <c r="G29" s="51"/>
      <c r="H29" s="13"/>
      <c r="I29" s="15"/>
      <c r="J29" s="15"/>
      <c r="K29" s="13"/>
      <c r="L29" s="13"/>
      <c r="M29" s="13"/>
      <c r="N29" s="13"/>
      <c r="O29" s="13"/>
      <c r="P29" s="13"/>
      <c r="Q29" s="13"/>
      <c r="R29" s="13"/>
      <c r="S29" s="113"/>
      <c r="T29" s="64"/>
      <c r="U29" s="103"/>
      <c r="V29" s="13"/>
      <c r="W29" s="75" t="s">
        <v>40</v>
      </c>
    </row>
    <row r="30" spans="1:23" x14ac:dyDescent="0.3">
      <c r="A30" s="75"/>
      <c r="B30" s="12"/>
      <c r="C30" s="75"/>
      <c r="D30" s="13"/>
      <c r="E30" s="38"/>
      <c r="F30" s="40"/>
      <c r="G30" s="51"/>
      <c r="H30" s="13"/>
      <c r="I30" s="15"/>
      <c r="J30" s="15"/>
      <c r="K30" s="13"/>
      <c r="L30" s="13"/>
      <c r="M30" s="13"/>
      <c r="N30" s="13"/>
      <c r="O30" s="13"/>
      <c r="P30" s="13"/>
      <c r="Q30" s="13"/>
      <c r="R30" s="13"/>
      <c r="S30" s="113"/>
      <c r="T30" s="64"/>
      <c r="U30" s="103"/>
      <c r="V30" s="13"/>
      <c r="W30" s="75" t="s">
        <v>40</v>
      </c>
    </row>
    <row r="31" spans="1:23" x14ac:dyDescent="0.3">
      <c r="A31" s="75"/>
      <c r="B31" s="12"/>
      <c r="C31" s="75"/>
      <c r="D31" s="13"/>
      <c r="E31" s="38"/>
      <c r="F31" s="40"/>
      <c r="G31" s="51"/>
      <c r="H31" s="13"/>
      <c r="I31" s="15"/>
      <c r="J31" s="15"/>
      <c r="K31" s="13"/>
      <c r="L31" s="13"/>
      <c r="M31" s="13"/>
      <c r="N31" s="13"/>
      <c r="O31" s="13"/>
      <c r="P31" s="13"/>
      <c r="Q31" s="13"/>
      <c r="R31" s="13"/>
      <c r="S31" s="113"/>
      <c r="T31" s="64"/>
      <c r="U31" s="103"/>
      <c r="V31" s="13"/>
      <c r="W31" s="75" t="s">
        <v>40</v>
      </c>
    </row>
    <row r="32" spans="1:23" x14ac:dyDescent="0.3">
      <c r="A32" s="75"/>
      <c r="B32" s="12"/>
      <c r="C32" s="75"/>
      <c r="D32" s="13"/>
      <c r="E32" s="38"/>
      <c r="F32" s="40"/>
      <c r="G32" s="51"/>
      <c r="H32" s="13"/>
      <c r="I32" s="15"/>
      <c r="J32" s="15"/>
      <c r="K32" s="13"/>
      <c r="L32" s="13"/>
      <c r="M32" s="13"/>
      <c r="N32" s="13"/>
      <c r="O32" s="13"/>
      <c r="P32" s="13"/>
      <c r="Q32" s="13"/>
      <c r="R32" s="13"/>
      <c r="S32" s="113"/>
      <c r="T32" s="64"/>
      <c r="U32" s="103"/>
      <c r="V32" s="13"/>
      <c r="W32" s="75" t="s">
        <v>40</v>
      </c>
    </row>
    <row r="33" spans="1:23" x14ac:dyDescent="0.3">
      <c r="A33" s="75"/>
      <c r="B33" s="12"/>
      <c r="C33" s="75"/>
      <c r="D33" s="13"/>
      <c r="E33" s="38"/>
      <c r="F33" s="40"/>
      <c r="G33" s="51"/>
      <c r="H33" s="13"/>
      <c r="I33" s="15"/>
      <c r="J33" s="15"/>
      <c r="K33" s="13"/>
      <c r="L33" s="13"/>
      <c r="M33" s="13"/>
      <c r="N33" s="13"/>
      <c r="O33" s="13"/>
      <c r="P33" s="13"/>
      <c r="Q33" s="13"/>
      <c r="R33" s="13"/>
      <c r="S33" s="113"/>
      <c r="T33" s="64"/>
      <c r="U33" s="103"/>
      <c r="V33" s="13"/>
      <c r="W33" s="75" t="s">
        <v>40</v>
      </c>
    </row>
    <row r="34" spans="1:23" x14ac:dyDescent="0.3">
      <c r="A34" s="75"/>
      <c r="B34" s="12"/>
      <c r="C34" s="75"/>
      <c r="D34" s="13"/>
      <c r="E34" s="38"/>
      <c r="F34" s="40"/>
      <c r="G34" s="51"/>
      <c r="H34" s="13"/>
      <c r="I34" s="15"/>
      <c r="J34" s="15"/>
      <c r="K34" s="13"/>
      <c r="L34" s="13"/>
      <c r="M34" s="13"/>
      <c r="N34" s="13"/>
      <c r="O34" s="13"/>
      <c r="P34" s="13"/>
      <c r="Q34" s="13"/>
      <c r="R34" s="13"/>
      <c r="S34" s="113"/>
      <c r="T34" s="64"/>
      <c r="U34" s="103"/>
      <c r="V34" s="13"/>
      <c r="W34" s="75" t="s">
        <v>40</v>
      </c>
    </row>
    <row r="35" spans="1:23" x14ac:dyDescent="0.3">
      <c r="A35" s="75"/>
      <c r="B35" s="12"/>
      <c r="C35" s="75"/>
      <c r="D35" s="13"/>
      <c r="E35" s="38"/>
      <c r="F35" s="40"/>
      <c r="G35" s="51"/>
      <c r="H35" s="13"/>
      <c r="I35" s="15"/>
      <c r="J35" s="15"/>
      <c r="K35" s="13"/>
      <c r="L35" s="13"/>
      <c r="M35" s="13"/>
      <c r="N35" s="13"/>
      <c r="O35" s="13"/>
      <c r="P35" s="13"/>
      <c r="Q35" s="13"/>
      <c r="R35" s="13"/>
      <c r="S35" s="113"/>
      <c r="T35" s="64"/>
      <c r="U35" s="103"/>
      <c r="V35" s="13"/>
      <c r="W35" s="75" t="s">
        <v>40</v>
      </c>
    </row>
    <row r="36" spans="1:23" x14ac:dyDescent="0.3">
      <c r="A36" s="75"/>
      <c r="B36" s="12"/>
      <c r="C36" s="75"/>
      <c r="D36" s="13"/>
      <c r="E36" s="38"/>
      <c r="F36" s="40"/>
      <c r="G36" s="51"/>
      <c r="H36" s="13"/>
      <c r="I36" s="15"/>
      <c r="J36" s="15"/>
      <c r="K36" s="13"/>
      <c r="L36" s="13"/>
      <c r="M36" s="13"/>
      <c r="N36" s="13"/>
      <c r="O36" s="13"/>
      <c r="P36" s="13"/>
      <c r="Q36" s="13"/>
      <c r="R36" s="13"/>
      <c r="S36" s="113"/>
      <c r="T36" s="64"/>
      <c r="U36" s="103"/>
      <c r="V36" s="13"/>
      <c r="W36" s="75" t="s">
        <v>40</v>
      </c>
    </row>
    <row r="37" spans="1:23" x14ac:dyDescent="0.3">
      <c r="A37" s="75"/>
      <c r="B37" s="12"/>
      <c r="C37" s="75"/>
      <c r="D37" s="13"/>
      <c r="E37" s="38"/>
      <c r="F37" s="40"/>
      <c r="G37" s="51"/>
      <c r="H37" s="13"/>
      <c r="I37" s="15"/>
      <c r="J37" s="15"/>
      <c r="K37" s="13"/>
      <c r="L37" s="13"/>
      <c r="M37" s="13"/>
      <c r="N37" s="13"/>
      <c r="O37" s="13"/>
      <c r="P37" s="13"/>
      <c r="Q37" s="13"/>
      <c r="R37" s="13"/>
      <c r="S37" s="113"/>
      <c r="T37" s="64"/>
      <c r="U37" s="103"/>
      <c r="V37" s="13"/>
      <c r="W37" s="75" t="s">
        <v>40</v>
      </c>
    </row>
    <row r="38" spans="1:23" x14ac:dyDescent="0.3">
      <c r="A38" s="75"/>
      <c r="B38" s="12"/>
      <c r="C38" s="75"/>
      <c r="D38" s="13"/>
      <c r="E38" s="38"/>
      <c r="F38" s="40"/>
      <c r="G38" s="51"/>
      <c r="H38" s="13"/>
      <c r="I38" s="15"/>
      <c r="J38" s="15"/>
      <c r="K38" s="13"/>
      <c r="L38" s="13"/>
      <c r="M38" s="13"/>
      <c r="N38" s="13"/>
      <c r="O38" s="13"/>
      <c r="P38" s="13"/>
      <c r="Q38" s="13"/>
      <c r="R38" s="13"/>
      <c r="S38" s="113"/>
      <c r="T38" s="64"/>
      <c r="U38" s="103"/>
      <c r="V38" s="13"/>
      <c r="W38" s="75" t="s">
        <v>40</v>
      </c>
    </row>
    <row r="39" spans="1:23" x14ac:dyDescent="0.3">
      <c r="A39" s="75"/>
      <c r="B39" s="12"/>
      <c r="C39" s="75"/>
      <c r="D39" s="13"/>
      <c r="E39" s="38"/>
      <c r="F39" s="40"/>
      <c r="G39" s="51"/>
      <c r="H39" s="13"/>
      <c r="I39" s="15"/>
      <c r="J39" s="15"/>
      <c r="K39" s="13"/>
      <c r="L39" s="13"/>
      <c r="M39" s="13"/>
      <c r="N39" s="13"/>
      <c r="O39" s="13"/>
      <c r="P39" s="13"/>
      <c r="Q39" s="13"/>
      <c r="R39" s="13"/>
      <c r="S39" s="113"/>
      <c r="T39" s="64"/>
      <c r="U39" s="103"/>
      <c r="V39" s="13"/>
      <c r="W39" s="75" t="s">
        <v>40</v>
      </c>
    </row>
    <row r="40" spans="1:23" x14ac:dyDescent="0.3">
      <c r="A40" s="75"/>
      <c r="B40" s="12"/>
      <c r="C40" s="75"/>
      <c r="D40" s="13"/>
      <c r="E40" s="38"/>
      <c r="F40" s="40"/>
      <c r="G40" s="51"/>
      <c r="H40" s="13"/>
      <c r="I40" s="15"/>
      <c r="J40" s="15"/>
      <c r="K40" s="13"/>
      <c r="L40" s="13"/>
      <c r="M40" s="13"/>
      <c r="N40" s="13"/>
      <c r="O40" s="13"/>
      <c r="P40" s="13"/>
      <c r="Q40" s="13"/>
      <c r="R40" s="13"/>
      <c r="S40" s="113"/>
      <c r="T40" s="64"/>
      <c r="U40" s="103"/>
      <c r="V40" s="13"/>
      <c r="W40" s="75" t="s">
        <v>40</v>
      </c>
    </row>
    <row r="41" spans="1:23" x14ac:dyDescent="0.3">
      <c r="A41" s="75"/>
      <c r="B41" s="12"/>
      <c r="C41" s="75"/>
      <c r="D41" s="13"/>
      <c r="E41" s="38"/>
      <c r="F41" s="40"/>
      <c r="G41" s="51"/>
      <c r="H41" s="13"/>
      <c r="I41" s="15"/>
      <c r="J41" s="15"/>
      <c r="K41" s="13"/>
      <c r="L41" s="13"/>
      <c r="M41" s="13"/>
      <c r="N41" s="13"/>
      <c r="O41" s="13"/>
      <c r="P41" s="13"/>
      <c r="Q41" s="13"/>
      <c r="R41" s="13"/>
      <c r="S41" s="113"/>
      <c r="T41" s="64"/>
      <c r="U41" s="103"/>
      <c r="V41" s="13"/>
      <c r="W41" s="75" t="s">
        <v>40</v>
      </c>
    </row>
    <row r="42" spans="1:23" x14ac:dyDescent="0.3">
      <c r="A42" s="75"/>
      <c r="B42" s="12"/>
      <c r="C42" s="75"/>
      <c r="D42" s="13"/>
      <c r="E42" s="38"/>
      <c r="F42" s="40"/>
      <c r="G42" s="51"/>
      <c r="H42" s="13"/>
      <c r="I42" s="15"/>
      <c r="J42" s="15"/>
      <c r="K42" s="13"/>
      <c r="L42" s="13"/>
      <c r="M42" s="13"/>
      <c r="N42" s="13"/>
      <c r="O42" s="13"/>
      <c r="P42" s="13"/>
      <c r="Q42" s="13"/>
      <c r="R42" s="13"/>
      <c r="S42" s="113"/>
      <c r="T42" s="64"/>
      <c r="U42" s="103"/>
      <c r="V42" s="13"/>
      <c r="W42" s="75" t="s">
        <v>40</v>
      </c>
    </row>
    <row r="43" spans="1:23" x14ac:dyDescent="0.3">
      <c r="A43" s="75"/>
      <c r="B43" s="12"/>
      <c r="C43" s="75"/>
      <c r="D43" s="13"/>
      <c r="E43" s="38"/>
      <c r="F43" s="40"/>
      <c r="G43" s="51"/>
      <c r="H43" s="13"/>
      <c r="I43" s="15"/>
      <c r="J43" s="15"/>
      <c r="K43" s="13"/>
      <c r="L43" s="13"/>
      <c r="M43" s="13"/>
      <c r="N43" s="13"/>
      <c r="O43" s="13"/>
      <c r="P43" s="13"/>
      <c r="Q43" s="13"/>
      <c r="R43" s="13"/>
      <c r="S43" s="113"/>
      <c r="T43" s="64"/>
      <c r="U43" s="103"/>
      <c r="V43" s="13"/>
      <c r="W43" s="75" t="s">
        <v>40</v>
      </c>
    </row>
    <row r="44" spans="1:23" x14ac:dyDescent="0.3">
      <c r="A44" s="75"/>
      <c r="B44" s="12"/>
      <c r="C44" s="75"/>
      <c r="D44" s="13"/>
      <c r="E44" s="38"/>
      <c r="F44" s="40"/>
      <c r="G44" s="51"/>
      <c r="H44" s="13"/>
      <c r="I44" s="15"/>
      <c r="J44" s="15"/>
      <c r="K44" s="13"/>
      <c r="L44" s="13"/>
      <c r="M44" s="13"/>
      <c r="N44" s="13"/>
      <c r="O44" s="13"/>
      <c r="P44" s="13"/>
      <c r="Q44" s="13"/>
      <c r="R44" s="13"/>
      <c r="S44" s="113"/>
      <c r="T44" s="64"/>
      <c r="U44" s="103"/>
      <c r="V44" s="13"/>
      <c r="W44" s="75" t="s">
        <v>40</v>
      </c>
    </row>
    <row r="45" spans="1:23" x14ac:dyDescent="0.3">
      <c r="A45" s="75"/>
      <c r="B45" s="12"/>
      <c r="C45" s="75"/>
      <c r="D45" s="13"/>
      <c r="E45" s="38"/>
      <c r="F45" s="40"/>
      <c r="G45" s="51"/>
      <c r="H45" s="13"/>
      <c r="I45" s="15"/>
      <c r="J45" s="15"/>
      <c r="K45" s="13"/>
      <c r="L45" s="13"/>
      <c r="M45" s="13"/>
      <c r="N45" s="13"/>
      <c r="O45" s="13"/>
      <c r="P45" s="13"/>
      <c r="Q45" s="13"/>
      <c r="R45" s="13"/>
      <c r="S45" s="113"/>
      <c r="T45" s="64"/>
      <c r="U45" s="103"/>
      <c r="V45" s="13"/>
      <c r="W45" s="75" t="s">
        <v>40</v>
      </c>
    </row>
    <row r="46" spans="1:23" x14ac:dyDescent="0.3">
      <c r="A46" s="75"/>
      <c r="B46" s="12"/>
      <c r="C46" s="75"/>
      <c r="D46" s="13"/>
      <c r="E46" s="38"/>
      <c r="F46" s="40"/>
      <c r="G46" s="51"/>
      <c r="H46" s="13"/>
      <c r="I46" s="15"/>
      <c r="J46" s="15"/>
      <c r="K46" s="13"/>
      <c r="L46" s="13"/>
      <c r="M46" s="13"/>
      <c r="N46" s="13"/>
      <c r="O46" s="13"/>
      <c r="P46" s="13"/>
      <c r="Q46" s="13"/>
      <c r="R46" s="13"/>
      <c r="S46" s="113"/>
      <c r="T46" s="64"/>
      <c r="U46" s="103"/>
      <c r="V46" s="13"/>
      <c r="W46" s="75" t="s">
        <v>40</v>
      </c>
    </row>
    <row r="47" spans="1:23" x14ac:dyDescent="0.3">
      <c r="A47" s="75"/>
      <c r="B47" s="12"/>
      <c r="C47" s="75"/>
      <c r="D47" s="13"/>
      <c r="E47" s="38"/>
      <c r="F47" s="40"/>
      <c r="G47" s="51"/>
      <c r="H47" s="13"/>
      <c r="I47" s="15"/>
      <c r="J47" s="15"/>
      <c r="K47" s="13"/>
      <c r="L47" s="13"/>
      <c r="M47" s="13"/>
      <c r="N47" s="13"/>
      <c r="O47" s="13"/>
      <c r="P47" s="13"/>
      <c r="Q47" s="13"/>
      <c r="R47" s="13"/>
      <c r="S47" s="113"/>
      <c r="T47" s="64"/>
      <c r="U47" s="103"/>
      <c r="V47" s="13"/>
      <c r="W47" s="75" t="s">
        <v>40</v>
      </c>
    </row>
    <row r="48" spans="1:23" x14ac:dyDescent="0.3">
      <c r="A48" s="75"/>
      <c r="B48" s="12"/>
      <c r="C48" s="75"/>
      <c r="D48" s="13"/>
      <c r="E48" s="38"/>
      <c r="F48" s="40"/>
      <c r="G48" s="51"/>
      <c r="H48" s="13"/>
      <c r="I48" s="15"/>
      <c r="J48" s="15"/>
      <c r="K48" s="13"/>
      <c r="L48" s="13"/>
      <c r="M48" s="13"/>
      <c r="N48" s="13"/>
      <c r="O48" s="13"/>
      <c r="P48" s="13"/>
      <c r="Q48" s="13"/>
      <c r="R48" s="13"/>
      <c r="S48" s="113"/>
      <c r="T48" s="64"/>
      <c r="U48" s="103"/>
      <c r="V48" s="13"/>
      <c r="W48" s="75" t="s">
        <v>40</v>
      </c>
    </row>
    <row r="49" spans="1:23" x14ac:dyDescent="0.3">
      <c r="A49" s="75"/>
      <c r="B49" s="12"/>
      <c r="C49" s="75"/>
      <c r="D49" s="13"/>
      <c r="E49" s="38"/>
      <c r="F49" s="40"/>
      <c r="G49" s="51"/>
      <c r="H49" s="13"/>
      <c r="I49" s="15"/>
      <c r="J49" s="15"/>
      <c r="K49" s="13"/>
      <c r="L49" s="13"/>
      <c r="M49" s="13"/>
      <c r="N49" s="13"/>
      <c r="O49" s="13"/>
      <c r="P49" s="13"/>
      <c r="Q49" s="13"/>
      <c r="R49" s="13"/>
      <c r="S49" s="113"/>
      <c r="T49" s="64"/>
      <c r="U49" s="103"/>
      <c r="V49" s="13"/>
      <c r="W49" s="75" t="s">
        <v>40</v>
      </c>
    </row>
    <row r="50" spans="1:23" x14ac:dyDescent="0.3">
      <c r="A50" s="75"/>
      <c r="B50" s="12"/>
      <c r="C50" s="75"/>
      <c r="D50" s="13"/>
      <c r="E50" s="38"/>
      <c r="F50" s="40"/>
      <c r="G50" s="51"/>
      <c r="H50" s="13"/>
      <c r="I50" s="15"/>
      <c r="J50" s="15"/>
      <c r="K50" s="13"/>
      <c r="L50" s="13"/>
      <c r="M50" s="13"/>
      <c r="N50" s="13"/>
      <c r="O50" s="13"/>
      <c r="P50" s="13"/>
      <c r="Q50" s="13"/>
      <c r="R50" s="13"/>
      <c r="S50" s="113"/>
      <c r="T50" s="64"/>
      <c r="U50" s="103"/>
      <c r="V50" s="13"/>
      <c r="W50" s="75" t="s">
        <v>40</v>
      </c>
    </row>
    <row r="51" spans="1:23" x14ac:dyDescent="0.3">
      <c r="A51" s="75"/>
      <c r="B51" s="12"/>
      <c r="C51" s="75"/>
      <c r="D51" s="13"/>
      <c r="E51" s="38"/>
      <c r="F51" s="40"/>
      <c r="G51" s="51"/>
      <c r="H51" s="13"/>
      <c r="I51" s="15"/>
      <c r="J51" s="15"/>
      <c r="K51" s="13"/>
      <c r="L51" s="13"/>
      <c r="M51" s="13"/>
      <c r="N51" s="13"/>
      <c r="O51" s="13"/>
      <c r="P51" s="13"/>
      <c r="Q51" s="13"/>
      <c r="R51" s="13"/>
      <c r="S51" s="113"/>
      <c r="T51" s="64"/>
      <c r="U51" s="103"/>
      <c r="V51" s="13"/>
      <c r="W51" s="75" t="s">
        <v>40</v>
      </c>
    </row>
    <row r="52" spans="1:23" x14ac:dyDescent="0.3">
      <c r="A52" s="75"/>
      <c r="B52" s="12"/>
      <c r="C52" s="75"/>
      <c r="D52" s="13"/>
      <c r="E52" s="38"/>
      <c r="F52" s="40"/>
      <c r="G52" s="51"/>
      <c r="H52" s="13"/>
      <c r="I52" s="15"/>
      <c r="J52" s="15"/>
      <c r="K52" s="13"/>
      <c r="L52" s="13"/>
      <c r="M52" s="13"/>
      <c r="N52" s="13"/>
      <c r="O52" s="13"/>
      <c r="P52" s="13"/>
      <c r="Q52" s="13"/>
      <c r="R52" s="13"/>
      <c r="S52" s="113"/>
      <c r="T52" s="64"/>
      <c r="U52" s="103"/>
      <c r="V52" s="13"/>
      <c r="W52" s="75" t="s">
        <v>40</v>
      </c>
    </row>
    <row r="53" spans="1:23" x14ac:dyDescent="0.3">
      <c r="A53" s="75"/>
      <c r="B53" s="12"/>
      <c r="C53" s="75"/>
      <c r="D53" s="13"/>
      <c r="E53" s="38"/>
      <c r="F53" s="40"/>
      <c r="G53" s="51"/>
      <c r="H53" s="13"/>
      <c r="I53" s="15"/>
      <c r="J53" s="15"/>
      <c r="K53" s="13"/>
      <c r="L53" s="13"/>
      <c r="M53" s="13"/>
      <c r="N53" s="13"/>
      <c r="O53" s="13"/>
      <c r="P53" s="13"/>
      <c r="Q53" s="13"/>
      <c r="R53" s="13"/>
      <c r="S53" s="113"/>
      <c r="T53" s="64"/>
      <c r="U53" s="103"/>
      <c r="V53" s="13"/>
      <c r="W53" s="75" t="s">
        <v>40</v>
      </c>
    </row>
    <row r="54" spans="1:23" x14ac:dyDescent="0.3">
      <c r="A54" s="75"/>
      <c r="B54" s="12"/>
      <c r="C54" s="75"/>
      <c r="D54" s="13"/>
      <c r="E54" s="38"/>
      <c r="F54" s="40"/>
      <c r="G54" s="51"/>
      <c r="H54" s="13"/>
      <c r="I54" s="15"/>
      <c r="J54" s="15"/>
      <c r="K54" s="13"/>
      <c r="L54" s="13"/>
      <c r="M54" s="13"/>
      <c r="N54" s="13"/>
      <c r="O54" s="13"/>
      <c r="P54" s="13"/>
      <c r="Q54" s="13"/>
      <c r="R54" s="13"/>
      <c r="S54" s="113"/>
      <c r="T54" s="64"/>
      <c r="U54" s="103"/>
      <c r="V54" s="13"/>
      <c r="W54" s="75" t="s">
        <v>40</v>
      </c>
    </row>
    <row r="55" spans="1:23" x14ac:dyDescent="0.3">
      <c r="A55" s="75"/>
      <c r="B55" s="12"/>
      <c r="C55" s="75"/>
      <c r="D55" s="13"/>
      <c r="E55" s="38"/>
      <c r="F55" s="40"/>
      <c r="G55" s="51"/>
      <c r="H55" s="13"/>
      <c r="I55" s="15"/>
      <c r="J55" s="15"/>
      <c r="K55" s="13"/>
      <c r="L55" s="13"/>
      <c r="M55" s="13"/>
      <c r="N55" s="13"/>
      <c r="O55" s="13"/>
      <c r="P55" s="13"/>
      <c r="Q55" s="13"/>
      <c r="R55" s="13"/>
      <c r="S55" s="113"/>
      <c r="T55" s="64"/>
      <c r="U55" s="103"/>
      <c r="V55" s="13"/>
      <c r="W55" s="75" t="s">
        <v>40</v>
      </c>
    </row>
    <row r="56" spans="1:23" x14ac:dyDescent="0.3">
      <c r="A56" s="75"/>
      <c r="B56" s="12"/>
      <c r="C56" s="75"/>
      <c r="D56" s="13"/>
      <c r="E56" s="38"/>
      <c r="F56" s="40"/>
      <c r="G56" s="51"/>
      <c r="H56" s="13"/>
      <c r="I56" s="15"/>
      <c r="J56" s="15"/>
      <c r="K56" s="13"/>
      <c r="L56" s="13"/>
      <c r="M56" s="13"/>
      <c r="N56" s="13"/>
      <c r="O56" s="13"/>
      <c r="P56" s="13"/>
      <c r="Q56" s="13"/>
      <c r="R56" s="13"/>
      <c r="S56" s="113"/>
      <c r="T56" s="64"/>
      <c r="U56" s="103"/>
      <c r="V56" s="13"/>
      <c r="W56" s="75" t="s">
        <v>40</v>
      </c>
    </row>
    <row r="57" spans="1:23" x14ac:dyDescent="0.3">
      <c r="A57" s="75"/>
      <c r="B57" s="12"/>
      <c r="C57" s="75"/>
      <c r="D57" s="13"/>
      <c r="E57" s="38"/>
      <c r="F57" s="40"/>
      <c r="G57" s="51"/>
      <c r="H57" s="13"/>
      <c r="I57" s="15"/>
      <c r="J57" s="15"/>
      <c r="K57" s="13"/>
      <c r="L57" s="13"/>
      <c r="M57" s="13"/>
      <c r="N57" s="13"/>
      <c r="O57" s="13"/>
      <c r="P57" s="13"/>
      <c r="Q57" s="13"/>
      <c r="R57" s="13"/>
      <c r="S57" s="113"/>
      <c r="T57" s="64"/>
      <c r="U57" s="103"/>
      <c r="V57" s="13"/>
      <c r="W57" s="75" t="s">
        <v>40</v>
      </c>
    </row>
    <row r="58" spans="1:23" x14ac:dyDescent="0.3">
      <c r="A58" s="75"/>
      <c r="B58" s="12"/>
      <c r="C58" s="75"/>
      <c r="D58" s="13"/>
      <c r="E58" s="38"/>
      <c r="F58" s="40"/>
      <c r="G58" s="51"/>
      <c r="H58" s="13"/>
      <c r="I58" s="15"/>
      <c r="J58" s="15"/>
      <c r="K58" s="13"/>
      <c r="L58" s="13"/>
      <c r="M58" s="13"/>
      <c r="N58" s="13"/>
      <c r="O58" s="13"/>
      <c r="P58" s="13"/>
      <c r="Q58" s="13"/>
      <c r="R58" s="13"/>
      <c r="S58" s="113"/>
      <c r="T58" s="64"/>
      <c r="U58" s="103"/>
      <c r="V58" s="13"/>
      <c r="W58" s="75" t="s">
        <v>40</v>
      </c>
    </row>
    <row r="59" spans="1:23" x14ac:dyDescent="0.3">
      <c r="A59" s="75"/>
      <c r="B59" s="12"/>
      <c r="C59" s="75"/>
      <c r="D59" s="13"/>
      <c r="E59" s="38"/>
      <c r="F59" s="40"/>
      <c r="G59" s="51"/>
      <c r="H59" s="13"/>
      <c r="I59" s="15"/>
      <c r="J59" s="15"/>
      <c r="K59" s="13"/>
      <c r="L59" s="13"/>
      <c r="M59" s="13"/>
      <c r="N59" s="13"/>
      <c r="O59" s="13"/>
      <c r="P59" s="13"/>
      <c r="Q59" s="13"/>
      <c r="R59" s="13"/>
      <c r="S59" s="113"/>
      <c r="T59" s="64"/>
      <c r="U59" s="103"/>
      <c r="V59" s="13"/>
      <c r="W59" s="75" t="s">
        <v>40</v>
      </c>
    </row>
    <row r="60" spans="1:23" x14ac:dyDescent="0.3">
      <c r="A60" s="75"/>
      <c r="B60" s="12"/>
      <c r="C60" s="75"/>
      <c r="D60" s="13"/>
      <c r="E60" s="38"/>
      <c r="F60" s="40"/>
      <c r="G60" s="51"/>
      <c r="H60" s="13"/>
      <c r="I60" s="15"/>
      <c r="J60" s="15"/>
      <c r="K60" s="13"/>
      <c r="L60" s="13"/>
      <c r="M60" s="13"/>
      <c r="N60" s="13"/>
      <c r="O60" s="13"/>
      <c r="P60" s="13"/>
      <c r="Q60" s="13"/>
      <c r="R60" s="13"/>
      <c r="S60" s="113"/>
      <c r="T60" s="64"/>
      <c r="U60" s="103"/>
      <c r="V60" s="13"/>
      <c r="W60" s="75" t="s">
        <v>40</v>
      </c>
    </row>
    <row r="61" spans="1:23" x14ac:dyDescent="0.3">
      <c r="A61" s="75"/>
      <c r="B61" s="12"/>
      <c r="C61" s="75"/>
      <c r="D61" s="13"/>
      <c r="E61" s="38"/>
      <c r="F61" s="40"/>
      <c r="G61" s="51"/>
      <c r="H61" s="13"/>
      <c r="I61" s="15"/>
      <c r="J61" s="15"/>
      <c r="K61" s="13"/>
      <c r="L61" s="13"/>
      <c r="M61" s="13"/>
      <c r="N61" s="13"/>
      <c r="O61" s="13"/>
      <c r="P61" s="13"/>
      <c r="Q61" s="13"/>
      <c r="R61" s="13"/>
      <c r="S61" s="113"/>
      <c r="T61" s="64"/>
      <c r="U61" s="103"/>
      <c r="V61" s="13"/>
      <c r="W61" s="75" t="s">
        <v>40</v>
      </c>
    </row>
    <row r="62" spans="1:23" x14ac:dyDescent="0.3">
      <c r="A62" s="75"/>
      <c r="B62" s="12"/>
      <c r="C62" s="75"/>
      <c r="D62" s="13"/>
      <c r="E62" s="38"/>
      <c r="F62" s="40"/>
      <c r="G62" s="51"/>
      <c r="H62" s="13"/>
      <c r="I62" s="15"/>
      <c r="J62" s="15"/>
      <c r="K62" s="13"/>
      <c r="L62" s="13"/>
      <c r="M62" s="13"/>
      <c r="N62" s="13"/>
      <c r="O62" s="13"/>
      <c r="P62" s="13"/>
      <c r="Q62" s="13"/>
      <c r="R62" s="13"/>
      <c r="S62" s="113"/>
      <c r="T62" s="64"/>
      <c r="U62" s="103"/>
      <c r="V62" s="13"/>
      <c r="W62" s="75" t="s">
        <v>40</v>
      </c>
    </row>
    <row r="63" spans="1:23" x14ac:dyDescent="0.3">
      <c r="A63" s="75"/>
      <c r="B63" s="12"/>
      <c r="C63" s="75"/>
      <c r="D63" s="13"/>
      <c r="E63" s="38"/>
      <c r="F63" s="40"/>
      <c r="G63" s="51"/>
      <c r="H63" s="13"/>
      <c r="I63" s="15"/>
      <c r="J63" s="15"/>
      <c r="K63" s="13"/>
      <c r="L63" s="13"/>
      <c r="M63" s="13"/>
      <c r="N63" s="13"/>
      <c r="O63" s="13"/>
      <c r="P63" s="13"/>
      <c r="Q63" s="13"/>
      <c r="R63" s="13"/>
      <c r="S63" s="113"/>
      <c r="T63" s="64"/>
      <c r="U63" s="103"/>
      <c r="V63" s="13"/>
      <c r="W63" s="75" t="s">
        <v>40</v>
      </c>
    </row>
    <row r="64" spans="1:23" x14ac:dyDescent="0.3">
      <c r="A64" s="75"/>
      <c r="B64" s="12"/>
      <c r="C64" s="75"/>
      <c r="D64" s="13"/>
      <c r="E64" s="38"/>
      <c r="F64" s="40"/>
      <c r="G64" s="51"/>
      <c r="H64" s="13"/>
      <c r="I64" s="15"/>
      <c r="J64" s="15"/>
      <c r="K64" s="13"/>
      <c r="L64" s="13"/>
      <c r="M64" s="13"/>
      <c r="N64" s="13"/>
      <c r="O64" s="13"/>
      <c r="P64" s="13"/>
      <c r="Q64" s="13"/>
      <c r="R64" s="13"/>
      <c r="S64" s="113"/>
      <c r="T64" s="64"/>
      <c r="U64" s="103"/>
      <c r="V64" s="13"/>
      <c r="W64" s="75" t="s">
        <v>40</v>
      </c>
    </row>
    <row r="65" spans="1:23" x14ac:dyDescent="0.3">
      <c r="A65" s="75"/>
      <c r="B65" s="12"/>
      <c r="C65" s="75"/>
      <c r="D65" s="13"/>
      <c r="E65" s="38"/>
      <c r="F65" s="40"/>
      <c r="G65" s="51"/>
      <c r="H65" s="13"/>
      <c r="I65" s="15"/>
      <c r="J65" s="15"/>
      <c r="K65" s="13"/>
      <c r="L65" s="13"/>
      <c r="M65" s="13"/>
      <c r="N65" s="13"/>
      <c r="O65" s="13"/>
      <c r="P65" s="13"/>
      <c r="Q65" s="13"/>
      <c r="R65" s="13"/>
      <c r="S65" s="113"/>
      <c r="T65" s="64"/>
      <c r="U65" s="103"/>
      <c r="V65" s="13"/>
      <c r="W65" s="75" t="s">
        <v>40</v>
      </c>
    </row>
    <row r="66" spans="1:23" x14ac:dyDescent="0.3">
      <c r="A66" s="75"/>
      <c r="B66" s="12"/>
      <c r="C66" s="75"/>
      <c r="D66" s="13"/>
      <c r="E66" s="38"/>
      <c r="F66" s="40"/>
      <c r="G66" s="51"/>
      <c r="H66" s="13"/>
      <c r="I66" s="15"/>
      <c r="J66" s="15"/>
      <c r="K66" s="13"/>
      <c r="L66" s="13"/>
      <c r="M66" s="13"/>
      <c r="N66" s="13"/>
      <c r="O66" s="13"/>
      <c r="P66" s="13"/>
      <c r="Q66" s="13"/>
      <c r="R66" s="13"/>
      <c r="S66" s="113"/>
      <c r="T66" s="64"/>
      <c r="U66" s="103"/>
      <c r="V66" s="13"/>
      <c r="W66" s="75" t="s">
        <v>40</v>
      </c>
    </row>
    <row r="67" spans="1:23" x14ac:dyDescent="0.3">
      <c r="A67" s="75"/>
      <c r="B67" s="12"/>
      <c r="C67" s="75"/>
      <c r="D67" s="13"/>
      <c r="E67" s="38"/>
      <c r="F67" s="40"/>
      <c r="G67" s="51"/>
      <c r="H67" s="13"/>
      <c r="I67" s="15"/>
      <c r="J67" s="15"/>
      <c r="K67" s="13"/>
      <c r="L67" s="13"/>
      <c r="M67" s="13"/>
      <c r="N67" s="13"/>
      <c r="O67" s="13"/>
      <c r="P67" s="13"/>
      <c r="Q67" s="13"/>
      <c r="R67" s="13"/>
      <c r="S67" s="113"/>
      <c r="T67" s="64"/>
      <c r="U67" s="103"/>
      <c r="V67" s="13"/>
      <c r="W67" s="75" t="s">
        <v>40</v>
      </c>
    </row>
    <row r="68" spans="1:23" x14ac:dyDescent="0.3">
      <c r="A68" s="75"/>
      <c r="B68" s="12"/>
      <c r="C68" s="75"/>
      <c r="D68" s="13"/>
      <c r="E68" s="38"/>
      <c r="F68" s="40"/>
      <c r="G68" s="51"/>
      <c r="H68" s="13"/>
      <c r="I68" s="15"/>
      <c r="J68" s="15"/>
      <c r="K68" s="13"/>
      <c r="L68" s="13"/>
      <c r="M68" s="13"/>
      <c r="N68" s="13"/>
      <c r="O68" s="13"/>
      <c r="P68" s="13"/>
      <c r="Q68" s="13"/>
      <c r="R68" s="13"/>
      <c r="S68" s="113"/>
      <c r="T68" s="64"/>
      <c r="U68" s="103"/>
      <c r="V68" s="13"/>
      <c r="W68" s="75" t="s">
        <v>40</v>
      </c>
    </row>
    <row r="69" spans="1:23" x14ac:dyDescent="0.3">
      <c r="A69" s="75"/>
      <c r="B69" s="12"/>
      <c r="C69" s="75"/>
      <c r="D69" s="13"/>
      <c r="E69" s="38"/>
      <c r="F69" s="40"/>
      <c r="G69" s="51"/>
      <c r="H69" s="13"/>
      <c r="I69" s="15"/>
      <c r="J69" s="15"/>
      <c r="K69" s="13"/>
      <c r="L69" s="13"/>
      <c r="M69" s="13"/>
      <c r="N69" s="13"/>
      <c r="O69" s="13"/>
      <c r="P69" s="13"/>
      <c r="Q69" s="13"/>
      <c r="R69" s="13"/>
      <c r="S69" s="113"/>
      <c r="T69" s="64"/>
      <c r="U69" s="103"/>
      <c r="V69" s="13"/>
      <c r="W69" s="75" t="s">
        <v>40</v>
      </c>
    </row>
    <row r="70" spans="1:23" x14ac:dyDescent="0.3">
      <c r="A70" s="75"/>
      <c r="B70" s="12"/>
      <c r="C70" s="75"/>
      <c r="D70" s="13"/>
      <c r="E70" s="38"/>
      <c r="F70" s="40"/>
      <c r="G70" s="51"/>
      <c r="H70" s="13"/>
      <c r="I70" s="15"/>
      <c r="J70" s="15"/>
      <c r="K70" s="13"/>
      <c r="L70" s="13"/>
      <c r="M70" s="13"/>
      <c r="N70" s="13"/>
      <c r="O70" s="13"/>
      <c r="P70" s="13"/>
      <c r="Q70" s="13"/>
      <c r="R70" s="13"/>
      <c r="S70" s="113"/>
      <c r="T70" s="64"/>
      <c r="U70" s="103"/>
      <c r="V70" s="13"/>
      <c r="W70" s="75" t="s">
        <v>40</v>
      </c>
    </row>
    <row r="71" spans="1:23" x14ac:dyDescent="0.3">
      <c r="A71" s="75"/>
      <c r="B71" s="12"/>
      <c r="C71" s="75"/>
      <c r="D71" s="13"/>
      <c r="E71" s="38"/>
      <c r="F71" s="40"/>
      <c r="G71" s="51"/>
      <c r="H71" s="13"/>
      <c r="I71" s="15"/>
      <c r="J71" s="15"/>
      <c r="K71" s="13"/>
      <c r="L71" s="13"/>
      <c r="M71" s="13"/>
      <c r="N71" s="13"/>
      <c r="O71" s="13"/>
      <c r="P71" s="13"/>
      <c r="Q71" s="13"/>
      <c r="R71" s="13"/>
      <c r="S71" s="113"/>
      <c r="T71" s="64"/>
      <c r="U71" s="103"/>
      <c r="V71" s="13"/>
      <c r="W71" s="75" t="s">
        <v>40</v>
      </c>
    </row>
    <row r="72" spans="1:23" x14ac:dyDescent="0.3">
      <c r="A72" s="75"/>
      <c r="B72" s="12"/>
      <c r="C72" s="75"/>
      <c r="D72" s="13"/>
      <c r="E72" s="38"/>
      <c r="F72" s="40"/>
      <c r="G72" s="51"/>
      <c r="H72" s="13"/>
      <c r="I72" s="15"/>
      <c r="J72" s="15"/>
      <c r="K72" s="13"/>
      <c r="L72" s="13"/>
      <c r="M72" s="13"/>
      <c r="N72" s="13"/>
      <c r="O72" s="13"/>
      <c r="P72" s="13"/>
      <c r="Q72" s="13"/>
      <c r="R72" s="13"/>
      <c r="S72" s="113"/>
      <c r="T72" s="64"/>
      <c r="U72" s="103"/>
      <c r="V72" s="13"/>
      <c r="W72" s="75" t="s">
        <v>40</v>
      </c>
    </row>
    <row r="73" spans="1:23" x14ac:dyDescent="0.3">
      <c r="A73" s="75"/>
      <c r="B73" s="12"/>
      <c r="C73" s="75"/>
      <c r="D73" s="13"/>
      <c r="E73" s="38"/>
      <c r="F73" s="40"/>
      <c r="G73" s="51"/>
      <c r="H73" s="13"/>
      <c r="I73" s="15"/>
      <c r="J73" s="15"/>
      <c r="K73" s="13"/>
      <c r="L73" s="13"/>
      <c r="M73" s="13"/>
      <c r="N73" s="13"/>
      <c r="O73" s="13"/>
      <c r="P73" s="13"/>
      <c r="Q73" s="13"/>
      <c r="R73" s="13"/>
      <c r="S73" s="113"/>
      <c r="T73" s="64"/>
      <c r="U73" s="103"/>
      <c r="V73" s="13"/>
      <c r="W73" s="75" t="s">
        <v>40</v>
      </c>
    </row>
    <row r="74" spans="1:23" x14ac:dyDescent="0.3">
      <c r="A74" s="75"/>
      <c r="B74" s="12"/>
      <c r="C74" s="75"/>
      <c r="D74" s="13"/>
      <c r="E74" s="38"/>
      <c r="F74" s="40"/>
      <c r="G74" s="51"/>
      <c r="H74" s="13"/>
      <c r="I74" s="15"/>
      <c r="J74" s="15"/>
      <c r="K74" s="13"/>
      <c r="L74" s="13"/>
      <c r="M74" s="13"/>
      <c r="N74" s="13"/>
      <c r="O74" s="13"/>
      <c r="P74" s="13"/>
      <c r="Q74" s="13"/>
      <c r="R74" s="13"/>
      <c r="S74" s="113"/>
      <c r="T74" s="64"/>
      <c r="U74" s="103"/>
      <c r="V74" s="13"/>
      <c r="W74" s="75" t="s">
        <v>40</v>
      </c>
    </row>
    <row r="75" spans="1:23" x14ac:dyDescent="0.3">
      <c r="A75" s="75"/>
      <c r="B75" s="12"/>
      <c r="C75" s="75"/>
      <c r="D75" s="13"/>
      <c r="E75" s="38"/>
      <c r="F75" s="40"/>
      <c r="G75" s="51"/>
      <c r="H75" s="13"/>
      <c r="I75" s="15"/>
      <c r="J75" s="15"/>
      <c r="K75" s="13"/>
      <c r="L75" s="13"/>
      <c r="M75" s="13"/>
      <c r="N75" s="13"/>
      <c r="O75" s="13"/>
      <c r="P75" s="13"/>
      <c r="Q75" s="13"/>
      <c r="R75" s="13"/>
      <c r="S75" s="113"/>
      <c r="T75" s="64"/>
      <c r="U75" s="103"/>
      <c r="V75" s="13"/>
      <c r="W75" s="75" t="s">
        <v>40</v>
      </c>
    </row>
    <row r="76" spans="1:23" x14ac:dyDescent="0.3">
      <c r="A76" s="75"/>
      <c r="B76" s="12"/>
      <c r="C76" s="75"/>
      <c r="D76" s="13"/>
      <c r="E76" s="38"/>
      <c r="F76" s="40"/>
      <c r="G76" s="51"/>
      <c r="H76" s="13"/>
      <c r="I76" s="15"/>
      <c r="J76" s="15"/>
      <c r="K76" s="13"/>
      <c r="L76" s="13"/>
      <c r="M76" s="13"/>
      <c r="N76" s="13"/>
      <c r="O76" s="13"/>
      <c r="P76" s="13"/>
      <c r="Q76" s="13"/>
      <c r="R76" s="13"/>
      <c r="S76" s="113"/>
      <c r="T76" s="64"/>
      <c r="U76" s="103"/>
      <c r="V76" s="13"/>
      <c r="W76" s="75" t="s">
        <v>40</v>
      </c>
    </row>
    <row r="77" spans="1:23" x14ac:dyDescent="0.3">
      <c r="A77" s="75"/>
      <c r="B77" s="12"/>
      <c r="C77" s="75"/>
      <c r="D77" s="13"/>
      <c r="E77" s="38"/>
      <c r="F77" s="40"/>
      <c r="G77" s="51"/>
      <c r="H77" s="13"/>
      <c r="I77" s="15"/>
      <c r="J77" s="15"/>
      <c r="K77" s="13"/>
      <c r="L77" s="13"/>
      <c r="M77" s="13"/>
      <c r="N77" s="13"/>
      <c r="O77" s="13"/>
      <c r="P77" s="13"/>
      <c r="Q77" s="13"/>
      <c r="R77" s="13"/>
      <c r="S77" s="113"/>
      <c r="T77" s="64"/>
      <c r="U77" s="103"/>
      <c r="V77" s="13"/>
      <c r="W77" s="75" t="s">
        <v>40</v>
      </c>
    </row>
    <row r="78" spans="1:23" x14ac:dyDescent="0.3">
      <c r="A78" s="75"/>
      <c r="B78" s="12"/>
      <c r="C78" s="75"/>
      <c r="D78" s="13"/>
      <c r="E78" s="38"/>
      <c r="F78" s="40"/>
      <c r="G78" s="51"/>
      <c r="H78" s="13"/>
      <c r="I78" s="15"/>
      <c r="J78" s="15"/>
      <c r="K78" s="13"/>
      <c r="L78" s="13"/>
      <c r="M78" s="13"/>
      <c r="N78" s="13"/>
      <c r="O78" s="13"/>
      <c r="P78" s="13"/>
      <c r="Q78" s="13"/>
      <c r="R78" s="13"/>
      <c r="S78" s="113"/>
      <c r="T78" s="64"/>
      <c r="U78" s="103"/>
      <c r="V78" s="13"/>
      <c r="W78" s="75" t="s">
        <v>40</v>
      </c>
    </row>
    <row r="79" spans="1:23" x14ac:dyDescent="0.3">
      <c r="S79" s="13"/>
    </row>
    <row r="80" spans="1:23" x14ac:dyDescent="0.3">
      <c r="S80" s="13"/>
    </row>
  </sheetData>
  <mergeCells count="2">
    <mergeCell ref="A8:P8"/>
    <mergeCell ref="Q8:W8"/>
  </mergeCells>
  <conditionalFormatting sqref="U9">
    <cfRule type="cellIs" dxfId="46" priority="32" operator="between">
      <formula>6</formula>
      <formula>10</formula>
    </cfRule>
    <cfRule type="cellIs" dxfId="45" priority="33" operator="between">
      <formula>1</formula>
      <formula>5</formula>
    </cfRule>
  </conditionalFormatting>
  <conditionalFormatting sqref="U9">
    <cfRule type="cellIs" dxfId="44" priority="31" operator="between">
      <formula>11</formula>
      <formula>30</formula>
    </cfRule>
  </conditionalFormatting>
  <dataValidations count="3">
    <dataValidation type="list" allowBlank="1" showInputMessage="1" showErrorMessage="1" sqref="L10:N78" xr:uid="{ECA4A833-1855-4038-9A97-1EF73FBD4F5A}">
      <formula1>"Sim,Não"</formula1>
    </dataValidation>
    <dataValidation type="list" allowBlank="1" showInputMessage="1" showErrorMessage="1" sqref="K10:K78" xr:uid="{AE0B4CB0-B566-447E-8AB7-B6F3E1284975}">
      <formula1>"Legado,Novo"</formula1>
    </dataValidation>
    <dataValidation type="list" allowBlank="1" showInputMessage="1" showErrorMessage="1" sqref="D10:D78" xr:uid="{4FCAAF1A-0852-4B9F-B4E3-10C4087AB2F0}">
      <formula1>"Sim, 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C37CF-38FB-495B-AE71-CB06C034F145}">
  <sheetPr codeName="Planilha12"/>
  <dimension ref="A1:M1840"/>
  <sheetViews>
    <sheetView showGridLines="0" zoomScale="70" zoomScaleNormal="70" workbookViewId="0">
      <selection activeCell="F24" sqref="F24"/>
    </sheetView>
  </sheetViews>
  <sheetFormatPr defaultRowHeight="14.4" x14ac:dyDescent="0.3"/>
  <cols>
    <col min="1" max="1" width="16.33203125" customWidth="1"/>
    <col min="2" max="2" width="74.44140625" bestFit="1" customWidth="1"/>
    <col min="3" max="3" width="17.44140625" bestFit="1" customWidth="1"/>
    <col min="4" max="4" width="16.33203125" bestFit="1" customWidth="1"/>
    <col min="5" max="5" width="52.109375" hidden="1" customWidth="1"/>
    <col min="6" max="6" width="19.5546875" bestFit="1" customWidth="1"/>
    <col min="7" max="7" width="52.109375" hidden="1" customWidth="1"/>
    <col min="8" max="8" width="40.5546875" bestFit="1" customWidth="1"/>
    <col min="9" max="9" width="36.33203125" bestFit="1" customWidth="1"/>
    <col min="10" max="10" width="28" bestFit="1" customWidth="1"/>
    <col min="11" max="11" width="21" customWidth="1"/>
    <col min="12" max="12" width="10.6640625" bestFit="1" customWidth="1"/>
    <col min="13" max="13" width="19.44140625" bestFit="1" customWidth="1"/>
  </cols>
  <sheetData>
    <row r="1" spans="1:13" ht="18" thickBot="1" x14ac:dyDescent="0.35">
      <c r="A1" s="29" t="s">
        <v>75</v>
      </c>
      <c r="B1" s="30" t="s">
        <v>76</v>
      </c>
      <c r="C1" s="31" t="s">
        <v>77</v>
      </c>
      <c r="D1" s="30" t="s">
        <v>78</v>
      </c>
      <c r="E1" s="30"/>
      <c r="F1" s="30" t="s">
        <v>79</v>
      </c>
      <c r="G1" s="30"/>
      <c r="H1" s="30" t="s">
        <v>80</v>
      </c>
      <c r="I1" s="30" t="s">
        <v>7</v>
      </c>
      <c r="J1" s="30" t="s">
        <v>81</v>
      </c>
      <c r="K1" s="30" t="s">
        <v>82</v>
      </c>
      <c r="L1" s="30" t="s">
        <v>83</v>
      </c>
      <c r="M1" s="32" t="s">
        <v>84</v>
      </c>
    </row>
    <row r="2" spans="1:13" x14ac:dyDescent="0.3">
      <c r="A2" s="33">
        <v>53</v>
      </c>
      <c r="B2" s="13" t="s">
        <v>85</v>
      </c>
      <c r="C2" s="21">
        <v>7896181900085</v>
      </c>
      <c r="D2" s="34" t="s">
        <v>86</v>
      </c>
      <c r="E2" s="34" t="str">
        <f>B2&amp;I2</f>
        <v>CORUS H 100/25G 30 COMPDesconto Flat</v>
      </c>
      <c r="F2" s="13">
        <v>34</v>
      </c>
      <c r="G2" s="13"/>
      <c r="H2" s="13" t="s">
        <v>87</v>
      </c>
      <c r="I2" s="13" t="s">
        <v>88</v>
      </c>
      <c r="J2" s="13">
        <v>3</v>
      </c>
      <c r="K2" s="35">
        <v>0.59</v>
      </c>
      <c r="L2" s="34" t="s">
        <v>89</v>
      </c>
      <c r="M2" s="36" t="s">
        <v>90</v>
      </c>
    </row>
    <row r="3" spans="1:13" x14ac:dyDescent="0.3">
      <c r="A3" s="37">
        <v>53</v>
      </c>
      <c r="B3" s="38" t="s">
        <v>85</v>
      </c>
      <c r="C3" s="39">
        <v>7896181900085</v>
      </c>
      <c r="D3" s="40" t="s">
        <v>86</v>
      </c>
      <c r="E3" s="40"/>
      <c r="F3" s="38">
        <v>206</v>
      </c>
      <c r="G3" s="38"/>
      <c r="H3" s="38" t="s">
        <v>87</v>
      </c>
      <c r="I3" s="38" t="s">
        <v>88</v>
      </c>
      <c r="J3" s="38">
        <v>3</v>
      </c>
      <c r="K3" s="41">
        <v>0.59</v>
      </c>
      <c r="L3" s="38" t="s">
        <v>89</v>
      </c>
      <c r="M3" s="42" t="s">
        <v>90</v>
      </c>
    </row>
    <row r="4" spans="1:13" x14ac:dyDescent="0.3">
      <c r="A4" s="37">
        <v>53</v>
      </c>
      <c r="B4" s="38" t="s">
        <v>91</v>
      </c>
      <c r="C4" s="39">
        <v>7896181900115</v>
      </c>
      <c r="D4" s="40" t="s">
        <v>86</v>
      </c>
      <c r="E4" s="40"/>
      <c r="F4" s="38">
        <v>34</v>
      </c>
      <c r="G4" s="38"/>
      <c r="H4" s="38" t="s">
        <v>87</v>
      </c>
      <c r="I4" s="38" t="s">
        <v>88</v>
      </c>
      <c r="J4" s="38">
        <v>3</v>
      </c>
      <c r="K4" s="41">
        <v>0.31</v>
      </c>
      <c r="L4" s="38" t="s">
        <v>89</v>
      </c>
      <c r="M4" s="42" t="s">
        <v>90</v>
      </c>
    </row>
    <row r="5" spans="1:13" x14ac:dyDescent="0.3">
      <c r="A5" s="37">
        <v>53</v>
      </c>
      <c r="B5" s="38" t="s">
        <v>91</v>
      </c>
      <c r="C5" s="39">
        <v>7896181900115</v>
      </c>
      <c r="D5" s="40" t="s">
        <v>86</v>
      </c>
      <c r="E5" s="40"/>
      <c r="F5" s="38">
        <v>206</v>
      </c>
      <c r="G5" s="38"/>
      <c r="H5" s="38" t="s">
        <v>87</v>
      </c>
      <c r="I5" s="38" t="s">
        <v>88</v>
      </c>
      <c r="J5" s="38">
        <v>3</v>
      </c>
      <c r="K5" s="41">
        <v>0.31</v>
      </c>
      <c r="L5" s="38" t="s">
        <v>89</v>
      </c>
      <c r="M5" s="42" t="s">
        <v>90</v>
      </c>
    </row>
    <row r="6" spans="1:13" x14ac:dyDescent="0.3">
      <c r="A6" s="37">
        <v>53</v>
      </c>
      <c r="B6" s="38" t="s">
        <v>92</v>
      </c>
      <c r="C6" s="39">
        <v>7896181905271</v>
      </c>
      <c r="D6" s="40" t="s">
        <v>86</v>
      </c>
      <c r="E6" s="40"/>
      <c r="F6" s="38">
        <v>20</v>
      </c>
      <c r="G6" s="38"/>
      <c r="H6" s="38" t="s">
        <v>93</v>
      </c>
      <c r="I6" s="38" t="s">
        <v>88</v>
      </c>
      <c r="J6" s="38">
        <v>3</v>
      </c>
      <c r="K6" s="41">
        <v>0.32</v>
      </c>
      <c r="L6" s="38" t="s">
        <v>94</v>
      </c>
      <c r="M6" s="42" t="s">
        <v>90</v>
      </c>
    </row>
    <row r="7" spans="1:13" x14ac:dyDescent="0.3">
      <c r="A7" s="37">
        <v>53</v>
      </c>
      <c r="B7" s="38" t="s">
        <v>92</v>
      </c>
      <c r="C7" s="39">
        <v>7896181905271</v>
      </c>
      <c r="D7" s="40" t="s">
        <v>86</v>
      </c>
      <c r="E7" s="40"/>
      <c r="F7" s="38">
        <v>20</v>
      </c>
      <c r="G7" s="38"/>
      <c r="H7" s="38" t="s">
        <v>93</v>
      </c>
      <c r="I7" s="38" t="s">
        <v>88</v>
      </c>
      <c r="J7" s="38">
        <v>3</v>
      </c>
      <c r="K7" s="41">
        <v>0.31</v>
      </c>
      <c r="L7" s="38" t="s">
        <v>95</v>
      </c>
      <c r="M7" s="42" t="s">
        <v>90</v>
      </c>
    </row>
    <row r="8" spans="1:13" x14ac:dyDescent="0.3">
      <c r="A8" s="37">
        <v>53</v>
      </c>
      <c r="B8" s="38" t="s">
        <v>92</v>
      </c>
      <c r="C8" s="39">
        <v>7896181905271</v>
      </c>
      <c r="D8" s="40" t="s">
        <v>86</v>
      </c>
      <c r="E8" s="40"/>
      <c r="F8" s="38">
        <v>20</v>
      </c>
      <c r="G8" s="38"/>
      <c r="H8" s="38" t="s">
        <v>93</v>
      </c>
      <c r="I8" s="38" t="s">
        <v>88</v>
      </c>
      <c r="J8" s="38">
        <v>3</v>
      </c>
      <c r="K8" s="41">
        <v>0.36</v>
      </c>
      <c r="L8" s="38" t="s">
        <v>89</v>
      </c>
      <c r="M8" s="42" t="s">
        <v>90</v>
      </c>
    </row>
    <row r="9" spans="1:13" x14ac:dyDescent="0.3">
      <c r="A9" s="37">
        <v>53</v>
      </c>
      <c r="B9" s="38" t="s">
        <v>92</v>
      </c>
      <c r="C9" s="39">
        <v>7896181905271</v>
      </c>
      <c r="D9" s="40" t="s">
        <v>86</v>
      </c>
      <c r="E9" s="40"/>
      <c r="F9" s="38">
        <v>204</v>
      </c>
      <c r="G9" s="38"/>
      <c r="H9" s="38" t="s">
        <v>93</v>
      </c>
      <c r="I9" s="38" t="s">
        <v>88</v>
      </c>
      <c r="J9" s="38">
        <v>3</v>
      </c>
      <c r="K9" s="41">
        <v>0.32</v>
      </c>
      <c r="L9" s="38" t="s">
        <v>94</v>
      </c>
      <c r="M9" s="42" t="s">
        <v>90</v>
      </c>
    </row>
    <row r="10" spans="1:13" x14ac:dyDescent="0.3">
      <c r="A10" s="37">
        <v>53</v>
      </c>
      <c r="B10" s="38" t="s">
        <v>92</v>
      </c>
      <c r="C10" s="39">
        <v>7896181905271</v>
      </c>
      <c r="D10" s="40" t="s">
        <v>86</v>
      </c>
      <c r="E10" s="40"/>
      <c r="F10" s="38">
        <v>204</v>
      </c>
      <c r="G10" s="38"/>
      <c r="H10" s="38" t="s">
        <v>93</v>
      </c>
      <c r="I10" s="38" t="s">
        <v>88</v>
      </c>
      <c r="J10" s="38">
        <v>3</v>
      </c>
      <c r="K10" s="41">
        <v>0.31</v>
      </c>
      <c r="L10" s="38" t="s">
        <v>95</v>
      </c>
      <c r="M10" s="42" t="s">
        <v>90</v>
      </c>
    </row>
    <row r="11" spans="1:13" x14ac:dyDescent="0.3">
      <c r="A11" s="37">
        <v>53</v>
      </c>
      <c r="B11" s="38" t="s">
        <v>92</v>
      </c>
      <c r="C11" s="39">
        <v>7896181905271</v>
      </c>
      <c r="D11" s="40" t="s">
        <v>86</v>
      </c>
      <c r="E11" s="40"/>
      <c r="F11" s="38">
        <v>204</v>
      </c>
      <c r="G11" s="38"/>
      <c r="H11" s="38" t="s">
        <v>93</v>
      </c>
      <c r="I11" s="38" t="s">
        <v>88</v>
      </c>
      <c r="J11" s="38">
        <v>3</v>
      </c>
      <c r="K11" s="41">
        <v>0.36</v>
      </c>
      <c r="L11" s="38" t="s">
        <v>89</v>
      </c>
      <c r="M11" s="42" t="s">
        <v>90</v>
      </c>
    </row>
    <row r="12" spans="1:13" x14ac:dyDescent="0.3">
      <c r="A12" s="37">
        <v>53</v>
      </c>
      <c r="B12" s="38" t="s">
        <v>96</v>
      </c>
      <c r="C12" s="39">
        <v>7896181905288</v>
      </c>
      <c r="D12" s="40" t="s">
        <v>86</v>
      </c>
      <c r="E12" s="40"/>
      <c r="F12" s="38">
        <v>20</v>
      </c>
      <c r="G12" s="38"/>
      <c r="H12" s="38" t="s">
        <v>93</v>
      </c>
      <c r="I12" s="38" t="s">
        <v>88</v>
      </c>
      <c r="J12" s="38">
        <v>3</v>
      </c>
      <c r="K12" s="41">
        <v>0.32</v>
      </c>
      <c r="L12" s="38" t="s">
        <v>94</v>
      </c>
      <c r="M12" s="42" t="s">
        <v>90</v>
      </c>
    </row>
    <row r="13" spans="1:13" x14ac:dyDescent="0.3">
      <c r="A13" s="37">
        <v>53</v>
      </c>
      <c r="B13" s="38" t="s">
        <v>96</v>
      </c>
      <c r="C13" s="39">
        <v>7896181905288</v>
      </c>
      <c r="D13" s="40" t="s">
        <v>86</v>
      </c>
      <c r="E13" s="40"/>
      <c r="F13" s="38">
        <v>20</v>
      </c>
      <c r="G13" s="38"/>
      <c r="H13" s="38" t="s">
        <v>93</v>
      </c>
      <c r="I13" s="38" t="s">
        <v>88</v>
      </c>
      <c r="J13" s="38">
        <v>3</v>
      </c>
      <c r="K13" s="41">
        <v>0.31</v>
      </c>
      <c r="L13" s="38" t="s">
        <v>95</v>
      </c>
      <c r="M13" s="42" t="s">
        <v>90</v>
      </c>
    </row>
    <row r="14" spans="1:13" x14ac:dyDescent="0.3">
      <c r="A14" s="37">
        <v>53</v>
      </c>
      <c r="B14" s="38" t="s">
        <v>96</v>
      </c>
      <c r="C14" s="39">
        <v>7896181905288</v>
      </c>
      <c r="D14" s="40" t="s">
        <v>86</v>
      </c>
      <c r="E14" s="40"/>
      <c r="F14" s="38">
        <v>20</v>
      </c>
      <c r="G14" s="38"/>
      <c r="H14" s="38" t="s">
        <v>93</v>
      </c>
      <c r="I14" s="38" t="s">
        <v>88</v>
      </c>
      <c r="J14" s="38">
        <v>3</v>
      </c>
      <c r="K14" s="41">
        <v>0.36</v>
      </c>
      <c r="L14" s="38" t="s">
        <v>89</v>
      </c>
      <c r="M14" s="42" t="s">
        <v>90</v>
      </c>
    </row>
    <row r="15" spans="1:13" x14ac:dyDescent="0.3">
      <c r="A15" s="37">
        <v>53</v>
      </c>
      <c r="B15" s="38" t="s">
        <v>96</v>
      </c>
      <c r="C15" s="39">
        <v>7896181905288</v>
      </c>
      <c r="D15" s="40" t="s">
        <v>86</v>
      </c>
      <c r="E15" s="40"/>
      <c r="F15" s="38">
        <v>204</v>
      </c>
      <c r="G15" s="38"/>
      <c r="H15" s="38" t="s">
        <v>93</v>
      </c>
      <c r="I15" s="38" t="s">
        <v>88</v>
      </c>
      <c r="J15" s="38">
        <v>3</v>
      </c>
      <c r="K15" s="41">
        <v>0.32</v>
      </c>
      <c r="L15" s="38" t="s">
        <v>94</v>
      </c>
      <c r="M15" s="42" t="s">
        <v>90</v>
      </c>
    </row>
    <row r="16" spans="1:13" x14ac:dyDescent="0.3">
      <c r="A16" s="37">
        <v>53</v>
      </c>
      <c r="B16" s="38" t="s">
        <v>96</v>
      </c>
      <c r="C16" s="39">
        <v>7896181905288</v>
      </c>
      <c r="D16" s="40" t="s">
        <v>86</v>
      </c>
      <c r="E16" s="40"/>
      <c r="F16" s="38">
        <v>204</v>
      </c>
      <c r="G16" s="38"/>
      <c r="H16" s="38" t="s">
        <v>93</v>
      </c>
      <c r="I16" s="38" t="s">
        <v>88</v>
      </c>
      <c r="J16" s="38">
        <v>3</v>
      </c>
      <c r="K16" s="41">
        <v>0.31</v>
      </c>
      <c r="L16" s="38" t="s">
        <v>95</v>
      </c>
      <c r="M16" s="42" t="s">
        <v>90</v>
      </c>
    </row>
    <row r="17" spans="1:13" x14ac:dyDescent="0.3">
      <c r="A17" s="37">
        <v>53</v>
      </c>
      <c r="B17" s="38" t="s">
        <v>96</v>
      </c>
      <c r="C17" s="39">
        <v>7896181905288</v>
      </c>
      <c r="D17" s="40" t="s">
        <v>86</v>
      </c>
      <c r="E17" s="40"/>
      <c r="F17" s="38">
        <v>204</v>
      </c>
      <c r="G17" s="38"/>
      <c r="H17" s="38" t="s">
        <v>93</v>
      </c>
      <c r="I17" s="38" t="s">
        <v>88</v>
      </c>
      <c r="J17" s="38">
        <v>3</v>
      </c>
      <c r="K17" s="41">
        <v>0.36</v>
      </c>
      <c r="L17" s="38" t="s">
        <v>89</v>
      </c>
      <c r="M17" s="42" t="s">
        <v>90</v>
      </c>
    </row>
    <row r="18" spans="1:13" x14ac:dyDescent="0.3">
      <c r="A18" s="37">
        <v>53</v>
      </c>
      <c r="B18" s="38" t="s">
        <v>97</v>
      </c>
      <c r="C18" s="39">
        <v>7896181905295</v>
      </c>
      <c r="D18" s="40" t="s">
        <v>86</v>
      </c>
      <c r="E18" s="40"/>
      <c r="F18" s="38">
        <v>20</v>
      </c>
      <c r="G18" s="38"/>
      <c r="H18" s="38" t="s">
        <v>93</v>
      </c>
      <c r="I18" s="38" t="s">
        <v>88</v>
      </c>
      <c r="J18" s="38">
        <v>3</v>
      </c>
      <c r="K18" s="41">
        <v>0.4</v>
      </c>
      <c r="L18" s="38" t="s">
        <v>94</v>
      </c>
      <c r="M18" s="42" t="s">
        <v>90</v>
      </c>
    </row>
    <row r="19" spans="1:13" x14ac:dyDescent="0.3">
      <c r="A19" s="37">
        <v>53</v>
      </c>
      <c r="B19" s="38" t="s">
        <v>97</v>
      </c>
      <c r="C19" s="39">
        <v>7896181905295</v>
      </c>
      <c r="D19" s="40" t="s">
        <v>86</v>
      </c>
      <c r="E19" s="40"/>
      <c r="F19" s="38">
        <v>20</v>
      </c>
      <c r="G19" s="38"/>
      <c r="H19" s="38" t="s">
        <v>93</v>
      </c>
      <c r="I19" s="38" t="s">
        <v>88</v>
      </c>
      <c r="J19" s="38">
        <v>3</v>
      </c>
      <c r="K19" s="41">
        <v>0.39</v>
      </c>
      <c r="L19" s="38" t="s">
        <v>95</v>
      </c>
      <c r="M19" s="42" t="s">
        <v>90</v>
      </c>
    </row>
    <row r="20" spans="1:13" x14ac:dyDescent="0.3">
      <c r="A20" s="37">
        <v>53</v>
      </c>
      <c r="B20" s="38" t="s">
        <v>97</v>
      </c>
      <c r="C20" s="39">
        <v>7896181905295</v>
      </c>
      <c r="D20" s="40" t="s">
        <v>86</v>
      </c>
      <c r="E20" s="40"/>
      <c r="F20" s="38">
        <v>20</v>
      </c>
      <c r="G20" s="38"/>
      <c r="H20" s="38" t="s">
        <v>93</v>
      </c>
      <c r="I20" s="38" t="s">
        <v>88</v>
      </c>
      <c r="J20" s="38">
        <v>3</v>
      </c>
      <c r="K20" s="41">
        <v>0.46</v>
      </c>
      <c r="L20" s="38" t="s">
        <v>89</v>
      </c>
      <c r="M20" s="42" t="s">
        <v>90</v>
      </c>
    </row>
    <row r="21" spans="1:13" x14ac:dyDescent="0.3">
      <c r="A21" s="37">
        <v>53</v>
      </c>
      <c r="B21" s="38" t="s">
        <v>97</v>
      </c>
      <c r="C21" s="39">
        <v>7896181905295</v>
      </c>
      <c r="D21" s="40" t="s">
        <v>86</v>
      </c>
      <c r="E21" s="40"/>
      <c r="F21" s="38">
        <v>204</v>
      </c>
      <c r="G21" s="38"/>
      <c r="H21" s="38" t="s">
        <v>93</v>
      </c>
      <c r="I21" s="38" t="s">
        <v>88</v>
      </c>
      <c r="J21" s="38">
        <v>3</v>
      </c>
      <c r="K21" s="41">
        <v>0.4</v>
      </c>
      <c r="L21" s="38" t="s">
        <v>94</v>
      </c>
      <c r="M21" s="42" t="s">
        <v>90</v>
      </c>
    </row>
    <row r="22" spans="1:13" x14ac:dyDescent="0.3">
      <c r="A22" s="37">
        <v>53</v>
      </c>
      <c r="B22" s="38" t="s">
        <v>97</v>
      </c>
      <c r="C22" s="39">
        <v>7896181905295</v>
      </c>
      <c r="D22" s="40" t="s">
        <v>86</v>
      </c>
      <c r="E22" s="40"/>
      <c r="F22" s="38">
        <v>204</v>
      </c>
      <c r="G22" s="38"/>
      <c r="H22" s="38" t="s">
        <v>93</v>
      </c>
      <c r="I22" s="38" t="s">
        <v>88</v>
      </c>
      <c r="J22" s="38">
        <v>3</v>
      </c>
      <c r="K22" s="41">
        <v>0.39</v>
      </c>
      <c r="L22" s="38" t="s">
        <v>95</v>
      </c>
      <c r="M22" s="42" t="s">
        <v>90</v>
      </c>
    </row>
    <row r="23" spans="1:13" x14ac:dyDescent="0.3">
      <c r="A23" s="37">
        <v>53</v>
      </c>
      <c r="B23" s="38" t="s">
        <v>97</v>
      </c>
      <c r="C23" s="39">
        <v>7896181905295</v>
      </c>
      <c r="D23" s="40" t="s">
        <v>86</v>
      </c>
      <c r="E23" s="40"/>
      <c r="F23" s="38">
        <v>204</v>
      </c>
      <c r="G23" s="38"/>
      <c r="H23" s="38" t="s">
        <v>93</v>
      </c>
      <c r="I23" s="38" t="s">
        <v>88</v>
      </c>
      <c r="J23" s="38">
        <v>3</v>
      </c>
      <c r="K23" s="41">
        <v>0.46</v>
      </c>
      <c r="L23" s="38" t="s">
        <v>89</v>
      </c>
      <c r="M23" s="42" t="s">
        <v>90</v>
      </c>
    </row>
    <row r="24" spans="1:13" ht="15" customHeight="1" x14ac:dyDescent="0.3">
      <c r="A24" s="43">
        <v>53</v>
      </c>
      <c r="B24" s="44" t="s">
        <v>98</v>
      </c>
      <c r="C24" s="45">
        <v>7896181909118</v>
      </c>
      <c r="D24" s="46" t="s">
        <v>86</v>
      </c>
      <c r="E24" s="46"/>
      <c r="F24" s="44">
        <v>596</v>
      </c>
      <c r="G24" s="44"/>
      <c r="H24" s="44" t="s">
        <v>99</v>
      </c>
      <c r="I24" s="44" t="s">
        <v>88</v>
      </c>
      <c r="J24" s="44">
        <v>150</v>
      </c>
      <c r="K24" s="47" t="s">
        <v>100</v>
      </c>
      <c r="L24" s="44" t="s">
        <v>89</v>
      </c>
      <c r="M24" s="48" t="s">
        <v>90</v>
      </c>
    </row>
    <row r="25" spans="1:13" x14ac:dyDescent="0.3">
      <c r="A25" s="37">
        <v>53</v>
      </c>
      <c r="B25" s="38" t="s">
        <v>98</v>
      </c>
      <c r="C25" s="39">
        <v>7896181909118</v>
      </c>
      <c r="D25" s="40" t="s">
        <v>86</v>
      </c>
      <c r="E25" s="40"/>
      <c r="F25" s="38">
        <v>598</v>
      </c>
      <c r="G25" s="38"/>
      <c r="H25" s="38" t="s">
        <v>101</v>
      </c>
      <c r="I25" s="38" t="s">
        <v>102</v>
      </c>
      <c r="J25" s="38">
        <v>150</v>
      </c>
      <c r="K25" s="41" t="s">
        <v>103</v>
      </c>
      <c r="L25" s="38" t="s">
        <v>89</v>
      </c>
      <c r="M25" s="42" t="s">
        <v>90</v>
      </c>
    </row>
    <row r="26" spans="1:13" x14ac:dyDescent="0.3">
      <c r="A26" s="37">
        <v>53</v>
      </c>
      <c r="B26" s="38" t="s">
        <v>104</v>
      </c>
      <c r="C26" s="39">
        <v>7896181918943</v>
      </c>
      <c r="D26" s="40" t="s">
        <v>86</v>
      </c>
      <c r="E26" s="40"/>
      <c r="F26" s="38">
        <v>20</v>
      </c>
      <c r="G26" s="38"/>
      <c r="H26" s="38" t="s">
        <v>93</v>
      </c>
      <c r="I26" s="38" t="s">
        <v>88</v>
      </c>
      <c r="J26" s="38">
        <v>3</v>
      </c>
      <c r="K26" s="41">
        <v>0.37</v>
      </c>
      <c r="L26" s="38" t="s">
        <v>89</v>
      </c>
      <c r="M26" s="42" t="s">
        <v>90</v>
      </c>
    </row>
    <row r="27" spans="1:13" x14ac:dyDescent="0.3">
      <c r="A27" s="37">
        <v>53</v>
      </c>
      <c r="B27" s="38" t="s">
        <v>104</v>
      </c>
      <c r="C27" s="39">
        <v>7896181918943</v>
      </c>
      <c r="D27" s="40" t="s">
        <v>86</v>
      </c>
      <c r="E27" s="40"/>
      <c r="F27" s="38">
        <v>204</v>
      </c>
      <c r="G27" s="38"/>
      <c r="H27" s="38" t="s">
        <v>93</v>
      </c>
      <c r="I27" s="38" t="s">
        <v>88</v>
      </c>
      <c r="J27" s="38">
        <v>3</v>
      </c>
      <c r="K27" s="41">
        <v>0.37</v>
      </c>
      <c r="L27" s="38" t="s">
        <v>89</v>
      </c>
      <c r="M27" s="42" t="s">
        <v>90</v>
      </c>
    </row>
    <row r="28" spans="1:13" x14ac:dyDescent="0.3">
      <c r="A28" s="37">
        <v>53</v>
      </c>
      <c r="B28" s="38" t="s">
        <v>105</v>
      </c>
      <c r="C28" s="39">
        <v>7896181918950</v>
      </c>
      <c r="D28" s="40" t="s">
        <v>86</v>
      </c>
      <c r="E28" s="40"/>
      <c r="F28" s="38">
        <v>20</v>
      </c>
      <c r="G28" s="38"/>
      <c r="H28" s="38" t="s">
        <v>93</v>
      </c>
      <c r="I28" s="38" t="s">
        <v>88</v>
      </c>
      <c r="J28" s="38">
        <v>3</v>
      </c>
      <c r="K28" s="41">
        <v>0.44</v>
      </c>
      <c r="L28" s="38" t="s">
        <v>89</v>
      </c>
      <c r="M28" s="42" t="s">
        <v>90</v>
      </c>
    </row>
    <row r="29" spans="1:13" x14ac:dyDescent="0.3">
      <c r="A29" s="37">
        <v>53</v>
      </c>
      <c r="B29" s="38" t="s">
        <v>105</v>
      </c>
      <c r="C29" s="39">
        <v>7896181918950</v>
      </c>
      <c r="D29" s="40" t="s">
        <v>86</v>
      </c>
      <c r="E29" s="40"/>
      <c r="F29" s="38">
        <v>204</v>
      </c>
      <c r="G29" s="38"/>
      <c r="H29" s="38" t="s">
        <v>93</v>
      </c>
      <c r="I29" s="38" t="s">
        <v>88</v>
      </c>
      <c r="J29" s="38">
        <v>3</v>
      </c>
      <c r="K29" s="41">
        <v>0.44</v>
      </c>
      <c r="L29" s="38" t="s">
        <v>89</v>
      </c>
      <c r="M29" s="42" t="s">
        <v>90</v>
      </c>
    </row>
    <row r="30" spans="1:13" x14ac:dyDescent="0.3">
      <c r="A30" s="37">
        <v>53</v>
      </c>
      <c r="B30" s="38" t="s">
        <v>106</v>
      </c>
      <c r="C30" s="39">
        <v>7896181920397</v>
      </c>
      <c r="D30" s="40" t="s">
        <v>86</v>
      </c>
      <c r="E30" s="40"/>
      <c r="F30" s="38">
        <v>34</v>
      </c>
      <c r="G30" s="38"/>
      <c r="H30" s="38" t="s">
        <v>87</v>
      </c>
      <c r="I30" s="38" t="s">
        <v>88</v>
      </c>
      <c r="J30" s="38">
        <v>3</v>
      </c>
      <c r="K30" s="41">
        <v>0.36</v>
      </c>
      <c r="L30" s="38" t="s">
        <v>94</v>
      </c>
      <c r="M30" s="42" t="s">
        <v>90</v>
      </c>
    </row>
    <row r="31" spans="1:13" x14ac:dyDescent="0.3">
      <c r="A31" s="37">
        <v>53</v>
      </c>
      <c r="B31" s="38" t="s">
        <v>106</v>
      </c>
      <c r="C31" s="39">
        <v>7896181920397</v>
      </c>
      <c r="D31" s="40" t="s">
        <v>86</v>
      </c>
      <c r="E31" s="40"/>
      <c r="F31" s="38">
        <v>34</v>
      </c>
      <c r="G31" s="38"/>
      <c r="H31" s="38" t="s">
        <v>87</v>
      </c>
      <c r="I31" s="38" t="s">
        <v>88</v>
      </c>
      <c r="J31" s="38">
        <v>3</v>
      </c>
      <c r="K31" s="41">
        <v>0.36</v>
      </c>
      <c r="L31" s="38" t="s">
        <v>95</v>
      </c>
      <c r="M31" s="42" t="s">
        <v>90</v>
      </c>
    </row>
    <row r="32" spans="1:13" x14ac:dyDescent="0.3">
      <c r="A32" s="37">
        <v>53</v>
      </c>
      <c r="B32" s="38" t="s">
        <v>106</v>
      </c>
      <c r="C32" s="39">
        <v>7896181920397</v>
      </c>
      <c r="D32" s="40" t="s">
        <v>86</v>
      </c>
      <c r="E32" s="40"/>
      <c r="F32" s="38">
        <v>34</v>
      </c>
      <c r="G32" s="38"/>
      <c r="H32" s="38" t="s">
        <v>87</v>
      </c>
      <c r="I32" s="38" t="s">
        <v>88</v>
      </c>
      <c r="J32" s="38">
        <v>3</v>
      </c>
      <c r="K32" s="41">
        <v>0.39</v>
      </c>
      <c r="L32" s="38" t="s">
        <v>89</v>
      </c>
      <c r="M32" s="42" t="s">
        <v>90</v>
      </c>
    </row>
    <row r="33" spans="1:13" x14ac:dyDescent="0.3">
      <c r="A33" s="37">
        <v>53</v>
      </c>
      <c r="B33" s="38" t="s">
        <v>106</v>
      </c>
      <c r="C33" s="39">
        <v>7896181920397</v>
      </c>
      <c r="D33" s="40" t="s">
        <v>86</v>
      </c>
      <c r="E33" s="40"/>
      <c r="F33" s="38">
        <v>206</v>
      </c>
      <c r="G33" s="38"/>
      <c r="H33" s="38" t="s">
        <v>87</v>
      </c>
      <c r="I33" s="38" t="s">
        <v>88</v>
      </c>
      <c r="J33" s="38">
        <v>3</v>
      </c>
      <c r="K33" s="41">
        <v>0.36</v>
      </c>
      <c r="L33" s="38" t="s">
        <v>94</v>
      </c>
      <c r="M33" s="42" t="s">
        <v>90</v>
      </c>
    </row>
    <row r="34" spans="1:13" x14ac:dyDescent="0.3">
      <c r="A34" s="37">
        <v>53</v>
      </c>
      <c r="B34" s="38" t="s">
        <v>106</v>
      </c>
      <c r="C34" s="39">
        <v>7896181920397</v>
      </c>
      <c r="D34" s="40" t="s">
        <v>86</v>
      </c>
      <c r="E34" s="40"/>
      <c r="F34" s="38">
        <v>206</v>
      </c>
      <c r="G34" s="38"/>
      <c r="H34" s="38" t="s">
        <v>87</v>
      </c>
      <c r="I34" s="38" t="s">
        <v>88</v>
      </c>
      <c r="J34" s="38">
        <v>3</v>
      </c>
      <c r="K34" s="41">
        <v>0.36</v>
      </c>
      <c r="L34" s="38" t="s">
        <v>95</v>
      </c>
      <c r="M34" s="42" t="s">
        <v>90</v>
      </c>
    </row>
    <row r="35" spans="1:13" x14ac:dyDescent="0.3">
      <c r="A35" s="37">
        <v>53</v>
      </c>
      <c r="B35" s="38" t="s">
        <v>106</v>
      </c>
      <c r="C35" s="39">
        <v>7896181920397</v>
      </c>
      <c r="D35" s="40" t="s">
        <v>86</v>
      </c>
      <c r="E35" s="40"/>
      <c r="F35" s="38">
        <v>206</v>
      </c>
      <c r="G35" s="38"/>
      <c r="H35" s="38" t="s">
        <v>87</v>
      </c>
      <c r="I35" s="38" t="s">
        <v>88</v>
      </c>
      <c r="J35" s="38">
        <v>3</v>
      </c>
      <c r="K35" s="41">
        <v>0.39</v>
      </c>
      <c r="L35" s="38" t="s">
        <v>89</v>
      </c>
      <c r="M35" s="42" t="s">
        <v>90</v>
      </c>
    </row>
    <row r="36" spans="1:13" x14ac:dyDescent="0.3">
      <c r="A36" s="37">
        <v>53</v>
      </c>
      <c r="B36" s="38" t="s">
        <v>107</v>
      </c>
      <c r="C36" s="39">
        <v>7896181929178</v>
      </c>
      <c r="D36" s="40" t="s">
        <v>86</v>
      </c>
      <c r="E36" s="40"/>
      <c r="F36" s="38">
        <v>284</v>
      </c>
      <c r="G36" s="38"/>
      <c r="H36" s="38" t="s">
        <v>108</v>
      </c>
      <c r="I36" s="38" t="s">
        <v>102</v>
      </c>
      <c r="J36" s="38">
        <v>1</v>
      </c>
      <c r="K36" s="41">
        <v>0.56000000000000005</v>
      </c>
      <c r="L36" s="38" t="s">
        <v>89</v>
      </c>
      <c r="M36" s="42" t="s">
        <v>90</v>
      </c>
    </row>
    <row r="37" spans="1:13" x14ac:dyDescent="0.3">
      <c r="A37" s="37">
        <v>53</v>
      </c>
      <c r="B37" s="38" t="s">
        <v>107</v>
      </c>
      <c r="C37" s="39">
        <v>7896181929178</v>
      </c>
      <c r="D37" s="40" t="s">
        <v>86</v>
      </c>
      <c r="E37" s="40"/>
      <c r="F37" s="38">
        <v>933</v>
      </c>
      <c r="G37" s="38"/>
      <c r="H37" s="38" t="s">
        <v>109</v>
      </c>
      <c r="I37" s="38" t="s">
        <v>102</v>
      </c>
      <c r="J37" s="38">
        <v>1</v>
      </c>
      <c r="K37" s="41">
        <v>0.56000000000000005</v>
      </c>
      <c r="L37" s="38" t="s">
        <v>89</v>
      </c>
      <c r="M37" s="42" t="s">
        <v>90</v>
      </c>
    </row>
    <row r="38" spans="1:13" x14ac:dyDescent="0.3">
      <c r="A38" s="37">
        <v>53</v>
      </c>
      <c r="B38" s="38" t="s">
        <v>110</v>
      </c>
      <c r="C38" s="39">
        <v>7896658000201</v>
      </c>
      <c r="D38" s="40" t="s">
        <v>86</v>
      </c>
      <c r="E38" s="40"/>
      <c r="F38" s="38">
        <v>839</v>
      </c>
      <c r="G38" s="38"/>
      <c r="H38" s="38" t="s">
        <v>111</v>
      </c>
      <c r="I38" s="38" t="s">
        <v>88</v>
      </c>
      <c r="J38" s="38">
        <v>1</v>
      </c>
      <c r="K38" s="41">
        <v>0.65</v>
      </c>
      <c r="L38" s="38" t="s">
        <v>89</v>
      </c>
      <c r="M38" s="42" t="s">
        <v>90</v>
      </c>
    </row>
    <row r="39" spans="1:13" x14ac:dyDescent="0.3">
      <c r="A39" s="37">
        <v>53</v>
      </c>
      <c r="B39" s="38" t="s">
        <v>112</v>
      </c>
      <c r="C39" s="39">
        <v>7896658000843</v>
      </c>
      <c r="D39" s="40" t="s">
        <v>86</v>
      </c>
      <c r="E39" s="40"/>
      <c r="F39" s="38">
        <v>10</v>
      </c>
      <c r="G39" s="38"/>
      <c r="H39" s="38" t="s">
        <v>113</v>
      </c>
      <c r="I39" s="38" t="s">
        <v>88</v>
      </c>
      <c r="J39" s="38">
        <v>4</v>
      </c>
      <c r="K39" s="41">
        <v>0.48</v>
      </c>
      <c r="L39" s="38" t="s">
        <v>114</v>
      </c>
      <c r="M39" s="42" t="s">
        <v>115</v>
      </c>
    </row>
    <row r="40" spans="1:13" x14ac:dyDescent="0.3">
      <c r="A40" s="37">
        <v>53</v>
      </c>
      <c r="B40" s="38" t="s">
        <v>112</v>
      </c>
      <c r="C40" s="39">
        <v>7896658000843</v>
      </c>
      <c r="D40" s="40" t="s">
        <v>86</v>
      </c>
      <c r="E40" s="40"/>
      <c r="F40" s="38">
        <v>10</v>
      </c>
      <c r="G40" s="38"/>
      <c r="H40" s="38" t="s">
        <v>113</v>
      </c>
      <c r="I40" s="38" t="s">
        <v>88</v>
      </c>
      <c r="J40" s="38">
        <v>4</v>
      </c>
      <c r="K40" s="41">
        <v>0.48</v>
      </c>
      <c r="L40" s="38" t="s">
        <v>114</v>
      </c>
      <c r="M40" s="42" t="s">
        <v>116</v>
      </c>
    </row>
    <row r="41" spans="1:13" x14ac:dyDescent="0.3">
      <c r="A41" s="37">
        <v>53</v>
      </c>
      <c r="B41" s="38" t="s">
        <v>112</v>
      </c>
      <c r="C41" s="39">
        <v>7896658000843</v>
      </c>
      <c r="D41" s="40" t="s">
        <v>86</v>
      </c>
      <c r="E41" s="40"/>
      <c r="F41" s="38">
        <v>10</v>
      </c>
      <c r="G41" s="38"/>
      <c r="H41" s="38" t="s">
        <v>113</v>
      </c>
      <c r="I41" s="38" t="s">
        <v>88</v>
      </c>
      <c r="J41" s="38">
        <v>4</v>
      </c>
      <c r="K41" s="41">
        <v>0.48</v>
      </c>
      <c r="L41" s="38" t="s">
        <v>114</v>
      </c>
      <c r="M41" s="42" t="s">
        <v>117</v>
      </c>
    </row>
    <row r="42" spans="1:13" x14ac:dyDescent="0.3">
      <c r="A42" s="37">
        <v>53</v>
      </c>
      <c r="B42" s="38" t="s">
        <v>112</v>
      </c>
      <c r="C42" s="39">
        <v>7896658000843</v>
      </c>
      <c r="D42" s="40" t="s">
        <v>86</v>
      </c>
      <c r="E42" s="40"/>
      <c r="F42" s="38">
        <v>10</v>
      </c>
      <c r="G42" s="38"/>
      <c r="H42" s="38" t="s">
        <v>113</v>
      </c>
      <c r="I42" s="38" t="s">
        <v>88</v>
      </c>
      <c r="J42" s="38">
        <v>4</v>
      </c>
      <c r="K42" s="41">
        <v>0.48</v>
      </c>
      <c r="L42" s="38" t="s">
        <v>114</v>
      </c>
      <c r="M42" s="42" t="s">
        <v>118</v>
      </c>
    </row>
    <row r="43" spans="1:13" x14ac:dyDescent="0.3">
      <c r="A43" s="37">
        <v>53</v>
      </c>
      <c r="B43" s="38" t="s">
        <v>112</v>
      </c>
      <c r="C43" s="39">
        <v>7896658000843</v>
      </c>
      <c r="D43" s="40" t="s">
        <v>86</v>
      </c>
      <c r="E43" s="40"/>
      <c r="F43" s="38">
        <v>10</v>
      </c>
      <c r="G43" s="38"/>
      <c r="H43" s="38" t="s">
        <v>113</v>
      </c>
      <c r="I43" s="38" t="s">
        <v>88</v>
      </c>
      <c r="J43" s="38">
        <v>4</v>
      </c>
      <c r="K43" s="41">
        <v>0.48</v>
      </c>
      <c r="L43" s="38" t="s">
        <v>114</v>
      </c>
      <c r="M43" s="42" t="s">
        <v>119</v>
      </c>
    </row>
    <row r="44" spans="1:13" x14ac:dyDescent="0.3">
      <c r="A44" s="37">
        <v>53</v>
      </c>
      <c r="B44" s="38" t="s">
        <v>112</v>
      </c>
      <c r="C44" s="39">
        <v>7896658000843</v>
      </c>
      <c r="D44" s="40" t="s">
        <v>86</v>
      </c>
      <c r="E44" s="40"/>
      <c r="F44" s="38">
        <v>10</v>
      </c>
      <c r="G44" s="38"/>
      <c r="H44" s="38" t="s">
        <v>113</v>
      </c>
      <c r="I44" s="38" t="s">
        <v>88</v>
      </c>
      <c r="J44" s="38">
        <v>4</v>
      </c>
      <c r="K44" s="41">
        <v>0.48</v>
      </c>
      <c r="L44" s="49" t="s">
        <v>114</v>
      </c>
      <c r="M44" s="42" t="s">
        <v>120</v>
      </c>
    </row>
    <row r="45" spans="1:13" x14ac:dyDescent="0.3">
      <c r="A45" s="37">
        <v>53</v>
      </c>
      <c r="B45" s="38" t="s">
        <v>112</v>
      </c>
      <c r="C45" s="39">
        <v>7896658000843</v>
      </c>
      <c r="D45" s="40" t="s">
        <v>86</v>
      </c>
      <c r="E45" s="40"/>
      <c r="F45" s="38">
        <v>10</v>
      </c>
      <c r="G45" s="38"/>
      <c r="H45" s="38" t="s">
        <v>113</v>
      </c>
      <c r="I45" s="38" t="s">
        <v>88</v>
      </c>
      <c r="J45" s="38">
        <v>4</v>
      </c>
      <c r="K45" s="41">
        <v>0.48</v>
      </c>
      <c r="L45" s="38" t="s">
        <v>114</v>
      </c>
      <c r="M45" s="42" t="s">
        <v>121</v>
      </c>
    </row>
    <row r="46" spans="1:13" x14ac:dyDescent="0.3">
      <c r="A46" s="37">
        <v>53</v>
      </c>
      <c r="B46" s="38" t="s">
        <v>112</v>
      </c>
      <c r="C46" s="39">
        <v>7896658000843</v>
      </c>
      <c r="D46" s="40" t="s">
        <v>86</v>
      </c>
      <c r="E46" s="40"/>
      <c r="F46" s="38">
        <v>10</v>
      </c>
      <c r="G46" s="38"/>
      <c r="H46" s="38" t="s">
        <v>113</v>
      </c>
      <c r="I46" s="38" t="s">
        <v>88</v>
      </c>
      <c r="J46" s="38">
        <v>4</v>
      </c>
      <c r="K46" s="41">
        <v>0.48</v>
      </c>
      <c r="L46" s="38" t="s">
        <v>114</v>
      </c>
      <c r="M46" s="42" t="s">
        <v>122</v>
      </c>
    </row>
    <row r="47" spans="1:13" x14ac:dyDescent="0.3">
      <c r="A47" s="37">
        <v>53</v>
      </c>
      <c r="B47" s="38" t="s">
        <v>112</v>
      </c>
      <c r="C47" s="39">
        <v>7896658000843</v>
      </c>
      <c r="D47" s="40" t="s">
        <v>86</v>
      </c>
      <c r="E47" s="40"/>
      <c r="F47" s="38">
        <v>10</v>
      </c>
      <c r="G47" s="38"/>
      <c r="H47" s="38" t="s">
        <v>113</v>
      </c>
      <c r="I47" s="38" t="s">
        <v>88</v>
      </c>
      <c r="J47" s="38">
        <v>4</v>
      </c>
      <c r="K47" s="41">
        <v>0.48</v>
      </c>
      <c r="L47" s="38" t="s">
        <v>114</v>
      </c>
      <c r="M47" s="42" t="s">
        <v>123</v>
      </c>
    </row>
    <row r="48" spans="1:13" x14ac:dyDescent="0.3">
      <c r="A48" s="37">
        <v>53</v>
      </c>
      <c r="B48" s="38" t="s">
        <v>112</v>
      </c>
      <c r="C48" s="39">
        <v>7896658000843</v>
      </c>
      <c r="D48" s="40" t="s">
        <v>86</v>
      </c>
      <c r="E48" s="40"/>
      <c r="F48" s="38">
        <v>10</v>
      </c>
      <c r="G48" s="38"/>
      <c r="H48" s="38" t="s">
        <v>113</v>
      </c>
      <c r="I48" s="38" t="s">
        <v>88</v>
      </c>
      <c r="J48" s="38">
        <v>4</v>
      </c>
      <c r="K48" s="41">
        <v>0.48</v>
      </c>
      <c r="L48" s="38" t="s">
        <v>114</v>
      </c>
      <c r="M48" s="42" t="s">
        <v>124</v>
      </c>
    </row>
    <row r="49" spans="1:13" x14ac:dyDescent="0.3">
      <c r="A49" s="37">
        <v>53</v>
      </c>
      <c r="B49" s="38" t="s">
        <v>112</v>
      </c>
      <c r="C49" s="39">
        <v>7896658000843</v>
      </c>
      <c r="D49" s="40" t="s">
        <v>86</v>
      </c>
      <c r="E49" s="40"/>
      <c r="F49" s="38">
        <v>10</v>
      </c>
      <c r="G49" s="38"/>
      <c r="H49" s="38" t="s">
        <v>113</v>
      </c>
      <c r="I49" s="38" t="s">
        <v>88</v>
      </c>
      <c r="J49" s="38">
        <v>4</v>
      </c>
      <c r="K49" s="41">
        <v>0.48</v>
      </c>
      <c r="L49" s="38" t="s">
        <v>114</v>
      </c>
      <c r="M49" s="42" t="s">
        <v>125</v>
      </c>
    </row>
    <row r="50" spans="1:13" x14ac:dyDescent="0.3">
      <c r="A50" s="37">
        <v>53</v>
      </c>
      <c r="B50" s="38" t="s">
        <v>112</v>
      </c>
      <c r="C50" s="39">
        <v>7896658000843</v>
      </c>
      <c r="D50" s="40" t="s">
        <v>86</v>
      </c>
      <c r="E50" s="40"/>
      <c r="F50" s="38">
        <v>10</v>
      </c>
      <c r="G50" s="38"/>
      <c r="H50" s="38" t="s">
        <v>113</v>
      </c>
      <c r="I50" s="38" t="s">
        <v>88</v>
      </c>
      <c r="J50" s="38">
        <v>4</v>
      </c>
      <c r="K50" s="41">
        <v>0.48</v>
      </c>
      <c r="L50" s="38" t="s">
        <v>114</v>
      </c>
      <c r="M50" s="42" t="s">
        <v>126</v>
      </c>
    </row>
    <row r="51" spans="1:13" x14ac:dyDescent="0.3">
      <c r="A51" s="37">
        <v>53</v>
      </c>
      <c r="B51" s="38" t="s">
        <v>112</v>
      </c>
      <c r="C51" s="39">
        <v>7896658000843</v>
      </c>
      <c r="D51" s="40" t="s">
        <v>86</v>
      </c>
      <c r="E51" s="40"/>
      <c r="F51" s="38">
        <v>10</v>
      </c>
      <c r="G51" s="38"/>
      <c r="H51" s="38" t="s">
        <v>113</v>
      </c>
      <c r="I51" s="38" t="s">
        <v>88</v>
      </c>
      <c r="J51" s="38">
        <v>4</v>
      </c>
      <c r="K51" s="41">
        <v>0.48</v>
      </c>
      <c r="L51" s="38" t="s">
        <v>127</v>
      </c>
      <c r="M51" s="42" t="s">
        <v>128</v>
      </c>
    </row>
    <row r="52" spans="1:13" x14ac:dyDescent="0.3">
      <c r="A52" s="37">
        <v>53</v>
      </c>
      <c r="B52" s="38" t="s">
        <v>112</v>
      </c>
      <c r="C52" s="39">
        <v>7896658000843</v>
      </c>
      <c r="D52" s="40" t="s">
        <v>86</v>
      </c>
      <c r="E52" s="40"/>
      <c r="F52" s="38">
        <v>10</v>
      </c>
      <c r="G52" s="38"/>
      <c r="H52" s="38" t="s">
        <v>113</v>
      </c>
      <c r="I52" s="38" t="s">
        <v>88</v>
      </c>
      <c r="J52" s="38">
        <v>4</v>
      </c>
      <c r="K52" s="41">
        <v>0.28999999999999998</v>
      </c>
      <c r="L52" s="38" t="s">
        <v>89</v>
      </c>
      <c r="M52" s="42" t="s">
        <v>90</v>
      </c>
    </row>
    <row r="53" spans="1:13" x14ac:dyDescent="0.3">
      <c r="A53" s="37">
        <v>53</v>
      </c>
      <c r="B53" s="38" t="s">
        <v>112</v>
      </c>
      <c r="C53" s="39">
        <v>7896658000843</v>
      </c>
      <c r="D53" s="40" t="s">
        <v>86</v>
      </c>
      <c r="E53" s="40"/>
      <c r="F53" s="38">
        <v>24</v>
      </c>
      <c r="G53" s="38"/>
      <c r="H53" s="38" t="s">
        <v>129</v>
      </c>
      <c r="I53" s="38" t="s">
        <v>88</v>
      </c>
      <c r="J53" s="38">
        <v>4</v>
      </c>
      <c r="K53" s="41">
        <v>0.48</v>
      </c>
      <c r="L53" s="38" t="s">
        <v>114</v>
      </c>
      <c r="M53" s="42" t="s">
        <v>115</v>
      </c>
    </row>
    <row r="54" spans="1:13" x14ac:dyDescent="0.3">
      <c r="A54" s="37">
        <v>53</v>
      </c>
      <c r="B54" s="38" t="s">
        <v>112</v>
      </c>
      <c r="C54" s="39">
        <v>7896658000843</v>
      </c>
      <c r="D54" s="40" t="s">
        <v>86</v>
      </c>
      <c r="E54" s="40"/>
      <c r="F54" s="38">
        <v>24</v>
      </c>
      <c r="G54" s="38"/>
      <c r="H54" s="38" t="s">
        <v>129</v>
      </c>
      <c r="I54" s="38" t="s">
        <v>88</v>
      </c>
      <c r="J54" s="38">
        <v>4</v>
      </c>
      <c r="K54" s="41">
        <v>0.48</v>
      </c>
      <c r="L54" s="38" t="s">
        <v>114</v>
      </c>
      <c r="M54" s="42" t="s">
        <v>116</v>
      </c>
    </row>
    <row r="55" spans="1:13" x14ac:dyDescent="0.3">
      <c r="A55" s="37">
        <v>53</v>
      </c>
      <c r="B55" s="38" t="s">
        <v>112</v>
      </c>
      <c r="C55" s="39">
        <v>7896658000843</v>
      </c>
      <c r="D55" s="40" t="s">
        <v>86</v>
      </c>
      <c r="E55" s="40"/>
      <c r="F55" s="38">
        <v>24</v>
      </c>
      <c r="G55" s="38"/>
      <c r="H55" s="38" t="s">
        <v>129</v>
      </c>
      <c r="I55" s="38" t="s">
        <v>88</v>
      </c>
      <c r="J55" s="38">
        <v>4</v>
      </c>
      <c r="K55" s="41">
        <v>0.48</v>
      </c>
      <c r="L55" s="38" t="s">
        <v>114</v>
      </c>
      <c r="M55" s="42" t="s">
        <v>117</v>
      </c>
    </row>
    <row r="56" spans="1:13" x14ac:dyDescent="0.3">
      <c r="A56" s="37">
        <v>53</v>
      </c>
      <c r="B56" s="38" t="s">
        <v>112</v>
      </c>
      <c r="C56" s="39">
        <v>7896658000843</v>
      </c>
      <c r="D56" s="40" t="s">
        <v>86</v>
      </c>
      <c r="E56" s="40"/>
      <c r="F56" s="38">
        <v>24</v>
      </c>
      <c r="G56" s="38"/>
      <c r="H56" s="38" t="s">
        <v>129</v>
      </c>
      <c r="I56" s="38" t="s">
        <v>88</v>
      </c>
      <c r="J56" s="38">
        <v>4</v>
      </c>
      <c r="K56" s="41">
        <v>0.48</v>
      </c>
      <c r="L56" s="38" t="s">
        <v>114</v>
      </c>
      <c r="M56" s="42" t="s">
        <v>118</v>
      </c>
    </row>
    <row r="57" spans="1:13" x14ac:dyDescent="0.3">
      <c r="A57" s="37">
        <v>53</v>
      </c>
      <c r="B57" s="38" t="s">
        <v>112</v>
      </c>
      <c r="C57" s="39">
        <v>7896658000843</v>
      </c>
      <c r="D57" s="40" t="s">
        <v>86</v>
      </c>
      <c r="E57" s="40"/>
      <c r="F57" s="38">
        <v>24</v>
      </c>
      <c r="G57" s="38"/>
      <c r="H57" s="38" t="s">
        <v>129</v>
      </c>
      <c r="I57" s="38" t="s">
        <v>88</v>
      </c>
      <c r="J57" s="38">
        <v>4</v>
      </c>
      <c r="K57" s="41">
        <v>0.48</v>
      </c>
      <c r="L57" s="38" t="s">
        <v>114</v>
      </c>
      <c r="M57" s="42" t="s">
        <v>119</v>
      </c>
    </row>
    <row r="58" spans="1:13" x14ac:dyDescent="0.3">
      <c r="A58" s="37">
        <v>53</v>
      </c>
      <c r="B58" s="38" t="s">
        <v>112</v>
      </c>
      <c r="C58" s="39">
        <v>7896658000843</v>
      </c>
      <c r="D58" s="40" t="s">
        <v>86</v>
      </c>
      <c r="E58" s="40"/>
      <c r="F58" s="38">
        <v>24</v>
      </c>
      <c r="G58" s="38"/>
      <c r="H58" s="38" t="s">
        <v>129</v>
      </c>
      <c r="I58" s="38" t="s">
        <v>88</v>
      </c>
      <c r="J58" s="38">
        <v>4</v>
      </c>
      <c r="K58" s="41">
        <v>0.48</v>
      </c>
      <c r="L58" s="38" t="s">
        <v>114</v>
      </c>
      <c r="M58" s="42" t="s">
        <v>120</v>
      </c>
    </row>
    <row r="59" spans="1:13" x14ac:dyDescent="0.3">
      <c r="A59" s="37">
        <v>53</v>
      </c>
      <c r="B59" s="38" t="s">
        <v>112</v>
      </c>
      <c r="C59" s="39">
        <v>7896658000843</v>
      </c>
      <c r="D59" s="40" t="s">
        <v>86</v>
      </c>
      <c r="E59" s="40"/>
      <c r="F59" s="38">
        <v>24</v>
      </c>
      <c r="G59" s="38"/>
      <c r="H59" s="38" t="s">
        <v>129</v>
      </c>
      <c r="I59" s="38" t="s">
        <v>88</v>
      </c>
      <c r="J59" s="38">
        <v>4</v>
      </c>
      <c r="K59" s="41">
        <v>0.48</v>
      </c>
      <c r="L59" s="38" t="s">
        <v>114</v>
      </c>
      <c r="M59" s="42" t="s">
        <v>121</v>
      </c>
    </row>
    <row r="60" spans="1:13" x14ac:dyDescent="0.3">
      <c r="A60" s="37">
        <v>53</v>
      </c>
      <c r="B60" s="38" t="s">
        <v>112</v>
      </c>
      <c r="C60" s="39">
        <v>7896658000843</v>
      </c>
      <c r="D60" s="40" t="s">
        <v>86</v>
      </c>
      <c r="E60" s="40"/>
      <c r="F60" s="38">
        <v>24</v>
      </c>
      <c r="G60" s="38"/>
      <c r="H60" s="38" t="s">
        <v>129</v>
      </c>
      <c r="I60" s="38" t="s">
        <v>88</v>
      </c>
      <c r="J60" s="38">
        <v>4</v>
      </c>
      <c r="K60" s="41">
        <v>0.48</v>
      </c>
      <c r="L60" s="38" t="s">
        <v>114</v>
      </c>
      <c r="M60" s="42" t="s">
        <v>122</v>
      </c>
    </row>
    <row r="61" spans="1:13" x14ac:dyDescent="0.3">
      <c r="A61" s="37">
        <v>53</v>
      </c>
      <c r="B61" s="38" t="s">
        <v>112</v>
      </c>
      <c r="C61" s="39">
        <v>7896658000843</v>
      </c>
      <c r="D61" s="40" t="s">
        <v>86</v>
      </c>
      <c r="E61" s="40"/>
      <c r="F61" s="38">
        <v>24</v>
      </c>
      <c r="G61" s="38"/>
      <c r="H61" s="38" t="s">
        <v>129</v>
      </c>
      <c r="I61" s="38" t="s">
        <v>88</v>
      </c>
      <c r="J61" s="38">
        <v>4</v>
      </c>
      <c r="K61" s="41">
        <v>0.48</v>
      </c>
      <c r="L61" s="38" t="s">
        <v>114</v>
      </c>
      <c r="M61" s="42" t="s">
        <v>123</v>
      </c>
    </row>
    <row r="62" spans="1:13" x14ac:dyDescent="0.3">
      <c r="A62" s="37">
        <v>53</v>
      </c>
      <c r="B62" s="38" t="s">
        <v>112</v>
      </c>
      <c r="C62" s="39">
        <v>7896658000843</v>
      </c>
      <c r="D62" s="40" t="s">
        <v>86</v>
      </c>
      <c r="E62" s="40"/>
      <c r="F62" s="38">
        <v>24</v>
      </c>
      <c r="G62" s="38"/>
      <c r="H62" s="38" t="s">
        <v>129</v>
      </c>
      <c r="I62" s="38" t="s">
        <v>88</v>
      </c>
      <c r="J62" s="38">
        <v>4</v>
      </c>
      <c r="K62" s="41">
        <v>0.48</v>
      </c>
      <c r="L62" s="38" t="s">
        <v>114</v>
      </c>
      <c r="M62" s="42" t="s">
        <v>124</v>
      </c>
    </row>
    <row r="63" spans="1:13" x14ac:dyDescent="0.3">
      <c r="A63" s="37">
        <v>53</v>
      </c>
      <c r="B63" s="38" t="s">
        <v>112</v>
      </c>
      <c r="C63" s="39">
        <v>7896658000843</v>
      </c>
      <c r="D63" s="40" t="s">
        <v>86</v>
      </c>
      <c r="E63" s="40"/>
      <c r="F63" s="38">
        <v>24</v>
      </c>
      <c r="G63" s="38"/>
      <c r="H63" s="38" t="s">
        <v>129</v>
      </c>
      <c r="I63" s="38" t="s">
        <v>88</v>
      </c>
      <c r="J63" s="38">
        <v>4</v>
      </c>
      <c r="K63" s="41">
        <v>0.48</v>
      </c>
      <c r="L63" s="38" t="s">
        <v>114</v>
      </c>
      <c r="M63" s="42" t="s">
        <v>125</v>
      </c>
    </row>
    <row r="64" spans="1:13" x14ac:dyDescent="0.3">
      <c r="A64" s="37">
        <v>53</v>
      </c>
      <c r="B64" s="38" t="s">
        <v>112</v>
      </c>
      <c r="C64" s="39">
        <v>7896658000843</v>
      </c>
      <c r="D64" s="40" t="s">
        <v>86</v>
      </c>
      <c r="E64" s="40"/>
      <c r="F64" s="38">
        <v>24</v>
      </c>
      <c r="G64" s="38"/>
      <c r="H64" s="38" t="s">
        <v>129</v>
      </c>
      <c r="I64" s="38" t="s">
        <v>88</v>
      </c>
      <c r="J64" s="38">
        <v>4</v>
      </c>
      <c r="K64" s="41">
        <v>0.48</v>
      </c>
      <c r="L64" s="38" t="s">
        <v>114</v>
      </c>
      <c r="M64" s="42" t="s">
        <v>126</v>
      </c>
    </row>
    <row r="65" spans="1:13" x14ac:dyDescent="0.3">
      <c r="A65" s="37">
        <v>53</v>
      </c>
      <c r="B65" s="38" t="s">
        <v>112</v>
      </c>
      <c r="C65" s="39">
        <v>7896658000843</v>
      </c>
      <c r="D65" s="40" t="s">
        <v>86</v>
      </c>
      <c r="E65" s="40"/>
      <c r="F65" s="38">
        <v>24</v>
      </c>
      <c r="G65" s="38"/>
      <c r="H65" s="38" t="s">
        <v>129</v>
      </c>
      <c r="I65" s="38" t="s">
        <v>88</v>
      </c>
      <c r="J65" s="38">
        <v>4</v>
      </c>
      <c r="K65" s="41">
        <v>0.48</v>
      </c>
      <c r="L65" s="38" t="s">
        <v>127</v>
      </c>
      <c r="M65" s="42" t="s">
        <v>128</v>
      </c>
    </row>
    <row r="66" spans="1:13" x14ac:dyDescent="0.3">
      <c r="A66" s="37">
        <v>53</v>
      </c>
      <c r="B66" s="38" t="s">
        <v>112</v>
      </c>
      <c r="C66" s="39">
        <v>7896658000843</v>
      </c>
      <c r="D66" s="40" t="s">
        <v>86</v>
      </c>
      <c r="E66" s="40"/>
      <c r="F66" s="38">
        <v>24</v>
      </c>
      <c r="G66" s="38"/>
      <c r="H66" s="38" t="s">
        <v>129</v>
      </c>
      <c r="I66" s="38" t="s">
        <v>88</v>
      </c>
      <c r="J66" s="38">
        <v>4</v>
      </c>
      <c r="K66" s="41">
        <v>0.28999999999999998</v>
      </c>
      <c r="L66" s="38" t="s">
        <v>89</v>
      </c>
      <c r="M66" s="42" t="s">
        <v>90</v>
      </c>
    </row>
    <row r="67" spans="1:13" x14ac:dyDescent="0.3">
      <c r="A67" s="37">
        <v>53</v>
      </c>
      <c r="B67" s="38" t="s">
        <v>112</v>
      </c>
      <c r="C67" s="39">
        <v>7896658000843</v>
      </c>
      <c r="D67" s="40" t="s">
        <v>86</v>
      </c>
      <c r="E67" s="40"/>
      <c r="F67" s="38">
        <v>201</v>
      </c>
      <c r="G67" s="38"/>
      <c r="H67" s="38" t="s">
        <v>130</v>
      </c>
      <c r="I67" s="38" t="s">
        <v>88</v>
      </c>
      <c r="J67" s="38">
        <v>4</v>
      </c>
      <c r="K67" s="41">
        <v>0.48</v>
      </c>
      <c r="L67" s="38" t="s">
        <v>114</v>
      </c>
      <c r="M67" s="42" t="s">
        <v>115</v>
      </c>
    </row>
    <row r="68" spans="1:13" x14ac:dyDescent="0.3">
      <c r="A68" s="37">
        <v>53</v>
      </c>
      <c r="B68" s="38" t="s">
        <v>112</v>
      </c>
      <c r="C68" s="39">
        <v>7896658000843</v>
      </c>
      <c r="D68" s="40" t="s">
        <v>86</v>
      </c>
      <c r="E68" s="40"/>
      <c r="F68" s="38">
        <v>201</v>
      </c>
      <c r="G68" s="38"/>
      <c r="H68" s="38" t="s">
        <v>130</v>
      </c>
      <c r="I68" s="38" t="s">
        <v>88</v>
      </c>
      <c r="J68" s="38">
        <v>4</v>
      </c>
      <c r="K68" s="41">
        <v>0.48</v>
      </c>
      <c r="L68" s="38" t="s">
        <v>114</v>
      </c>
      <c r="M68" s="42" t="s">
        <v>116</v>
      </c>
    </row>
    <row r="69" spans="1:13" x14ac:dyDescent="0.3">
      <c r="A69" s="37">
        <v>53</v>
      </c>
      <c r="B69" s="38" t="s">
        <v>112</v>
      </c>
      <c r="C69" s="39">
        <v>7896658000843</v>
      </c>
      <c r="D69" s="40" t="s">
        <v>86</v>
      </c>
      <c r="E69" s="40"/>
      <c r="F69" s="38">
        <v>201</v>
      </c>
      <c r="G69" s="38"/>
      <c r="H69" s="38" t="s">
        <v>130</v>
      </c>
      <c r="I69" s="38" t="s">
        <v>88</v>
      </c>
      <c r="J69" s="38">
        <v>4</v>
      </c>
      <c r="K69" s="41">
        <v>0.48</v>
      </c>
      <c r="L69" s="38" t="s">
        <v>114</v>
      </c>
      <c r="M69" s="42" t="s">
        <v>117</v>
      </c>
    </row>
    <row r="70" spans="1:13" x14ac:dyDescent="0.3">
      <c r="A70" s="37">
        <v>53</v>
      </c>
      <c r="B70" s="38" t="s">
        <v>112</v>
      </c>
      <c r="C70" s="39">
        <v>7896658000843</v>
      </c>
      <c r="D70" s="40" t="s">
        <v>86</v>
      </c>
      <c r="E70" s="40"/>
      <c r="F70" s="38">
        <v>201</v>
      </c>
      <c r="G70" s="38"/>
      <c r="H70" s="38" t="s">
        <v>130</v>
      </c>
      <c r="I70" s="38" t="s">
        <v>88</v>
      </c>
      <c r="J70" s="38">
        <v>4</v>
      </c>
      <c r="K70" s="41">
        <v>0.48</v>
      </c>
      <c r="L70" s="38" t="s">
        <v>114</v>
      </c>
      <c r="M70" s="42" t="s">
        <v>118</v>
      </c>
    </row>
    <row r="71" spans="1:13" x14ac:dyDescent="0.3">
      <c r="A71" s="37">
        <v>53</v>
      </c>
      <c r="B71" s="38" t="s">
        <v>112</v>
      </c>
      <c r="C71" s="39">
        <v>7896658000843</v>
      </c>
      <c r="D71" s="40" t="s">
        <v>86</v>
      </c>
      <c r="E71" s="40"/>
      <c r="F71" s="38">
        <v>201</v>
      </c>
      <c r="G71" s="38"/>
      <c r="H71" s="38" t="s">
        <v>130</v>
      </c>
      <c r="I71" s="38" t="s">
        <v>88</v>
      </c>
      <c r="J71" s="38">
        <v>4</v>
      </c>
      <c r="K71" s="41">
        <v>0.48</v>
      </c>
      <c r="L71" s="38" t="s">
        <v>114</v>
      </c>
      <c r="M71" s="42" t="s">
        <v>119</v>
      </c>
    </row>
    <row r="72" spans="1:13" x14ac:dyDescent="0.3">
      <c r="A72" s="37">
        <v>53</v>
      </c>
      <c r="B72" s="38" t="s">
        <v>112</v>
      </c>
      <c r="C72" s="39">
        <v>7896658000843</v>
      </c>
      <c r="D72" s="40" t="s">
        <v>86</v>
      </c>
      <c r="E72" s="40"/>
      <c r="F72" s="38">
        <v>201</v>
      </c>
      <c r="G72" s="38"/>
      <c r="H72" s="38" t="s">
        <v>130</v>
      </c>
      <c r="I72" s="38" t="s">
        <v>88</v>
      </c>
      <c r="J72" s="38">
        <v>4</v>
      </c>
      <c r="K72" s="41">
        <v>0.48</v>
      </c>
      <c r="L72" s="38" t="s">
        <v>114</v>
      </c>
      <c r="M72" s="42" t="s">
        <v>120</v>
      </c>
    </row>
    <row r="73" spans="1:13" x14ac:dyDescent="0.3">
      <c r="A73" s="37">
        <v>53</v>
      </c>
      <c r="B73" s="38" t="s">
        <v>112</v>
      </c>
      <c r="C73" s="39">
        <v>7896658000843</v>
      </c>
      <c r="D73" s="40" t="s">
        <v>86</v>
      </c>
      <c r="E73" s="40"/>
      <c r="F73" s="38">
        <v>201</v>
      </c>
      <c r="G73" s="38"/>
      <c r="H73" s="38" t="s">
        <v>130</v>
      </c>
      <c r="I73" s="38" t="s">
        <v>88</v>
      </c>
      <c r="J73" s="38">
        <v>4</v>
      </c>
      <c r="K73" s="41">
        <v>0.48</v>
      </c>
      <c r="L73" s="38" t="s">
        <v>114</v>
      </c>
      <c r="M73" s="42" t="s">
        <v>121</v>
      </c>
    </row>
    <row r="74" spans="1:13" x14ac:dyDescent="0.3">
      <c r="A74" s="37">
        <v>53</v>
      </c>
      <c r="B74" s="38" t="s">
        <v>112</v>
      </c>
      <c r="C74" s="39">
        <v>7896658000843</v>
      </c>
      <c r="D74" s="40" t="s">
        <v>86</v>
      </c>
      <c r="E74" s="40"/>
      <c r="F74" s="38">
        <v>201</v>
      </c>
      <c r="G74" s="38"/>
      <c r="H74" s="38" t="s">
        <v>130</v>
      </c>
      <c r="I74" s="38" t="s">
        <v>88</v>
      </c>
      <c r="J74" s="38">
        <v>4</v>
      </c>
      <c r="K74" s="41">
        <v>0.48</v>
      </c>
      <c r="L74" s="38" t="s">
        <v>114</v>
      </c>
      <c r="M74" s="42" t="s">
        <v>122</v>
      </c>
    </row>
    <row r="75" spans="1:13" x14ac:dyDescent="0.3">
      <c r="A75" s="37">
        <v>53</v>
      </c>
      <c r="B75" s="38" t="s">
        <v>112</v>
      </c>
      <c r="C75" s="39">
        <v>7896658000843</v>
      </c>
      <c r="D75" s="40" t="s">
        <v>86</v>
      </c>
      <c r="E75" s="40"/>
      <c r="F75" s="38">
        <v>201</v>
      </c>
      <c r="G75" s="38"/>
      <c r="H75" s="38" t="s">
        <v>130</v>
      </c>
      <c r="I75" s="38" t="s">
        <v>88</v>
      </c>
      <c r="J75" s="38">
        <v>4</v>
      </c>
      <c r="K75" s="41">
        <v>0.48</v>
      </c>
      <c r="L75" s="38" t="s">
        <v>114</v>
      </c>
      <c r="M75" s="42" t="s">
        <v>123</v>
      </c>
    </row>
    <row r="76" spans="1:13" x14ac:dyDescent="0.3">
      <c r="A76" s="37">
        <v>53</v>
      </c>
      <c r="B76" s="38" t="s">
        <v>112</v>
      </c>
      <c r="C76" s="39">
        <v>7896658000843</v>
      </c>
      <c r="D76" s="40" t="s">
        <v>86</v>
      </c>
      <c r="E76" s="40"/>
      <c r="F76" s="38">
        <v>201</v>
      </c>
      <c r="G76" s="38"/>
      <c r="H76" s="38" t="s">
        <v>130</v>
      </c>
      <c r="I76" s="38" t="s">
        <v>88</v>
      </c>
      <c r="J76" s="38">
        <v>4</v>
      </c>
      <c r="K76" s="41">
        <v>0.48</v>
      </c>
      <c r="L76" s="38" t="s">
        <v>114</v>
      </c>
      <c r="M76" s="42" t="s">
        <v>124</v>
      </c>
    </row>
    <row r="77" spans="1:13" x14ac:dyDescent="0.3">
      <c r="A77" s="37">
        <v>53</v>
      </c>
      <c r="B77" s="38" t="s">
        <v>112</v>
      </c>
      <c r="C77" s="39">
        <v>7896658000843</v>
      </c>
      <c r="D77" s="40" t="s">
        <v>86</v>
      </c>
      <c r="E77" s="40"/>
      <c r="F77" s="38">
        <v>201</v>
      </c>
      <c r="G77" s="38"/>
      <c r="H77" s="38" t="s">
        <v>130</v>
      </c>
      <c r="I77" s="38" t="s">
        <v>88</v>
      </c>
      <c r="J77" s="38">
        <v>4</v>
      </c>
      <c r="K77" s="41">
        <v>0.48</v>
      </c>
      <c r="L77" s="38" t="s">
        <v>114</v>
      </c>
      <c r="M77" s="42" t="s">
        <v>125</v>
      </c>
    </row>
    <row r="78" spans="1:13" x14ac:dyDescent="0.3">
      <c r="A78" s="37">
        <v>53</v>
      </c>
      <c r="B78" s="38" t="s">
        <v>112</v>
      </c>
      <c r="C78" s="39">
        <v>7896658000843</v>
      </c>
      <c r="D78" s="40" t="s">
        <v>86</v>
      </c>
      <c r="E78" s="40"/>
      <c r="F78" s="38">
        <v>201</v>
      </c>
      <c r="G78" s="38"/>
      <c r="H78" s="38" t="s">
        <v>130</v>
      </c>
      <c r="I78" s="38" t="s">
        <v>88</v>
      </c>
      <c r="J78" s="38">
        <v>4</v>
      </c>
      <c r="K78" s="41">
        <v>0.48</v>
      </c>
      <c r="L78" s="38" t="s">
        <v>114</v>
      </c>
      <c r="M78" s="42" t="s">
        <v>126</v>
      </c>
    </row>
    <row r="79" spans="1:13" x14ac:dyDescent="0.3">
      <c r="A79" s="37">
        <v>53</v>
      </c>
      <c r="B79" s="38" t="s">
        <v>112</v>
      </c>
      <c r="C79" s="39">
        <v>7896658000843</v>
      </c>
      <c r="D79" s="40" t="s">
        <v>86</v>
      </c>
      <c r="E79" s="40"/>
      <c r="F79" s="38">
        <v>201</v>
      </c>
      <c r="G79" s="38"/>
      <c r="H79" s="38" t="s">
        <v>130</v>
      </c>
      <c r="I79" s="38" t="s">
        <v>88</v>
      </c>
      <c r="J79" s="38">
        <v>4</v>
      </c>
      <c r="K79" s="41">
        <v>0.48</v>
      </c>
      <c r="L79" s="38" t="s">
        <v>127</v>
      </c>
      <c r="M79" s="42" t="s">
        <v>128</v>
      </c>
    </row>
    <row r="80" spans="1:13" x14ac:dyDescent="0.3">
      <c r="A80" s="37">
        <v>53</v>
      </c>
      <c r="B80" s="38" t="s">
        <v>112</v>
      </c>
      <c r="C80" s="39">
        <v>7896658000843</v>
      </c>
      <c r="D80" s="40" t="s">
        <v>86</v>
      </c>
      <c r="E80" s="40"/>
      <c r="F80" s="38">
        <v>201</v>
      </c>
      <c r="G80" s="38"/>
      <c r="H80" s="38" t="s">
        <v>130</v>
      </c>
      <c r="I80" s="38" t="s">
        <v>88</v>
      </c>
      <c r="J80" s="38">
        <v>4</v>
      </c>
      <c r="K80" s="41">
        <v>0.28999999999999998</v>
      </c>
      <c r="L80" s="38" t="s">
        <v>89</v>
      </c>
      <c r="M80" s="42" t="s">
        <v>90</v>
      </c>
    </row>
    <row r="81" spans="1:13" x14ac:dyDescent="0.3">
      <c r="A81" s="37">
        <v>53</v>
      </c>
      <c r="B81" s="38" t="s">
        <v>112</v>
      </c>
      <c r="C81" s="39">
        <v>7896658000843</v>
      </c>
      <c r="D81" s="40" t="s">
        <v>86</v>
      </c>
      <c r="E81" s="40"/>
      <c r="F81" s="38">
        <v>591</v>
      </c>
      <c r="G81" s="38"/>
      <c r="H81" s="38" t="s">
        <v>130</v>
      </c>
      <c r="I81" s="38" t="s">
        <v>88</v>
      </c>
      <c r="J81" s="38">
        <v>4</v>
      </c>
      <c r="K81" s="41">
        <v>0.48</v>
      </c>
      <c r="L81" s="38" t="s">
        <v>114</v>
      </c>
      <c r="M81" s="42" t="s">
        <v>115</v>
      </c>
    </row>
    <row r="82" spans="1:13" x14ac:dyDescent="0.3">
      <c r="A82" s="37">
        <v>53</v>
      </c>
      <c r="B82" s="38" t="s">
        <v>112</v>
      </c>
      <c r="C82" s="39">
        <v>7896658000843</v>
      </c>
      <c r="D82" s="40" t="s">
        <v>86</v>
      </c>
      <c r="E82" s="40"/>
      <c r="F82" s="38">
        <v>591</v>
      </c>
      <c r="G82" s="38"/>
      <c r="H82" s="38" t="s">
        <v>130</v>
      </c>
      <c r="I82" s="38" t="s">
        <v>88</v>
      </c>
      <c r="J82" s="38">
        <v>4</v>
      </c>
      <c r="K82" s="41">
        <v>0.48</v>
      </c>
      <c r="L82" s="38" t="s">
        <v>114</v>
      </c>
      <c r="M82" s="42" t="s">
        <v>116</v>
      </c>
    </row>
    <row r="83" spans="1:13" x14ac:dyDescent="0.3">
      <c r="A83" s="37">
        <v>53</v>
      </c>
      <c r="B83" s="38" t="s">
        <v>112</v>
      </c>
      <c r="C83" s="39">
        <v>7896658000843</v>
      </c>
      <c r="D83" s="40" t="s">
        <v>86</v>
      </c>
      <c r="E83" s="40"/>
      <c r="F83" s="38">
        <v>591</v>
      </c>
      <c r="G83" s="38"/>
      <c r="H83" s="38" t="s">
        <v>130</v>
      </c>
      <c r="I83" s="38" t="s">
        <v>88</v>
      </c>
      <c r="J83" s="38">
        <v>4</v>
      </c>
      <c r="K83" s="41">
        <v>0.48</v>
      </c>
      <c r="L83" s="38" t="s">
        <v>114</v>
      </c>
      <c r="M83" s="42" t="s">
        <v>117</v>
      </c>
    </row>
    <row r="84" spans="1:13" x14ac:dyDescent="0.3">
      <c r="A84" s="37">
        <v>53</v>
      </c>
      <c r="B84" s="38" t="s">
        <v>112</v>
      </c>
      <c r="C84" s="39">
        <v>7896658000843</v>
      </c>
      <c r="D84" s="40" t="s">
        <v>86</v>
      </c>
      <c r="E84" s="40"/>
      <c r="F84" s="38">
        <v>591</v>
      </c>
      <c r="G84" s="38"/>
      <c r="H84" s="38" t="s">
        <v>130</v>
      </c>
      <c r="I84" s="38" t="s">
        <v>88</v>
      </c>
      <c r="J84" s="38">
        <v>4</v>
      </c>
      <c r="K84" s="41">
        <v>0.48</v>
      </c>
      <c r="L84" s="38" t="s">
        <v>114</v>
      </c>
      <c r="M84" s="42" t="s">
        <v>118</v>
      </c>
    </row>
    <row r="85" spans="1:13" x14ac:dyDescent="0.3">
      <c r="A85" s="37">
        <v>53</v>
      </c>
      <c r="B85" s="38" t="s">
        <v>112</v>
      </c>
      <c r="C85" s="39">
        <v>7896658000843</v>
      </c>
      <c r="D85" s="40" t="s">
        <v>86</v>
      </c>
      <c r="E85" s="40"/>
      <c r="F85" s="38">
        <v>591</v>
      </c>
      <c r="G85" s="38"/>
      <c r="H85" s="38" t="s">
        <v>130</v>
      </c>
      <c r="I85" s="38" t="s">
        <v>88</v>
      </c>
      <c r="J85" s="38">
        <v>4</v>
      </c>
      <c r="K85" s="41">
        <v>0.48</v>
      </c>
      <c r="L85" s="38" t="s">
        <v>114</v>
      </c>
      <c r="M85" s="42" t="s">
        <v>119</v>
      </c>
    </row>
    <row r="86" spans="1:13" x14ac:dyDescent="0.3">
      <c r="A86" s="37">
        <v>53</v>
      </c>
      <c r="B86" s="38" t="s">
        <v>112</v>
      </c>
      <c r="C86" s="39">
        <v>7896658000843</v>
      </c>
      <c r="D86" s="40" t="s">
        <v>86</v>
      </c>
      <c r="E86" s="40"/>
      <c r="F86" s="38">
        <v>591</v>
      </c>
      <c r="G86" s="38"/>
      <c r="H86" s="38" t="s">
        <v>130</v>
      </c>
      <c r="I86" s="38" t="s">
        <v>88</v>
      </c>
      <c r="J86" s="38">
        <v>4</v>
      </c>
      <c r="K86" s="41">
        <v>0.48</v>
      </c>
      <c r="L86" s="38" t="s">
        <v>114</v>
      </c>
      <c r="M86" s="42" t="s">
        <v>120</v>
      </c>
    </row>
    <row r="87" spans="1:13" x14ac:dyDescent="0.3">
      <c r="A87" s="37">
        <v>53</v>
      </c>
      <c r="B87" s="38" t="s">
        <v>112</v>
      </c>
      <c r="C87" s="39">
        <v>7896658000843</v>
      </c>
      <c r="D87" s="40" t="s">
        <v>86</v>
      </c>
      <c r="E87" s="40"/>
      <c r="F87" s="38">
        <v>591</v>
      </c>
      <c r="G87" s="38"/>
      <c r="H87" s="38" t="s">
        <v>130</v>
      </c>
      <c r="I87" s="38" t="s">
        <v>88</v>
      </c>
      <c r="J87" s="38">
        <v>4</v>
      </c>
      <c r="K87" s="41">
        <v>0.48</v>
      </c>
      <c r="L87" s="38" t="s">
        <v>114</v>
      </c>
      <c r="M87" s="42" t="s">
        <v>121</v>
      </c>
    </row>
    <row r="88" spans="1:13" x14ac:dyDescent="0.3">
      <c r="A88" s="37">
        <v>53</v>
      </c>
      <c r="B88" s="38" t="s">
        <v>112</v>
      </c>
      <c r="C88" s="39">
        <v>7896658000843</v>
      </c>
      <c r="D88" s="40" t="s">
        <v>86</v>
      </c>
      <c r="E88" s="40"/>
      <c r="F88" s="38">
        <v>591</v>
      </c>
      <c r="G88" s="38"/>
      <c r="H88" s="38" t="s">
        <v>130</v>
      </c>
      <c r="I88" s="38" t="s">
        <v>88</v>
      </c>
      <c r="J88" s="38">
        <v>4</v>
      </c>
      <c r="K88" s="41">
        <v>0.48</v>
      </c>
      <c r="L88" s="38" t="s">
        <v>114</v>
      </c>
      <c r="M88" s="42" t="s">
        <v>122</v>
      </c>
    </row>
    <row r="89" spans="1:13" x14ac:dyDescent="0.3">
      <c r="A89" s="37">
        <v>53</v>
      </c>
      <c r="B89" s="38" t="s">
        <v>112</v>
      </c>
      <c r="C89" s="39">
        <v>7896658000843</v>
      </c>
      <c r="D89" s="40" t="s">
        <v>86</v>
      </c>
      <c r="E89" s="40"/>
      <c r="F89" s="38">
        <v>591</v>
      </c>
      <c r="G89" s="38"/>
      <c r="H89" s="38" t="s">
        <v>130</v>
      </c>
      <c r="I89" s="38" t="s">
        <v>88</v>
      </c>
      <c r="J89" s="38">
        <v>4</v>
      </c>
      <c r="K89" s="41">
        <v>0.48</v>
      </c>
      <c r="L89" s="38" t="s">
        <v>114</v>
      </c>
      <c r="M89" s="42" t="s">
        <v>123</v>
      </c>
    </row>
    <row r="90" spans="1:13" x14ac:dyDescent="0.3">
      <c r="A90" s="37">
        <v>53</v>
      </c>
      <c r="B90" s="38" t="s">
        <v>112</v>
      </c>
      <c r="C90" s="39">
        <v>7896658000843</v>
      </c>
      <c r="D90" s="40" t="s">
        <v>86</v>
      </c>
      <c r="E90" s="40"/>
      <c r="F90" s="38">
        <v>591</v>
      </c>
      <c r="G90" s="38"/>
      <c r="H90" s="38" t="s">
        <v>130</v>
      </c>
      <c r="I90" s="38" t="s">
        <v>88</v>
      </c>
      <c r="J90" s="38">
        <v>4</v>
      </c>
      <c r="K90" s="41">
        <v>0.48</v>
      </c>
      <c r="L90" s="38" t="s">
        <v>114</v>
      </c>
      <c r="M90" s="42" t="s">
        <v>124</v>
      </c>
    </row>
    <row r="91" spans="1:13" x14ac:dyDescent="0.3">
      <c r="A91" s="37">
        <v>53</v>
      </c>
      <c r="B91" s="38" t="s">
        <v>112</v>
      </c>
      <c r="C91" s="39">
        <v>7896658000843</v>
      </c>
      <c r="D91" s="40" t="s">
        <v>86</v>
      </c>
      <c r="E91" s="40"/>
      <c r="F91" s="38">
        <v>591</v>
      </c>
      <c r="G91" s="38"/>
      <c r="H91" s="38" t="s">
        <v>130</v>
      </c>
      <c r="I91" s="38" t="s">
        <v>88</v>
      </c>
      <c r="J91" s="38">
        <v>4</v>
      </c>
      <c r="K91" s="41">
        <v>0.48</v>
      </c>
      <c r="L91" s="38" t="s">
        <v>114</v>
      </c>
      <c r="M91" s="42" t="s">
        <v>125</v>
      </c>
    </row>
    <row r="92" spans="1:13" x14ac:dyDescent="0.3">
      <c r="A92" s="37">
        <v>53</v>
      </c>
      <c r="B92" s="38" t="s">
        <v>112</v>
      </c>
      <c r="C92" s="39">
        <v>7896658000843</v>
      </c>
      <c r="D92" s="40" t="s">
        <v>86</v>
      </c>
      <c r="E92" s="40"/>
      <c r="F92" s="38">
        <v>591</v>
      </c>
      <c r="G92" s="38"/>
      <c r="H92" s="38" t="s">
        <v>130</v>
      </c>
      <c r="I92" s="38" t="s">
        <v>88</v>
      </c>
      <c r="J92" s="38">
        <v>4</v>
      </c>
      <c r="K92" s="41">
        <v>0.48</v>
      </c>
      <c r="L92" s="38" t="s">
        <v>114</v>
      </c>
      <c r="M92" s="42" t="s">
        <v>126</v>
      </c>
    </row>
    <row r="93" spans="1:13" x14ac:dyDescent="0.3">
      <c r="A93" s="37">
        <v>53</v>
      </c>
      <c r="B93" s="38" t="s">
        <v>112</v>
      </c>
      <c r="C93" s="39">
        <v>7896658000843</v>
      </c>
      <c r="D93" s="40" t="s">
        <v>86</v>
      </c>
      <c r="E93" s="40"/>
      <c r="F93" s="38">
        <v>591</v>
      </c>
      <c r="G93" s="38"/>
      <c r="H93" s="38" t="s">
        <v>130</v>
      </c>
      <c r="I93" s="38" t="s">
        <v>88</v>
      </c>
      <c r="J93" s="38">
        <v>4</v>
      </c>
      <c r="K93" s="41">
        <v>0.48</v>
      </c>
      <c r="L93" s="38" t="s">
        <v>127</v>
      </c>
      <c r="M93" s="42" t="s">
        <v>128</v>
      </c>
    </row>
    <row r="94" spans="1:13" x14ac:dyDescent="0.3">
      <c r="A94" s="37">
        <v>53</v>
      </c>
      <c r="B94" s="38" t="s">
        <v>112</v>
      </c>
      <c r="C94" s="39">
        <v>7896658000843</v>
      </c>
      <c r="D94" s="40" t="s">
        <v>86</v>
      </c>
      <c r="E94" s="40"/>
      <c r="F94" s="38">
        <v>591</v>
      </c>
      <c r="G94" s="38"/>
      <c r="H94" s="38" t="s">
        <v>130</v>
      </c>
      <c r="I94" s="38" t="s">
        <v>88</v>
      </c>
      <c r="J94" s="38">
        <v>4</v>
      </c>
      <c r="K94" s="41">
        <v>0.28999999999999998</v>
      </c>
      <c r="L94" s="38" t="s">
        <v>89</v>
      </c>
      <c r="M94" s="42" t="s">
        <v>90</v>
      </c>
    </row>
    <row r="95" spans="1:13" x14ac:dyDescent="0.3">
      <c r="A95" s="37">
        <v>53</v>
      </c>
      <c r="B95" s="38" t="s">
        <v>131</v>
      </c>
      <c r="C95" s="39">
        <v>7896658000911</v>
      </c>
      <c r="D95" s="40" t="s">
        <v>86</v>
      </c>
      <c r="E95" s="40"/>
      <c r="F95" s="38">
        <v>10</v>
      </c>
      <c r="G95" s="38"/>
      <c r="H95" s="38" t="s">
        <v>113</v>
      </c>
      <c r="I95" s="38" t="s">
        <v>88</v>
      </c>
      <c r="J95" s="38">
        <v>4</v>
      </c>
      <c r="K95" s="41">
        <v>0.48</v>
      </c>
      <c r="L95" s="38" t="s">
        <v>132</v>
      </c>
      <c r="M95" s="42" t="s">
        <v>133</v>
      </c>
    </row>
    <row r="96" spans="1:13" x14ac:dyDescent="0.3">
      <c r="A96" s="37">
        <v>53</v>
      </c>
      <c r="B96" s="38" t="s">
        <v>131</v>
      </c>
      <c r="C96" s="39">
        <v>7896658000911</v>
      </c>
      <c r="D96" s="40" t="s">
        <v>86</v>
      </c>
      <c r="E96" s="40"/>
      <c r="F96" s="38">
        <v>10</v>
      </c>
      <c r="G96" s="38"/>
      <c r="H96" s="38" t="s">
        <v>113</v>
      </c>
      <c r="I96" s="38" t="s">
        <v>88</v>
      </c>
      <c r="J96" s="38">
        <v>4</v>
      </c>
      <c r="K96" s="41">
        <v>0.48</v>
      </c>
      <c r="L96" s="38" t="s">
        <v>114</v>
      </c>
      <c r="M96" s="42" t="s">
        <v>115</v>
      </c>
    </row>
    <row r="97" spans="1:13" x14ac:dyDescent="0.3">
      <c r="A97" s="37">
        <v>53</v>
      </c>
      <c r="B97" s="38" t="s">
        <v>131</v>
      </c>
      <c r="C97" s="39">
        <v>7896658000911</v>
      </c>
      <c r="D97" s="40" t="s">
        <v>86</v>
      </c>
      <c r="E97" s="40"/>
      <c r="F97" s="38">
        <v>10</v>
      </c>
      <c r="G97" s="38"/>
      <c r="H97" s="38" t="s">
        <v>113</v>
      </c>
      <c r="I97" s="38" t="s">
        <v>88</v>
      </c>
      <c r="J97" s="38">
        <v>4</v>
      </c>
      <c r="K97" s="41">
        <v>0.48</v>
      </c>
      <c r="L97" s="38" t="s">
        <v>114</v>
      </c>
      <c r="M97" s="42" t="s">
        <v>116</v>
      </c>
    </row>
    <row r="98" spans="1:13" x14ac:dyDescent="0.3">
      <c r="A98" s="37">
        <v>53</v>
      </c>
      <c r="B98" s="38" t="s">
        <v>131</v>
      </c>
      <c r="C98" s="39">
        <v>7896658000911</v>
      </c>
      <c r="D98" s="40" t="s">
        <v>86</v>
      </c>
      <c r="E98" s="40"/>
      <c r="F98" s="38">
        <v>10</v>
      </c>
      <c r="G98" s="38"/>
      <c r="H98" s="38" t="s">
        <v>113</v>
      </c>
      <c r="I98" s="38" t="s">
        <v>88</v>
      </c>
      <c r="J98" s="38">
        <v>4</v>
      </c>
      <c r="K98" s="41">
        <v>0.48</v>
      </c>
      <c r="L98" s="38" t="s">
        <v>114</v>
      </c>
      <c r="M98" s="42" t="s">
        <v>117</v>
      </c>
    </row>
    <row r="99" spans="1:13" x14ac:dyDescent="0.3">
      <c r="A99" s="37">
        <v>53</v>
      </c>
      <c r="B99" s="38" t="s">
        <v>131</v>
      </c>
      <c r="C99" s="39">
        <v>7896658000911</v>
      </c>
      <c r="D99" s="40" t="s">
        <v>86</v>
      </c>
      <c r="E99" s="40"/>
      <c r="F99" s="38">
        <v>10</v>
      </c>
      <c r="G99" s="38"/>
      <c r="H99" s="38" t="s">
        <v>113</v>
      </c>
      <c r="I99" s="38" t="s">
        <v>88</v>
      </c>
      <c r="J99" s="38">
        <v>4</v>
      </c>
      <c r="K99" s="41">
        <v>0.48</v>
      </c>
      <c r="L99" s="38" t="s">
        <v>114</v>
      </c>
      <c r="M99" s="42" t="s">
        <v>118</v>
      </c>
    </row>
    <row r="100" spans="1:13" x14ac:dyDescent="0.3">
      <c r="A100" s="37">
        <v>53</v>
      </c>
      <c r="B100" s="38" t="s">
        <v>131</v>
      </c>
      <c r="C100" s="39">
        <v>7896658000911</v>
      </c>
      <c r="D100" s="40" t="s">
        <v>86</v>
      </c>
      <c r="E100" s="40"/>
      <c r="F100" s="38">
        <v>10</v>
      </c>
      <c r="G100" s="38"/>
      <c r="H100" s="38" t="s">
        <v>113</v>
      </c>
      <c r="I100" s="38" t="s">
        <v>88</v>
      </c>
      <c r="J100" s="38">
        <v>4</v>
      </c>
      <c r="K100" s="41">
        <v>0.48</v>
      </c>
      <c r="L100" s="38" t="s">
        <v>114</v>
      </c>
      <c r="M100" s="42" t="s">
        <v>119</v>
      </c>
    </row>
    <row r="101" spans="1:13" x14ac:dyDescent="0.3">
      <c r="A101" s="37">
        <v>53</v>
      </c>
      <c r="B101" s="38" t="s">
        <v>131</v>
      </c>
      <c r="C101" s="39">
        <v>7896658000911</v>
      </c>
      <c r="D101" s="40" t="s">
        <v>86</v>
      </c>
      <c r="E101" s="40"/>
      <c r="F101" s="38">
        <v>10</v>
      </c>
      <c r="G101" s="38"/>
      <c r="H101" s="38" t="s">
        <v>113</v>
      </c>
      <c r="I101" s="38" t="s">
        <v>88</v>
      </c>
      <c r="J101" s="38">
        <v>4</v>
      </c>
      <c r="K101" s="41">
        <v>0.48</v>
      </c>
      <c r="L101" s="38" t="s">
        <v>114</v>
      </c>
      <c r="M101" s="42" t="s">
        <v>120</v>
      </c>
    </row>
    <row r="102" spans="1:13" x14ac:dyDescent="0.3">
      <c r="A102" s="37">
        <v>53</v>
      </c>
      <c r="B102" s="38" t="s">
        <v>131</v>
      </c>
      <c r="C102" s="39">
        <v>7896658000911</v>
      </c>
      <c r="D102" s="40" t="s">
        <v>86</v>
      </c>
      <c r="E102" s="40"/>
      <c r="F102" s="38">
        <v>10</v>
      </c>
      <c r="G102" s="38"/>
      <c r="H102" s="38" t="s">
        <v>113</v>
      </c>
      <c r="I102" s="38" t="s">
        <v>88</v>
      </c>
      <c r="J102" s="38">
        <v>4</v>
      </c>
      <c r="K102" s="41">
        <v>0.48</v>
      </c>
      <c r="L102" s="38" t="s">
        <v>114</v>
      </c>
      <c r="M102" s="42" t="s">
        <v>121</v>
      </c>
    </row>
    <row r="103" spans="1:13" x14ac:dyDescent="0.3">
      <c r="A103" s="37">
        <v>53</v>
      </c>
      <c r="B103" s="38" t="s">
        <v>131</v>
      </c>
      <c r="C103" s="39">
        <v>7896658000911</v>
      </c>
      <c r="D103" s="40" t="s">
        <v>86</v>
      </c>
      <c r="E103" s="40"/>
      <c r="F103" s="38">
        <v>10</v>
      </c>
      <c r="G103" s="38"/>
      <c r="H103" s="38" t="s">
        <v>113</v>
      </c>
      <c r="I103" s="38" t="s">
        <v>88</v>
      </c>
      <c r="J103" s="38">
        <v>4</v>
      </c>
      <c r="K103" s="41">
        <v>0.48</v>
      </c>
      <c r="L103" s="38" t="s">
        <v>114</v>
      </c>
      <c r="M103" s="42" t="s">
        <v>122</v>
      </c>
    </row>
    <row r="104" spans="1:13" x14ac:dyDescent="0.3">
      <c r="A104" s="37">
        <v>53</v>
      </c>
      <c r="B104" s="38" t="s">
        <v>131</v>
      </c>
      <c r="C104" s="39">
        <v>7896658000911</v>
      </c>
      <c r="D104" s="40" t="s">
        <v>86</v>
      </c>
      <c r="E104" s="40"/>
      <c r="F104" s="38">
        <v>10</v>
      </c>
      <c r="G104" s="38"/>
      <c r="H104" s="38" t="s">
        <v>113</v>
      </c>
      <c r="I104" s="38" t="s">
        <v>88</v>
      </c>
      <c r="J104" s="38">
        <v>4</v>
      </c>
      <c r="K104" s="41">
        <v>0.48</v>
      </c>
      <c r="L104" s="38" t="s">
        <v>114</v>
      </c>
      <c r="M104" s="42" t="s">
        <v>123</v>
      </c>
    </row>
    <row r="105" spans="1:13" x14ac:dyDescent="0.3">
      <c r="A105" s="37">
        <v>53</v>
      </c>
      <c r="B105" s="38" t="s">
        <v>131</v>
      </c>
      <c r="C105" s="39">
        <v>7896658000911</v>
      </c>
      <c r="D105" s="40" t="s">
        <v>86</v>
      </c>
      <c r="E105" s="40"/>
      <c r="F105" s="38">
        <v>10</v>
      </c>
      <c r="G105" s="38"/>
      <c r="H105" s="38" t="s">
        <v>113</v>
      </c>
      <c r="I105" s="38" t="s">
        <v>88</v>
      </c>
      <c r="J105" s="38">
        <v>4</v>
      </c>
      <c r="K105" s="41">
        <v>0.48</v>
      </c>
      <c r="L105" s="38" t="s">
        <v>114</v>
      </c>
      <c r="M105" s="42" t="s">
        <v>124</v>
      </c>
    </row>
    <row r="106" spans="1:13" x14ac:dyDescent="0.3">
      <c r="A106" s="37">
        <v>53</v>
      </c>
      <c r="B106" s="38" t="s">
        <v>131</v>
      </c>
      <c r="C106" s="39">
        <v>7896658000911</v>
      </c>
      <c r="D106" s="40" t="s">
        <v>86</v>
      </c>
      <c r="E106" s="40"/>
      <c r="F106" s="38">
        <v>10</v>
      </c>
      <c r="G106" s="38"/>
      <c r="H106" s="38" t="s">
        <v>113</v>
      </c>
      <c r="I106" s="38" t="s">
        <v>88</v>
      </c>
      <c r="J106" s="38">
        <v>4</v>
      </c>
      <c r="K106" s="41">
        <v>0.48</v>
      </c>
      <c r="L106" s="38" t="s">
        <v>114</v>
      </c>
      <c r="M106" s="42" t="s">
        <v>125</v>
      </c>
    </row>
    <row r="107" spans="1:13" x14ac:dyDescent="0.3">
      <c r="A107" s="37">
        <v>53</v>
      </c>
      <c r="B107" s="38" t="s">
        <v>131</v>
      </c>
      <c r="C107" s="39">
        <v>7896658000911</v>
      </c>
      <c r="D107" s="40" t="s">
        <v>86</v>
      </c>
      <c r="E107" s="40"/>
      <c r="F107" s="38">
        <v>10</v>
      </c>
      <c r="G107" s="38"/>
      <c r="H107" s="38" t="s">
        <v>113</v>
      </c>
      <c r="I107" s="38" t="s">
        <v>88</v>
      </c>
      <c r="J107" s="38">
        <v>4</v>
      </c>
      <c r="K107" s="41">
        <v>0.48</v>
      </c>
      <c r="L107" s="38" t="s">
        <v>114</v>
      </c>
      <c r="M107" s="42" t="s">
        <v>126</v>
      </c>
    </row>
    <row r="108" spans="1:13" x14ac:dyDescent="0.3">
      <c r="A108" s="37">
        <v>53</v>
      </c>
      <c r="B108" s="38" t="s">
        <v>131</v>
      </c>
      <c r="C108" s="39">
        <v>7896658000911</v>
      </c>
      <c r="D108" s="40" t="s">
        <v>86</v>
      </c>
      <c r="E108" s="40"/>
      <c r="F108" s="38">
        <v>10</v>
      </c>
      <c r="G108" s="38"/>
      <c r="H108" s="38" t="s">
        <v>113</v>
      </c>
      <c r="I108" s="38" t="s">
        <v>88</v>
      </c>
      <c r="J108" s="38">
        <v>4</v>
      </c>
      <c r="K108" s="41">
        <v>0.48</v>
      </c>
      <c r="L108" s="38" t="s">
        <v>127</v>
      </c>
      <c r="M108" s="42" t="s">
        <v>128</v>
      </c>
    </row>
    <row r="109" spans="1:13" x14ac:dyDescent="0.3">
      <c r="A109" s="37">
        <v>53</v>
      </c>
      <c r="B109" s="38" t="s">
        <v>131</v>
      </c>
      <c r="C109" s="39">
        <v>7896658000911</v>
      </c>
      <c r="D109" s="40" t="s">
        <v>86</v>
      </c>
      <c r="E109" s="40"/>
      <c r="F109" s="38">
        <v>10</v>
      </c>
      <c r="G109" s="38"/>
      <c r="H109" s="38" t="s">
        <v>113</v>
      </c>
      <c r="I109" s="38" t="s">
        <v>88</v>
      </c>
      <c r="J109" s="38">
        <v>4</v>
      </c>
      <c r="K109" s="41">
        <v>0.28999999999999998</v>
      </c>
      <c r="L109" s="38" t="s">
        <v>89</v>
      </c>
      <c r="M109" s="42" t="s">
        <v>90</v>
      </c>
    </row>
    <row r="110" spans="1:13" x14ac:dyDescent="0.3">
      <c r="A110" s="37">
        <v>53</v>
      </c>
      <c r="B110" s="38" t="s">
        <v>131</v>
      </c>
      <c r="C110" s="39">
        <v>7896658000911</v>
      </c>
      <c r="D110" s="40" t="s">
        <v>86</v>
      </c>
      <c r="E110" s="40"/>
      <c r="F110" s="38">
        <v>24</v>
      </c>
      <c r="G110" s="38"/>
      <c r="H110" s="38" t="s">
        <v>129</v>
      </c>
      <c r="I110" s="38" t="s">
        <v>88</v>
      </c>
      <c r="J110" s="38">
        <v>4</v>
      </c>
      <c r="K110" s="41">
        <v>0.48</v>
      </c>
      <c r="L110" s="38" t="s">
        <v>132</v>
      </c>
      <c r="M110" s="42" t="s">
        <v>133</v>
      </c>
    </row>
    <row r="111" spans="1:13" x14ac:dyDescent="0.3">
      <c r="A111" s="37">
        <v>53</v>
      </c>
      <c r="B111" s="38" t="s">
        <v>131</v>
      </c>
      <c r="C111" s="39">
        <v>7896658000911</v>
      </c>
      <c r="D111" s="40" t="s">
        <v>86</v>
      </c>
      <c r="E111" s="40"/>
      <c r="F111" s="38">
        <v>24</v>
      </c>
      <c r="G111" s="38"/>
      <c r="H111" s="38" t="s">
        <v>129</v>
      </c>
      <c r="I111" s="38" t="s">
        <v>88</v>
      </c>
      <c r="J111" s="38">
        <v>4</v>
      </c>
      <c r="K111" s="41">
        <v>0.48</v>
      </c>
      <c r="L111" s="38" t="s">
        <v>114</v>
      </c>
      <c r="M111" s="42" t="s">
        <v>115</v>
      </c>
    </row>
    <row r="112" spans="1:13" x14ac:dyDescent="0.3">
      <c r="A112" s="37">
        <v>53</v>
      </c>
      <c r="B112" s="38" t="s">
        <v>131</v>
      </c>
      <c r="C112" s="39">
        <v>7896658000911</v>
      </c>
      <c r="D112" s="40" t="s">
        <v>86</v>
      </c>
      <c r="E112" s="40"/>
      <c r="F112" s="38">
        <v>24</v>
      </c>
      <c r="G112" s="38"/>
      <c r="H112" s="38" t="s">
        <v>129</v>
      </c>
      <c r="I112" s="38" t="s">
        <v>88</v>
      </c>
      <c r="J112" s="38">
        <v>4</v>
      </c>
      <c r="K112" s="41">
        <v>0.48</v>
      </c>
      <c r="L112" s="38" t="s">
        <v>114</v>
      </c>
      <c r="M112" s="42" t="s">
        <v>116</v>
      </c>
    </row>
    <row r="113" spans="1:13" x14ac:dyDescent="0.3">
      <c r="A113" s="37">
        <v>53</v>
      </c>
      <c r="B113" s="38" t="s">
        <v>131</v>
      </c>
      <c r="C113" s="39">
        <v>7896658000911</v>
      </c>
      <c r="D113" s="40" t="s">
        <v>86</v>
      </c>
      <c r="E113" s="40"/>
      <c r="F113" s="38">
        <v>24</v>
      </c>
      <c r="G113" s="38"/>
      <c r="H113" s="38" t="s">
        <v>129</v>
      </c>
      <c r="I113" s="38" t="s">
        <v>88</v>
      </c>
      <c r="J113" s="38">
        <v>4</v>
      </c>
      <c r="K113" s="41">
        <v>0.48</v>
      </c>
      <c r="L113" s="38" t="s">
        <v>114</v>
      </c>
      <c r="M113" s="42" t="s">
        <v>117</v>
      </c>
    </row>
    <row r="114" spans="1:13" x14ac:dyDescent="0.3">
      <c r="A114" s="37">
        <v>53</v>
      </c>
      <c r="B114" s="38" t="s">
        <v>131</v>
      </c>
      <c r="C114" s="39">
        <v>7896658000911</v>
      </c>
      <c r="D114" s="40" t="s">
        <v>86</v>
      </c>
      <c r="E114" s="40"/>
      <c r="F114" s="38">
        <v>24</v>
      </c>
      <c r="G114" s="38"/>
      <c r="H114" s="38" t="s">
        <v>129</v>
      </c>
      <c r="I114" s="38" t="s">
        <v>88</v>
      </c>
      <c r="J114" s="38">
        <v>4</v>
      </c>
      <c r="K114" s="41">
        <v>0.48</v>
      </c>
      <c r="L114" s="38" t="s">
        <v>114</v>
      </c>
      <c r="M114" s="42" t="s">
        <v>118</v>
      </c>
    </row>
    <row r="115" spans="1:13" x14ac:dyDescent="0.3">
      <c r="A115" s="37">
        <v>53</v>
      </c>
      <c r="B115" s="38" t="s">
        <v>131</v>
      </c>
      <c r="C115" s="39">
        <v>7896658000911</v>
      </c>
      <c r="D115" s="40" t="s">
        <v>86</v>
      </c>
      <c r="E115" s="40"/>
      <c r="F115" s="38">
        <v>24</v>
      </c>
      <c r="G115" s="38"/>
      <c r="H115" s="38" t="s">
        <v>129</v>
      </c>
      <c r="I115" s="38" t="s">
        <v>88</v>
      </c>
      <c r="J115" s="38">
        <v>4</v>
      </c>
      <c r="K115" s="41">
        <v>0.48</v>
      </c>
      <c r="L115" s="38" t="s">
        <v>114</v>
      </c>
      <c r="M115" s="42" t="s">
        <v>119</v>
      </c>
    </row>
    <row r="116" spans="1:13" x14ac:dyDescent="0.3">
      <c r="A116" s="37">
        <v>53</v>
      </c>
      <c r="B116" s="38" t="s">
        <v>131</v>
      </c>
      <c r="C116" s="39">
        <v>7896658000911</v>
      </c>
      <c r="D116" s="40" t="s">
        <v>86</v>
      </c>
      <c r="E116" s="40"/>
      <c r="F116" s="38">
        <v>24</v>
      </c>
      <c r="G116" s="38"/>
      <c r="H116" s="38" t="s">
        <v>129</v>
      </c>
      <c r="I116" s="38" t="s">
        <v>88</v>
      </c>
      <c r="J116" s="38">
        <v>4</v>
      </c>
      <c r="K116" s="41">
        <v>0.48</v>
      </c>
      <c r="L116" s="38" t="s">
        <v>114</v>
      </c>
      <c r="M116" s="42" t="s">
        <v>120</v>
      </c>
    </row>
    <row r="117" spans="1:13" x14ac:dyDescent="0.3">
      <c r="A117" s="37">
        <v>53</v>
      </c>
      <c r="B117" s="38" t="s">
        <v>131</v>
      </c>
      <c r="C117" s="39">
        <v>7896658000911</v>
      </c>
      <c r="D117" s="40" t="s">
        <v>86</v>
      </c>
      <c r="E117" s="40"/>
      <c r="F117" s="38">
        <v>24</v>
      </c>
      <c r="G117" s="38"/>
      <c r="H117" s="38" t="s">
        <v>129</v>
      </c>
      <c r="I117" s="38" t="s">
        <v>88</v>
      </c>
      <c r="J117" s="38">
        <v>4</v>
      </c>
      <c r="K117" s="41">
        <v>0.48</v>
      </c>
      <c r="L117" s="38" t="s">
        <v>114</v>
      </c>
      <c r="M117" s="42" t="s">
        <v>121</v>
      </c>
    </row>
    <row r="118" spans="1:13" x14ac:dyDescent="0.3">
      <c r="A118" s="37">
        <v>53</v>
      </c>
      <c r="B118" s="38" t="s">
        <v>131</v>
      </c>
      <c r="C118" s="39">
        <v>7896658000911</v>
      </c>
      <c r="D118" s="40" t="s">
        <v>86</v>
      </c>
      <c r="E118" s="40"/>
      <c r="F118" s="38">
        <v>24</v>
      </c>
      <c r="G118" s="38"/>
      <c r="H118" s="38" t="s">
        <v>129</v>
      </c>
      <c r="I118" s="38" t="s">
        <v>88</v>
      </c>
      <c r="J118" s="38">
        <v>4</v>
      </c>
      <c r="K118" s="41">
        <v>0.48</v>
      </c>
      <c r="L118" s="38" t="s">
        <v>114</v>
      </c>
      <c r="M118" s="42" t="s">
        <v>122</v>
      </c>
    </row>
    <row r="119" spans="1:13" x14ac:dyDescent="0.3">
      <c r="A119" s="37">
        <v>53</v>
      </c>
      <c r="B119" s="38" t="s">
        <v>131</v>
      </c>
      <c r="C119" s="39">
        <v>7896658000911</v>
      </c>
      <c r="D119" s="40" t="s">
        <v>86</v>
      </c>
      <c r="E119" s="40"/>
      <c r="F119" s="38">
        <v>24</v>
      </c>
      <c r="G119" s="38"/>
      <c r="H119" s="38" t="s">
        <v>129</v>
      </c>
      <c r="I119" s="38" t="s">
        <v>88</v>
      </c>
      <c r="J119" s="38">
        <v>4</v>
      </c>
      <c r="K119" s="41">
        <v>0.48</v>
      </c>
      <c r="L119" s="38" t="s">
        <v>114</v>
      </c>
      <c r="M119" s="42" t="s">
        <v>123</v>
      </c>
    </row>
    <row r="120" spans="1:13" x14ac:dyDescent="0.3">
      <c r="A120" s="37">
        <v>53</v>
      </c>
      <c r="B120" s="38" t="s">
        <v>131</v>
      </c>
      <c r="C120" s="39">
        <v>7896658000911</v>
      </c>
      <c r="D120" s="40" t="s">
        <v>86</v>
      </c>
      <c r="E120" s="40"/>
      <c r="F120" s="38">
        <v>24</v>
      </c>
      <c r="G120" s="38"/>
      <c r="H120" s="38" t="s">
        <v>129</v>
      </c>
      <c r="I120" s="38" t="s">
        <v>88</v>
      </c>
      <c r="J120" s="38">
        <v>4</v>
      </c>
      <c r="K120" s="41">
        <v>0.48</v>
      </c>
      <c r="L120" s="38" t="s">
        <v>114</v>
      </c>
      <c r="M120" s="42" t="s">
        <v>124</v>
      </c>
    </row>
    <row r="121" spans="1:13" x14ac:dyDescent="0.3">
      <c r="A121" s="37">
        <v>53</v>
      </c>
      <c r="B121" s="38" t="s">
        <v>131</v>
      </c>
      <c r="C121" s="39">
        <v>7896658000911</v>
      </c>
      <c r="D121" s="40" t="s">
        <v>86</v>
      </c>
      <c r="E121" s="40"/>
      <c r="F121" s="38">
        <v>24</v>
      </c>
      <c r="G121" s="38"/>
      <c r="H121" s="38" t="s">
        <v>129</v>
      </c>
      <c r="I121" s="38" t="s">
        <v>88</v>
      </c>
      <c r="J121" s="38">
        <v>4</v>
      </c>
      <c r="K121" s="41">
        <v>0.48</v>
      </c>
      <c r="L121" s="38" t="s">
        <v>114</v>
      </c>
      <c r="M121" s="42" t="s">
        <v>125</v>
      </c>
    </row>
    <row r="122" spans="1:13" x14ac:dyDescent="0.3">
      <c r="A122" s="37">
        <v>53</v>
      </c>
      <c r="B122" s="38" t="s">
        <v>131</v>
      </c>
      <c r="C122" s="39">
        <v>7896658000911</v>
      </c>
      <c r="D122" s="40" t="s">
        <v>86</v>
      </c>
      <c r="E122" s="40"/>
      <c r="F122" s="38">
        <v>24</v>
      </c>
      <c r="G122" s="38"/>
      <c r="H122" s="38" t="s">
        <v>129</v>
      </c>
      <c r="I122" s="38" t="s">
        <v>88</v>
      </c>
      <c r="J122" s="38">
        <v>4</v>
      </c>
      <c r="K122" s="41">
        <v>0.48</v>
      </c>
      <c r="L122" s="38" t="s">
        <v>114</v>
      </c>
      <c r="M122" s="42" t="s">
        <v>126</v>
      </c>
    </row>
    <row r="123" spans="1:13" x14ac:dyDescent="0.3">
      <c r="A123" s="37">
        <v>53</v>
      </c>
      <c r="B123" s="38" t="s">
        <v>131</v>
      </c>
      <c r="C123" s="39">
        <v>7896658000911</v>
      </c>
      <c r="D123" s="40" t="s">
        <v>86</v>
      </c>
      <c r="E123" s="40"/>
      <c r="F123" s="38">
        <v>24</v>
      </c>
      <c r="G123" s="38"/>
      <c r="H123" s="38" t="s">
        <v>129</v>
      </c>
      <c r="I123" s="38" t="s">
        <v>88</v>
      </c>
      <c r="J123" s="38">
        <v>4</v>
      </c>
      <c r="K123" s="41">
        <v>0.48</v>
      </c>
      <c r="L123" s="38" t="s">
        <v>127</v>
      </c>
      <c r="M123" s="42" t="s">
        <v>128</v>
      </c>
    </row>
    <row r="124" spans="1:13" x14ac:dyDescent="0.3">
      <c r="A124" s="37">
        <v>53</v>
      </c>
      <c r="B124" s="38" t="s">
        <v>131</v>
      </c>
      <c r="C124" s="39">
        <v>7896658000911</v>
      </c>
      <c r="D124" s="40" t="s">
        <v>86</v>
      </c>
      <c r="E124" s="40"/>
      <c r="F124" s="38">
        <v>24</v>
      </c>
      <c r="G124" s="38"/>
      <c r="H124" s="38" t="s">
        <v>129</v>
      </c>
      <c r="I124" s="38" t="s">
        <v>88</v>
      </c>
      <c r="J124" s="38">
        <v>4</v>
      </c>
      <c r="K124" s="41">
        <v>0.28999999999999998</v>
      </c>
      <c r="L124" s="38" t="s">
        <v>89</v>
      </c>
      <c r="M124" s="42" t="s">
        <v>90</v>
      </c>
    </row>
    <row r="125" spans="1:13" x14ac:dyDescent="0.3">
      <c r="A125" s="37">
        <v>53</v>
      </c>
      <c r="B125" s="38" t="s">
        <v>131</v>
      </c>
      <c r="C125" s="39">
        <v>7896658000911</v>
      </c>
      <c r="D125" s="40" t="s">
        <v>86</v>
      </c>
      <c r="E125" s="40"/>
      <c r="F125" s="38">
        <v>201</v>
      </c>
      <c r="G125" s="38"/>
      <c r="H125" s="38" t="s">
        <v>130</v>
      </c>
      <c r="I125" s="38" t="s">
        <v>88</v>
      </c>
      <c r="J125" s="38">
        <v>4</v>
      </c>
      <c r="K125" s="41">
        <v>0.48</v>
      </c>
      <c r="L125" s="38" t="s">
        <v>132</v>
      </c>
      <c r="M125" s="42" t="s">
        <v>133</v>
      </c>
    </row>
    <row r="126" spans="1:13" x14ac:dyDescent="0.3">
      <c r="A126" s="37">
        <v>53</v>
      </c>
      <c r="B126" s="38" t="s">
        <v>131</v>
      </c>
      <c r="C126" s="39">
        <v>7896658000911</v>
      </c>
      <c r="D126" s="40" t="s">
        <v>86</v>
      </c>
      <c r="E126" s="40"/>
      <c r="F126" s="38">
        <v>201</v>
      </c>
      <c r="G126" s="38"/>
      <c r="H126" s="38" t="s">
        <v>130</v>
      </c>
      <c r="I126" s="38" t="s">
        <v>88</v>
      </c>
      <c r="J126" s="38">
        <v>4</v>
      </c>
      <c r="K126" s="41">
        <v>0.48</v>
      </c>
      <c r="L126" s="38" t="s">
        <v>114</v>
      </c>
      <c r="M126" s="42" t="s">
        <v>115</v>
      </c>
    </row>
    <row r="127" spans="1:13" x14ac:dyDescent="0.3">
      <c r="A127" s="37">
        <v>53</v>
      </c>
      <c r="B127" s="38" t="s">
        <v>131</v>
      </c>
      <c r="C127" s="39">
        <v>7896658000911</v>
      </c>
      <c r="D127" s="40" t="s">
        <v>86</v>
      </c>
      <c r="E127" s="40"/>
      <c r="F127" s="38">
        <v>201</v>
      </c>
      <c r="G127" s="38"/>
      <c r="H127" s="38" t="s">
        <v>130</v>
      </c>
      <c r="I127" s="38" t="s">
        <v>88</v>
      </c>
      <c r="J127" s="38">
        <v>4</v>
      </c>
      <c r="K127" s="41">
        <v>0.48</v>
      </c>
      <c r="L127" s="38" t="s">
        <v>114</v>
      </c>
      <c r="M127" s="42" t="s">
        <v>116</v>
      </c>
    </row>
    <row r="128" spans="1:13" x14ac:dyDescent="0.3">
      <c r="A128" s="37">
        <v>53</v>
      </c>
      <c r="B128" s="38" t="s">
        <v>131</v>
      </c>
      <c r="C128" s="39">
        <v>7896658000911</v>
      </c>
      <c r="D128" s="40" t="s">
        <v>86</v>
      </c>
      <c r="E128" s="40"/>
      <c r="F128" s="38">
        <v>201</v>
      </c>
      <c r="G128" s="38"/>
      <c r="H128" s="38" t="s">
        <v>130</v>
      </c>
      <c r="I128" s="38" t="s">
        <v>88</v>
      </c>
      <c r="J128" s="38">
        <v>4</v>
      </c>
      <c r="K128" s="41">
        <v>0.48</v>
      </c>
      <c r="L128" s="38" t="s">
        <v>114</v>
      </c>
      <c r="M128" s="42" t="s">
        <v>117</v>
      </c>
    </row>
    <row r="129" spans="1:13" x14ac:dyDescent="0.3">
      <c r="A129" s="37">
        <v>53</v>
      </c>
      <c r="B129" s="38" t="s">
        <v>131</v>
      </c>
      <c r="C129" s="39">
        <v>7896658000911</v>
      </c>
      <c r="D129" s="40" t="s">
        <v>86</v>
      </c>
      <c r="E129" s="40"/>
      <c r="F129" s="38">
        <v>201</v>
      </c>
      <c r="G129" s="38"/>
      <c r="H129" s="38" t="s">
        <v>130</v>
      </c>
      <c r="I129" s="38" t="s">
        <v>88</v>
      </c>
      <c r="J129" s="38">
        <v>4</v>
      </c>
      <c r="K129" s="41">
        <v>0.48</v>
      </c>
      <c r="L129" s="38" t="s">
        <v>114</v>
      </c>
      <c r="M129" s="42" t="s">
        <v>118</v>
      </c>
    </row>
    <row r="130" spans="1:13" x14ac:dyDescent="0.3">
      <c r="A130" s="37">
        <v>53</v>
      </c>
      <c r="B130" s="38" t="s">
        <v>131</v>
      </c>
      <c r="C130" s="39">
        <v>7896658000911</v>
      </c>
      <c r="D130" s="40" t="s">
        <v>86</v>
      </c>
      <c r="E130" s="40"/>
      <c r="F130" s="38">
        <v>201</v>
      </c>
      <c r="G130" s="38"/>
      <c r="H130" s="38" t="s">
        <v>130</v>
      </c>
      <c r="I130" s="38" t="s">
        <v>88</v>
      </c>
      <c r="J130" s="38">
        <v>4</v>
      </c>
      <c r="K130" s="41">
        <v>0.48</v>
      </c>
      <c r="L130" s="38" t="s">
        <v>114</v>
      </c>
      <c r="M130" s="42" t="s">
        <v>119</v>
      </c>
    </row>
    <row r="131" spans="1:13" x14ac:dyDescent="0.3">
      <c r="A131" s="37">
        <v>53</v>
      </c>
      <c r="B131" s="38" t="s">
        <v>131</v>
      </c>
      <c r="C131" s="39">
        <v>7896658000911</v>
      </c>
      <c r="D131" s="40" t="s">
        <v>86</v>
      </c>
      <c r="E131" s="40"/>
      <c r="F131" s="38">
        <v>201</v>
      </c>
      <c r="G131" s="38"/>
      <c r="H131" s="38" t="s">
        <v>130</v>
      </c>
      <c r="I131" s="38" t="s">
        <v>88</v>
      </c>
      <c r="J131" s="38">
        <v>4</v>
      </c>
      <c r="K131" s="41">
        <v>0.48</v>
      </c>
      <c r="L131" s="38" t="s">
        <v>114</v>
      </c>
      <c r="M131" s="42" t="s">
        <v>120</v>
      </c>
    </row>
    <row r="132" spans="1:13" x14ac:dyDescent="0.3">
      <c r="A132" s="37">
        <v>53</v>
      </c>
      <c r="B132" s="38" t="s">
        <v>131</v>
      </c>
      <c r="C132" s="39">
        <v>7896658000911</v>
      </c>
      <c r="D132" s="40" t="s">
        <v>86</v>
      </c>
      <c r="E132" s="40"/>
      <c r="F132" s="38">
        <v>201</v>
      </c>
      <c r="G132" s="38"/>
      <c r="H132" s="38" t="s">
        <v>130</v>
      </c>
      <c r="I132" s="38" t="s">
        <v>88</v>
      </c>
      <c r="J132" s="38">
        <v>4</v>
      </c>
      <c r="K132" s="41">
        <v>0.48</v>
      </c>
      <c r="L132" s="38" t="s">
        <v>114</v>
      </c>
      <c r="M132" s="42" t="s">
        <v>121</v>
      </c>
    </row>
    <row r="133" spans="1:13" x14ac:dyDescent="0.3">
      <c r="A133" s="37">
        <v>53</v>
      </c>
      <c r="B133" s="38" t="s">
        <v>131</v>
      </c>
      <c r="C133" s="39">
        <v>7896658000911</v>
      </c>
      <c r="D133" s="40" t="s">
        <v>86</v>
      </c>
      <c r="E133" s="40"/>
      <c r="F133" s="38">
        <v>201</v>
      </c>
      <c r="G133" s="38"/>
      <c r="H133" s="38" t="s">
        <v>130</v>
      </c>
      <c r="I133" s="38" t="s">
        <v>88</v>
      </c>
      <c r="J133" s="38">
        <v>4</v>
      </c>
      <c r="K133" s="41">
        <v>0.48</v>
      </c>
      <c r="L133" s="38" t="s">
        <v>114</v>
      </c>
      <c r="M133" s="42" t="s">
        <v>122</v>
      </c>
    </row>
    <row r="134" spans="1:13" x14ac:dyDescent="0.3">
      <c r="A134" s="37">
        <v>53</v>
      </c>
      <c r="B134" s="38" t="s">
        <v>131</v>
      </c>
      <c r="C134" s="39">
        <v>7896658000911</v>
      </c>
      <c r="D134" s="40" t="s">
        <v>86</v>
      </c>
      <c r="E134" s="40"/>
      <c r="F134" s="38">
        <v>201</v>
      </c>
      <c r="G134" s="38"/>
      <c r="H134" s="38" t="s">
        <v>130</v>
      </c>
      <c r="I134" s="38" t="s">
        <v>88</v>
      </c>
      <c r="J134" s="38">
        <v>4</v>
      </c>
      <c r="K134" s="41">
        <v>0.48</v>
      </c>
      <c r="L134" s="38" t="s">
        <v>114</v>
      </c>
      <c r="M134" s="42" t="s">
        <v>123</v>
      </c>
    </row>
    <row r="135" spans="1:13" x14ac:dyDescent="0.3">
      <c r="A135" s="37">
        <v>53</v>
      </c>
      <c r="B135" s="38" t="s">
        <v>131</v>
      </c>
      <c r="C135" s="39">
        <v>7896658000911</v>
      </c>
      <c r="D135" s="40" t="s">
        <v>86</v>
      </c>
      <c r="E135" s="40"/>
      <c r="F135" s="38">
        <v>201</v>
      </c>
      <c r="G135" s="38"/>
      <c r="H135" s="38" t="s">
        <v>130</v>
      </c>
      <c r="I135" s="38" t="s">
        <v>88</v>
      </c>
      <c r="J135" s="38">
        <v>4</v>
      </c>
      <c r="K135" s="41">
        <v>0.48</v>
      </c>
      <c r="L135" s="38" t="s">
        <v>114</v>
      </c>
      <c r="M135" s="42" t="s">
        <v>124</v>
      </c>
    </row>
    <row r="136" spans="1:13" x14ac:dyDescent="0.3">
      <c r="A136" s="37">
        <v>53</v>
      </c>
      <c r="B136" s="38" t="s">
        <v>131</v>
      </c>
      <c r="C136" s="39">
        <v>7896658000911</v>
      </c>
      <c r="D136" s="40" t="s">
        <v>86</v>
      </c>
      <c r="E136" s="40"/>
      <c r="F136" s="38">
        <v>201</v>
      </c>
      <c r="G136" s="38"/>
      <c r="H136" s="38" t="s">
        <v>130</v>
      </c>
      <c r="I136" s="38" t="s">
        <v>88</v>
      </c>
      <c r="J136" s="38">
        <v>4</v>
      </c>
      <c r="K136" s="41">
        <v>0.48</v>
      </c>
      <c r="L136" s="38" t="s">
        <v>114</v>
      </c>
      <c r="M136" s="42" t="s">
        <v>125</v>
      </c>
    </row>
    <row r="137" spans="1:13" x14ac:dyDescent="0.3">
      <c r="A137" s="37">
        <v>53</v>
      </c>
      <c r="B137" s="38" t="s">
        <v>131</v>
      </c>
      <c r="C137" s="39">
        <v>7896658000911</v>
      </c>
      <c r="D137" s="40" t="s">
        <v>86</v>
      </c>
      <c r="E137" s="40"/>
      <c r="F137" s="38">
        <v>201</v>
      </c>
      <c r="G137" s="38"/>
      <c r="H137" s="38" t="s">
        <v>130</v>
      </c>
      <c r="I137" s="38" t="s">
        <v>88</v>
      </c>
      <c r="J137" s="38">
        <v>4</v>
      </c>
      <c r="K137" s="41">
        <v>0.48</v>
      </c>
      <c r="L137" s="38" t="s">
        <v>114</v>
      </c>
      <c r="M137" s="42" t="s">
        <v>126</v>
      </c>
    </row>
    <row r="138" spans="1:13" x14ac:dyDescent="0.3">
      <c r="A138" s="37">
        <v>53</v>
      </c>
      <c r="B138" s="38" t="s">
        <v>131</v>
      </c>
      <c r="C138" s="39">
        <v>7896658000911</v>
      </c>
      <c r="D138" s="40" t="s">
        <v>86</v>
      </c>
      <c r="E138" s="40"/>
      <c r="F138" s="38">
        <v>201</v>
      </c>
      <c r="G138" s="38"/>
      <c r="H138" s="38" t="s">
        <v>130</v>
      </c>
      <c r="I138" s="38" t="s">
        <v>88</v>
      </c>
      <c r="J138" s="38">
        <v>4</v>
      </c>
      <c r="K138" s="41">
        <v>0.48</v>
      </c>
      <c r="L138" s="38" t="s">
        <v>127</v>
      </c>
      <c r="M138" s="42" t="s">
        <v>128</v>
      </c>
    </row>
    <row r="139" spans="1:13" x14ac:dyDescent="0.3">
      <c r="A139" s="37">
        <v>53</v>
      </c>
      <c r="B139" s="38" t="s">
        <v>131</v>
      </c>
      <c r="C139" s="39">
        <v>7896658000911</v>
      </c>
      <c r="D139" s="40" t="s">
        <v>86</v>
      </c>
      <c r="E139" s="40"/>
      <c r="F139" s="38">
        <v>201</v>
      </c>
      <c r="G139" s="38"/>
      <c r="H139" s="38" t="s">
        <v>130</v>
      </c>
      <c r="I139" s="38" t="s">
        <v>88</v>
      </c>
      <c r="J139" s="38">
        <v>4</v>
      </c>
      <c r="K139" s="41">
        <v>0.28999999999999998</v>
      </c>
      <c r="L139" s="38" t="s">
        <v>89</v>
      </c>
      <c r="M139" s="42" t="s">
        <v>90</v>
      </c>
    </row>
    <row r="140" spans="1:13" x14ac:dyDescent="0.3">
      <c r="A140" s="37">
        <v>53</v>
      </c>
      <c r="B140" s="38" t="s">
        <v>131</v>
      </c>
      <c r="C140" s="39">
        <v>7896658000911</v>
      </c>
      <c r="D140" s="40" t="s">
        <v>86</v>
      </c>
      <c r="E140" s="40"/>
      <c r="F140" s="38">
        <v>591</v>
      </c>
      <c r="G140" s="38"/>
      <c r="H140" s="38" t="s">
        <v>130</v>
      </c>
      <c r="I140" s="38" t="s">
        <v>88</v>
      </c>
      <c r="J140" s="38">
        <v>4</v>
      </c>
      <c r="K140" s="41">
        <v>0.48</v>
      </c>
      <c r="L140" s="38" t="s">
        <v>132</v>
      </c>
      <c r="M140" s="42" t="s">
        <v>133</v>
      </c>
    </row>
    <row r="141" spans="1:13" x14ac:dyDescent="0.3">
      <c r="A141" s="37">
        <v>53</v>
      </c>
      <c r="B141" s="38" t="s">
        <v>131</v>
      </c>
      <c r="C141" s="39">
        <v>7896658000911</v>
      </c>
      <c r="D141" s="40" t="s">
        <v>86</v>
      </c>
      <c r="E141" s="40"/>
      <c r="F141" s="38">
        <v>591</v>
      </c>
      <c r="G141" s="38"/>
      <c r="H141" s="38" t="s">
        <v>130</v>
      </c>
      <c r="I141" s="38" t="s">
        <v>88</v>
      </c>
      <c r="J141" s="38">
        <v>4</v>
      </c>
      <c r="K141" s="41">
        <v>0.48</v>
      </c>
      <c r="L141" s="38" t="s">
        <v>114</v>
      </c>
      <c r="M141" s="42" t="s">
        <v>115</v>
      </c>
    </row>
    <row r="142" spans="1:13" x14ac:dyDescent="0.3">
      <c r="A142" s="37">
        <v>53</v>
      </c>
      <c r="B142" s="38" t="s">
        <v>131</v>
      </c>
      <c r="C142" s="39">
        <v>7896658000911</v>
      </c>
      <c r="D142" s="40" t="s">
        <v>86</v>
      </c>
      <c r="E142" s="40"/>
      <c r="F142" s="38">
        <v>591</v>
      </c>
      <c r="G142" s="38"/>
      <c r="H142" s="38" t="s">
        <v>130</v>
      </c>
      <c r="I142" s="38" t="s">
        <v>88</v>
      </c>
      <c r="J142" s="38">
        <v>4</v>
      </c>
      <c r="K142" s="41">
        <v>0.48</v>
      </c>
      <c r="L142" s="38" t="s">
        <v>114</v>
      </c>
      <c r="M142" s="42" t="s">
        <v>116</v>
      </c>
    </row>
    <row r="143" spans="1:13" x14ac:dyDescent="0.3">
      <c r="A143" s="37">
        <v>53</v>
      </c>
      <c r="B143" s="38" t="s">
        <v>131</v>
      </c>
      <c r="C143" s="39">
        <v>7896658000911</v>
      </c>
      <c r="D143" s="40" t="s">
        <v>86</v>
      </c>
      <c r="E143" s="40"/>
      <c r="F143" s="38">
        <v>591</v>
      </c>
      <c r="G143" s="38"/>
      <c r="H143" s="38" t="s">
        <v>130</v>
      </c>
      <c r="I143" s="38" t="s">
        <v>88</v>
      </c>
      <c r="J143" s="38">
        <v>4</v>
      </c>
      <c r="K143" s="41">
        <v>0.48</v>
      </c>
      <c r="L143" s="38" t="s">
        <v>114</v>
      </c>
      <c r="M143" s="42" t="s">
        <v>117</v>
      </c>
    </row>
    <row r="144" spans="1:13" x14ac:dyDescent="0.3">
      <c r="A144" s="37">
        <v>53</v>
      </c>
      <c r="B144" s="38" t="s">
        <v>131</v>
      </c>
      <c r="C144" s="39">
        <v>7896658000911</v>
      </c>
      <c r="D144" s="40" t="s">
        <v>86</v>
      </c>
      <c r="E144" s="40"/>
      <c r="F144" s="38">
        <v>591</v>
      </c>
      <c r="G144" s="38"/>
      <c r="H144" s="38" t="s">
        <v>130</v>
      </c>
      <c r="I144" s="38" t="s">
        <v>88</v>
      </c>
      <c r="J144" s="38">
        <v>4</v>
      </c>
      <c r="K144" s="41">
        <v>0.48</v>
      </c>
      <c r="L144" s="38" t="s">
        <v>114</v>
      </c>
      <c r="M144" s="42" t="s">
        <v>118</v>
      </c>
    </row>
    <row r="145" spans="1:13" x14ac:dyDescent="0.3">
      <c r="A145" s="37">
        <v>53</v>
      </c>
      <c r="B145" s="38" t="s">
        <v>131</v>
      </c>
      <c r="C145" s="39">
        <v>7896658000911</v>
      </c>
      <c r="D145" s="40" t="s">
        <v>86</v>
      </c>
      <c r="E145" s="40"/>
      <c r="F145" s="38">
        <v>591</v>
      </c>
      <c r="G145" s="38"/>
      <c r="H145" s="38" t="s">
        <v>130</v>
      </c>
      <c r="I145" s="38" t="s">
        <v>88</v>
      </c>
      <c r="J145" s="38">
        <v>4</v>
      </c>
      <c r="K145" s="41">
        <v>0.48</v>
      </c>
      <c r="L145" s="38" t="s">
        <v>114</v>
      </c>
      <c r="M145" s="42" t="s">
        <v>119</v>
      </c>
    </row>
    <row r="146" spans="1:13" x14ac:dyDescent="0.3">
      <c r="A146" s="37">
        <v>53</v>
      </c>
      <c r="B146" s="38" t="s">
        <v>131</v>
      </c>
      <c r="C146" s="39">
        <v>7896658000911</v>
      </c>
      <c r="D146" s="40" t="s">
        <v>86</v>
      </c>
      <c r="E146" s="40"/>
      <c r="F146" s="38">
        <v>591</v>
      </c>
      <c r="G146" s="38"/>
      <c r="H146" s="38" t="s">
        <v>130</v>
      </c>
      <c r="I146" s="38" t="s">
        <v>88</v>
      </c>
      <c r="J146" s="38">
        <v>4</v>
      </c>
      <c r="K146" s="41">
        <v>0.48</v>
      </c>
      <c r="L146" s="38" t="s">
        <v>114</v>
      </c>
      <c r="M146" s="42" t="s">
        <v>120</v>
      </c>
    </row>
    <row r="147" spans="1:13" x14ac:dyDescent="0.3">
      <c r="A147" s="37">
        <v>53</v>
      </c>
      <c r="B147" s="38" t="s">
        <v>131</v>
      </c>
      <c r="C147" s="39">
        <v>7896658000911</v>
      </c>
      <c r="D147" s="40" t="s">
        <v>86</v>
      </c>
      <c r="E147" s="40"/>
      <c r="F147" s="38">
        <v>591</v>
      </c>
      <c r="G147" s="38"/>
      <c r="H147" s="38" t="s">
        <v>130</v>
      </c>
      <c r="I147" s="38" t="s">
        <v>88</v>
      </c>
      <c r="J147" s="38">
        <v>4</v>
      </c>
      <c r="K147" s="41">
        <v>0.48</v>
      </c>
      <c r="L147" s="38" t="s">
        <v>114</v>
      </c>
      <c r="M147" s="42" t="s">
        <v>121</v>
      </c>
    </row>
    <row r="148" spans="1:13" x14ac:dyDescent="0.3">
      <c r="A148" s="37">
        <v>53</v>
      </c>
      <c r="B148" s="38" t="s">
        <v>131</v>
      </c>
      <c r="C148" s="39">
        <v>7896658000911</v>
      </c>
      <c r="D148" s="40" t="s">
        <v>86</v>
      </c>
      <c r="E148" s="40"/>
      <c r="F148" s="38">
        <v>591</v>
      </c>
      <c r="G148" s="38"/>
      <c r="H148" s="38" t="s">
        <v>130</v>
      </c>
      <c r="I148" s="38" t="s">
        <v>88</v>
      </c>
      <c r="J148" s="38">
        <v>4</v>
      </c>
      <c r="K148" s="41">
        <v>0.48</v>
      </c>
      <c r="L148" s="38" t="s">
        <v>114</v>
      </c>
      <c r="M148" s="42" t="s">
        <v>122</v>
      </c>
    </row>
    <row r="149" spans="1:13" x14ac:dyDescent="0.3">
      <c r="A149" s="37">
        <v>53</v>
      </c>
      <c r="B149" s="38" t="s">
        <v>131</v>
      </c>
      <c r="C149" s="39">
        <v>7896658000911</v>
      </c>
      <c r="D149" s="40" t="s">
        <v>86</v>
      </c>
      <c r="E149" s="40"/>
      <c r="F149" s="38">
        <v>591</v>
      </c>
      <c r="G149" s="38"/>
      <c r="H149" s="38" t="s">
        <v>130</v>
      </c>
      <c r="I149" s="38" t="s">
        <v>88</v>
      </c>
      <c r="J149" s="38">
        <v>4</v>
      </c>
      <c r="K149" s="41">
        <v>0.48</v>
      </c>
      <c r="L149" s="38" t="s">
        <v>114</v>
      </c>
      <c r="M149" s="42" t="s">
        <v>123</v>
      </c>
    </row>
    <row r="150" spans="1:13" x14ac:dyDescent="0.3">
      <c r="A150" s="37">
        <v>53</v>
      </c>
      <c r="B150" s="38" t="s">
        <v>131</v>
      </c>
      <c r="C150" s="39">
        <v>7896658000911</v>
      </c>
      <c r="D150" s="40" t="s">
        <v>86</v>
      </c>
      <c r="E150" s="40"/>
      <c r="F150" s="38">
        <v>591</v>
      </c>
      <c r="G150" s="38"/>
      <c r="H150" s="38" t="s">
        <v>130</v>
      </c>
      <c r="I150" s="38" t="s">
        <v>88</v>
      </c>
      <c r="J150" s="38">
        <v>4</v>
      </c>
      <c r="K150" s="41">
        <v>0.48</v>
      </c>
      <c r="L150" s="38" t="s">
        <v>114</v>
      </c>
      <c r="M150" s="42" t="s">
        <v>124</v>
      </c>
    </row>
    <row r="151" spans="1:13" x14ac:dyDescent="0.3">
      <c r="A151" s="37">
        <v>53</v>
      </c>
      <c r="B151" s="38" t="s">
        <v>131</v>
      </c>
      <c r="C151" s="39">
        <v>7896658000911</v>
      </c>
      <c r="D151" s="40" t="s">
        <v>86</v>
      </c>
      <c r="E151" s="40"/>
      <c r="F151" s="38">
        <v>591</v>
      </c>
      <c r="G151" s="38"/>
      <c r="H151" s="38" t="s">
        <v>130</v>
      </c>
      <c r="I151" s="38" t="s">
        <v>88</v>
      </c>
      <c r="J151" s="38">
        <v>4</v>
      </c>
      <c r="K151" s="41">
        <v>0.48</v>
      </c>
      <c r="L151" s="38" t="s">
        <v>114</v>
      </c>
      <c r="M151" s="42" t="s">
        <v>125</v>
      </c>
    </row>
    <row r="152" spans="1:13" x14ac:dyDescent="0.3">
      <c r="A152" s="37">
        <v>53</v>
      </c>
      <c r="B152" s="38" t="s">
        <v>131</v>
      </c>
      <c r="C152" s="39">
        <v>7896658000911</v>
      </c>
      <c r="D152" s="40" t="s">
        <v>86</v>
      </c>
      <c r="E152" s="40"/>
      <c r="F152" s="38">
        <v>591</v>
      </c>
      <c r="G152" s="38"/>
      <c r="H152" s="38" t="s">
        <v>130</v>
      </c>
      <c r="I152" s="38" t="s">
        <v>88</v>
      </c>
      <c r="J152" s="38">
        <v>4</v>
      </c>
      <c r="K152" s="41">
        <v>0.48</v>
      </c>
      <c r="L152" s="38" t="s">
        <v>114</v>
      </c>
      <c r="M152" s="42" t="s">
        <v>126</v>
      </c>
    </row>
    <row r="153" spans="1:13" x14ac:dyDescent="0.3">
      <c r="A153" s="37">
        <v>53</v>
      </c>
      <c r="B153" s="38" t="s">
        <v>131</v>
      </c>
      <c r="C153" s="39">
        <v>7896658000911</v>
      </c>
      <c r="D153" s="40" t="s">
        <v>86</v>
      </c>
      <c r="E153" s="40"/>
      <c r="F153" s="38">
        <v>591</v>
      </c>
      <c r="G153" s="38"/>
      <c r="H153" s="38" t="s">
        <v>130</v>
      </c>
      <c r="I153" s="38" t="s">
        <v>88</v>
      </c>
      <c r="J153" s="38">
        <v>4</v>
      </c>
      <c r="K153" s="41">
        <v>0.48</v>
      </c>
      <c r="L153" s="38" t="s">
        <v>127</v>
      </c>
      <c r="M153" s="42" t="s">
        <v>128</v>
      </c>
    </row>
    <row r="154" spans="1:13" x14ac:dyDescent="0.3">
      <c r="A154" s="37">
        <v>53</v>
      </c>
      <c r="B154" s="38" t="s">
        <v>131</v>
      </c>
      <c r="C154" s="39">
        <v>7896658000911</v>
      </c>
      <c r="D154" s="40" t="s">
        <v>86</v>
      </c>
      <c r="E154" s="40"/>
      <c r="F154" s="38">
        <v>591</v>
      </c>
      <c r="G154" s="38"/>
      <c r="H154" s="38" t="s">
        <v>130</v>
      </c>
      <c r="I154" s="38" t="s">
        <v>88</v>
      </c>
      <c r="J154" s="38">
        <v>4</v>
      </c>
      <c r="K154" s="41">
        <v>0.28999999999999998</v>
      </c>
      <c r="L154" s="38" t="s">
        <v>89</v>
      </c>
      <c r="M154" s="42" t="s">
        <v>90</v>
      </c>
    </row>
    <row r="155" spans="1:13" x14ac:dyDescent="0.3">
      <c r="A155" s="37">
        <v>53</v>
      </c>
      <c r="B155" s="38" t="s">
        <v>134</v>
      </c>
      <c r="C155" s="39">
        <v>7896658002403</v>
      </c>
      <c r="D155" s="40" t="s">
        <v>86</v>
      </c>
      <c r="E155" s="40"/>
      <c r="F155" s="38">
        <v>30</v>
      </c>
      <c r="G155" s="38"/>
      <c r="H155" s="38" t="s">
        <v>135</v>
      </c>
      <c r="I155" s="38" t="s">
        <v>88</v>
      </c>
      <c r="J155" s="38">
        <v>6</v>
      </c>
      <c r="K155" s="41">
        <v>0.38</v>
      </c>
      <c r="L155" s="38" t="s">
        <v>94</v>
      </c>
      <c r="M155" s="42" t="s">
        <v>90</v>
      </c>
    </row>
    <row r="156" spans="1:13" x14ac:dyDescent="0.3">
      <c r="A156" s="37">
        <v>53</v>
      </c>
      <c r="B156" s="38" t="s">
        <v>134</v>
      </c>
      <c r="C156" s="39">
        <v>7896658002403</v>
      </c>
      <c r="D156" s="40" t="s">
        <v>86</v>
      </c>
      <c r="E156" s="40"/>
      <c r="F156" s="38">
        <v>30</v>
      </c>
      <c r="G156" s="38"/>
      <c r="H156" s="38" t="s">
        <v>135</v>
      </c>
      <c r="I156" s="38" t="s">
        <v>88</v>
      </c>
      <c r="J156" s="38">
        <v>6</v>
      </c>
      <c r="K156" s="41">
        <v>0.37</v>
      </c>
      <c r="L156" s="38" t="s">
        <v>95</v>
      </c>
      <c r="M156" s="42" t="s">
        <v>90</v>
      </c>
    </row>
    <row r="157" spans="1:13" x14ac:dyDescent="0.3">
      <c r="A157" s="37">
        <v>53</v>
      </c>
      <c r="B157" s="38" t="s">
        <v>134</v>
      </c>
      <c r="C157" s="39">
        <v>7896658002403</v>
      </c>
      <c r="D157" s="40" t="s">
        <v>86</v>
      </c>
      <c r="E157" s="40"/>
      <c r="F157" s="38">
        <v>30</v>
      </c>
      <c r="G157" s="38"/>
      <c r="H157" s="38" t="s">
        <v>135</v>
      </c>
      <c r="I157" s="38" t="s">
        <v>88</v>
      </c>
      <c r="J157" s="38">
        <v>6</v>
      </c>
      <c r="K157" s="41">
        <v>0.4</v>
      </c>
      <c r="L157" s="38" t="s">
        <v>89</v>
      </c>
      <c r="M157" s="42" t="s">
        <v>90</v>
      </c>
    </row>
    <row r="158" spans="1:13" x14ac:dyDescent="0.3">
      <c r="A158" s="37">
        <v>53</v>
      </c>
      <c r="B158" s="38" t="s">
        <v>134</v>
      </c>
      <c r="C158" s="39">
        <v>7896658002403</v>
      </c>
      <c r="D158" s="40" t="s">
        <v>86</v>
      </c>
      <c r="E158" s="40"/>
      <c r="F158" s="38">
        <v>207</v>
      </c>
      <c r="G158" s="38"/>
      <c r="H158" s="38" t="s">
        <v>135</v>
      </c>
      <c r="I158" s="38" t="s">
        <v>88</v>
      </c>
      <c r="J158" s="38">
        <v>6</v>
      </c>
      <c r="K158" s="41">
        <v>0.38</v>
      </c>
      <c r="L158" s="38" t="s">
        <v>94</v>
      </c>
      <c r="M158" s="42" t="s">
        <v>90</v>
      </c>
    </row>
    <row r="159" spans="1:13" x14ac:dyDescent="0.3">
      <c r="A159" s="37">
        <v>53</v>
      </c>
      <c r="B159" s="38" t="s">
        <v>134</v>
      </c>
      <c r="C159" s="39">
        <v>7896658002403</v>
      </c>
      <c r="D159" s="40" t="s">
        <v>86</v>
      </c>
      <c r="E159" s="40"/>
      <c r="F159" s="38">
        <v>207</v>
      </c>
      <c r="G159" s="38"/>
      <c r="H159" s="38" t="s">
        <v>135</v>
      </c>
      <c r="I159" s="38" t="s">
        <v>88</v>
      </c>
      <c r="J159" s="38">
        <v>6</v>
      </c>
      <c r="K159" s="41">
        <v>0.37</v>
      </c>
      <c r="L159" s="38" t="s">
        <v>95</v>
      </c>
      <c r="M159" s="42" t="s">
        <v>90</v>
      </c>
    </row>
    <row r="160" spans="1:13" x14ac:dyDescent="0.3">
      <c r="A160" s="37">
        <v>53</v>
      </c>
      <c r="B160" s="38" t="s">
        <v>134</v>
      </c>
      <c r="C160" s="39">
        <v>7896658002403</v>
      </c>
      <c r="D160" s="40" t="s">
        <v>86</v>
      </c>
      <c r="E160" s="40"/>
      <c r="F160" s="38">
        <v>207</v>
      </c>
      <c r="G160" s="38"/>
      <c r="H160" s="38" t="s">
        <v>135</v>
      </c>
      <c r="I160" s="38" t="s">
        <v>88</v>
      </c>
      <c r="J160" s="38">
        <v>6</v>
      </c>
      <c r="K160" s="41">
        <v>0.4</v>
      </c>
      <c r="L160" s="38" t="s">
        <v>89</v>
      </c>
      <c r="M160" s="42" t="s">
        <v>90</v>
      </c>
    </row>
    <row r="161" spans="1:13" x14ac:dyDescent="0.3">
      <c r="A161" s="37">
        <v>53</v>
      </c>
      <c r="B161" s="38" t="s">
        <v>136</v>
      </c>
      <c r="C161" s="39">
        <v>7896658004308</v>
      </c>
      <c r="D161" s="40" t="s">
        <v>86</v>
      </c>
      <c r="E161" s="40"/>
      <c r="F161" s="38">
        <v>862</v>
      </c>
      <c r="G161" s="38"/>
      <c r="H161" s="38" t="s">
        <v>137</v>
      </c>
      <c r="I161" s="38" t="s">
        <v>138</v>
      </c>
      <c r="J161" s="38">
        <v>3</v>
      </c>
      <c r="K161" s="50">
        <v>120.12</v>
      </c>
      <c r="L161" s="38" t="s">
        <v>139</v>
      </c>
      <c r="M161" s="42" t="s">
        <v>90</v>
      </c>
    </row>
    <row r="162" spans="1:13" x14ac:dyDescent="0.3">
      <c r="A162" s="37">
        <v>53</v>
      </c>
      <c r="B162" s="38" t="s">
        <v>140</v>
      </c>
      <c r="C162" s="39">
        <v>7896658004360</v>
      </c>
      <c r="D162" s="40" t="s">
        <v>86</v>
      </c>
      <c r="E162" s="40"/>
      <c r="F162" s="38">
        <v>862</v>
      </c>
      <c r="G162" s="38"/>
      <c r="H162" s="38" t="s">
        <v>137</v>
      </c>
      <c r="I162" s="38" t="s">
        <v>138</v>
      </c>
      <c r="J162" s="38">
        <v>3</v>
      </c>
      <c r="K162" s="50">
        <v>120.12</v>
      </c>
      <c r="L162" s="38" t="s">
        <v>139</v>
      </c>
      <c r="M162" s="42" t="s">
        <v>90</v>
      </c>
    </row>
    <row r="163" spans="1:13" x14ac:dyDescent="0.3">
      <c r="A163" s="37">
        <v>53</v>
      </c>
      <c r="B163" s="38" t="s">
        <v>141</v>
      </c>
      <c r="C163" s="39">
        <v>7896658004391</v>
      </c>
      <c r="D163" s="40" t="s">
        <v>86</v>
      </c>
      <c r="E163" s="40"/>
      <c r="F163" s="38">
        <v>29</v>
      </c>
      <c r="G163" s="38"/>
      <c r="H163" s="38" t="s">
        <v>142</v>
      </c>
      <c r="I163" s="38" t="s">
        <v>88</v>
      </c>
      <c r="J163" s="38">
        <v>4</v>
      </c>
      <c r="K163" s="41">
        <v>0.48</v>
      </c>
      <c r="L163" s="38" t="s">
        <v>89</v>
      </c>
      <c r="M163" s="42" t="s">
        <v>90</v>
      </c>
    </row>
    <row r="164" spans="1:13" x14ac:dyDescent="0.3">
      <c r="A164" s="37">
        <v>53</v>
      </c>
      <c r="B164" s="38" t="s">
        <v>141</v>
      </c>
      <c r="C164" s="39">
        <v>7896658004391</v>
      </c>
      <c r="D164" s="40" t="s">
        <v>86</v>
      </c>
      <c r="E164" s="40"/>
      <c r="F164" s="38">
        <v>45</v>
      </c>
      <c r="G164" s="38"/>
      <c r="H164" s="38" t="s">
        <v>143</v>
      </c>
      <c r="I164" s="38" t="s">
        <v>88</v>
      </c>
      <c r="J164" s="38">
        <v>4</v>
      </c>
      <c r="K164" s="41">
        <v>0.46</v>
      </c>
      <c r="L164" s="38" t="s">
        <v>94</v>
      </c>
      <c r="M164" s="42" t="s">
        <v>90</v>
      </c>
    </row>
    <row r="165" spans="1:13" x14ac:dyDescent="0.3">
      <c r="A165" s="37">
        <v>53</v>
      </c>
      <c r="B165" s="38" t="s">
        <v>141</v>
      </c>
      <c r="C165" s="39">
        <v>7896658004391</v>
      </c>
      <c r="D165" s="40" t="s">
        <v>86</v>
      </c>
      <c r="E165" s="40"/>
      <c r="F165" s="38">
        <v>45</v>
      </c>
      <c r="G165" s="38"/>
      <c r="H165" s="38" t="s">
        <v>143</v>
      </c>
      <c r="I165" s="38" t="s">
        <v>88</v>
      </c>
      <c r="J165" s="38">
        <v>4</v>
      </c>
      <c r="K165" s="41">
        <v>0.45</v>
      </c>
      <c r="L165" s="38" t="s">
        <v>95</v>
      </c>
      <c r="M165" s="42" t="s">
        <v>90</v>
      </c>
    </row>
    <row r="166" spans="1:13" x14ac:dyDescent="0.3">
      <c r="A166" s="37">
        <v>53</v>
      </c>
      <c r="B166" s="38" t="s">
        <v>141</v>
      </c>
      <c r="C166" s="39">
        <v>7896658004391</v>
      </c>
      <c r="D166" s="40" t="s">
        <v>86</v>
      </c>
      <c r="E166" s="40"/>
      <c r="F166" s="38">
        <v>45</v>
      </c>
      <c r="G166" s="38"/>
      <c r="H166" s="38" t="s">
        <v>143</v>
      </c>
      <c r="I166" s="38" t="s">
        <v>88</v>
      </c>
      <c r="J166" s="38">
        <v>4</v>
      </c>
      <c r="K166" s="41">
        <v>0.5</v>
      </c>
      <c r="L166" s="38" t="s">
        <v>89</v>
      </c>
      <c r="M166" s="42" t="s">
        <v>90</v>
      </c>
    </row>
    <row r="167" spans="1:13" x14ac:dyDescent="0.3">
      <c r="A167" s="37">
        <v>53</v>
      </c>
      <c r="B167" s="38" t="s">
        <v>141</v>
      </c>
      <c r="C167" s="39">
        <v>7896658004391</v>
      </c>
      <c r="D167" s="40" t="s">
        <v>86</v>
      </c>
      <c r="E167" s="40"/>
      <c r="F167" s="38">
        <v>205</v>
      </c>
      <c r="G167" s="38"/>
      <c r="H167" s="38" t="s">
        <v>143</v>
      </c>
      <c r="I167" s="38" t="s">
        <v>88</v>
      </c>
      <c r="J167" s="38">
        <v>4</v>
      </c>
      <c r="K167" s="41">
        <v>0.46</v>
      </c>
      <c r="L167" s="38" t="s">
        <v>94</v>
      </c>
      <c r="M167" s="42" t="s">
        <v>90</v>
      </c>
    </row>
    <row r="168" spans="1:13" x14ac:dyDescent="0.3">
      <c r="A168" s="37">
        <v>53</v>
      </c>
      <c r="B168" s="38" t="s">
        <v>141</v>
      </c>
      <c r="C168" s="39">
        <v>7896658004391</v>
      </c>
      <c r="D168" s="40" t="s">
        <v>86</v>
      </c>
      <c r="E168" s="40"/>
      <c r="F168" s="38">
        <v>205</v>
      </c>
      <c r="G168" s="38"/>
      <c r="H168" s="38" t="s">
        <v>143</v>
      </c>
      <c r="I168" s="38" t="s">
        <v>88</v>
      </c>
      <c r="J168" s="38">
        <v>4</v>
      </c>
      <c r="K168" s="41">
        <v>0.45</v>
      </c>
      <c r="L168" s="38" t="s">
        <v>95</v>
      </c>
      <c r="M168" s="42" t="s">
        <v>90</v>
      </c>
    </row>
    <row r="169" spans="1:13" x14ac:dyDescent="0.3">
      <c r="A169" s="37">
        <v>53</v>
      </c>
      <c r="B169" s="38" t="s">
        <v>141</v>
      </c>
      <c r="C169" s="39">
        <v>7896658004391</v>
      </c>
      <c r="D169" s="40" t="s">
        <v>86</v>
      </c>
      <c r="E169" s="40"/>
      <c r="F169" s="38">
        <v>205</v>
      </c>
      <c r="G169" s="38"/>
      <c r="H169" s="38" t="s">
        <v>143</v>
      </c>
      <c r="I169" s="38" t="s">
        <v>88</v>
      </c>
      <c r="J169" s="38">
        <v>4</v>
      </c>
      <c r="K169" s="41">
        <v>0.5</v>
      </c>
      <c r="L169" s="38" t="s">
        <v>89</v>
      </c>
      <c r="M169" s="42" t="s">
        <v>90</v>
      </c>
    </row>
    <row r="170" spans="1:13" x14ac:dyDescent="0.3">
      <c r="A170" s="37">
        <v>53</v>
      </c>
      <c r="B170" s="38" t="s">
        <v>144</v>
      </c>
      <c r="C170" s="39">
        <v>7896658004858</v>
      </c>
      <c r="D170" s="40" t="s">
        <v>86</v>
      </c>
      <c r="E170" s="40"/>
      <c r="F170" s="38">
        <v>29</v>
      </c>
      <c r="G170" s="38"/>
      <c r="H170" s="38" t="s">
        <v>142</v>
      </c>
      <c r="I170" s="38" t="s">
        <v>88</v>
      </c>
      <c r="J170" s="38">
        <v>4</v>
      </c>
      <c r="K170" s="41">
        <v>0.48</v>
      </c>
      <c r="L170" s="38" t="s">
        <v>89</v>
      </c>
      <c r="M170" s="42" t="s">
        <v>90</v>
      </c>
    </row>
    <row r="171" spans="1:13" x14ac:dyDescent="0.3">
      <c r="A171" s="37">
        <v>53</v>
      </c>
      <c r="B171" s="38" t="s">
        <v>144</v>
      </c>
      <c r="C171" s="39">
        <v>7896658004858</v>
      </c>
      <c r="D171" s="40" t="s">
        <v>86</v>
      </c>
      <c r="E171" s="40"/>
      <c r="F171" s="38">
        <v>45</v>
      </c>
      <c r="G171" s="38"/>
      <c r="H171" s="38" t="s">
        <v>143</v>
      </c>
      <c r="I171" s="38" t="s">
        <v>88</v>
      </c>
      <c r="J171" s="38">
        <v>4</v>
      </c>
      <c r="K171" s="41">
        <v>0.26</v>
      </c>
      <c r="L171" s="38" t="s">
        <v>94</v>
      </c>
      <c r="M171" s="42" t="s">
        <v>90</v>
      </c>
    </row>
    <row r="172" spans="1:13" x14ac:dyDescent="0.3">
      <c r="A172" s="37">
        <v>53</v>
      </c>
      <c r="B172" s="38" t="s">
        <v>144</v>
      </c>
      <c r="C172" s="39">
        <v>7896658004858</v>
      </c>
      <c r="D172" s="40" t="s">
        <v>86</v>
      </c>
      <c r="E172" s="40"/>
      <c r="F172" s="38">
        <v>45</v>
      </c>
      <c r="G172" s="38"/>
      <c r="H172" s="38" t="s">
        <v>143</v>
      </c>
      <c r="I172" s="38" t="s">
        <v>88</v>
      </c>
      <c r="J172" s="38">
        <v>4</v>
      </c>
      <c r="K172" s="41">
        <v>0.25</v>
      </c>
      <c r="L172" s="38" t="s">
        <v>95</v>
      </c>
      <c r="M172" s="42" t="s">
        <v>90</v>
      </c>
    </row>
    <row r="173" spans="1:13" x14ac:dyDescent="0.3">
      <c r="A173" s="37">
        <v>53</v>
      </c>
      <c r="B173" s="38" t="s">
        <v>144</v>
      </c>
      <c r="C173" s="39">
        <v>7896658004858</v>
      </c>
      <c r="D173" s="40" t="s">
        <v>86</v>
      </c>
      <c r="E173" s="40"/>
      <c r="F173" s="38">
        <v>45</v>
      </c>
      <c r="G173" s="38"/>
      <c r="H173" s="38" t="s">
        <v>143</v>
      </c>
      <c r="I173" s="38" t="s">
        <v>88</v>
      </c>
      <c r="J173" s="38">
        <v>4</v>
      </c>
      <c r="K173" s="41">
        <v>0.3</v>
      </c>
      <c r="L173" s="38" t="s">
        <v>89</v>
      </c>
      <c r="M173" s="42" t="s">
        <v>90</v>
      </c>
    </row>
    <row r="174" spans="1:13" x14ac:dyDescent="0.3">
      <c r="A174" s="37">
        <v>53</v>
      </c>
      <c r="B174" s="38" t="s">
        <v>144</v>
      </c>
      <c r="C174" s="39">
        <v>7896658004858</v>
      </c>
      <c r="D174" s="40" t="s">
        <v>86</v>
      </c>
      <c r="E174" s="40"/>
      <c r="F174" s="38">
        <v>205</v>
      </c>
      <c r="G174" s="38"/>
      <c r="H174" s="38" t="s">
        <v>143</v>
      </c>
      <c r="I174" s="38" t="s">
        <v>88</v>
      </c>
      <c r="J174" s="38">
        <v>4</v>
      </c>
      <c r="K174" s="41">
        <v>0.26</v>
      </c>
      <c r="L174" s="38" t="s">
        <v>94</v>
      </c>
      <c r="M174" s="42" t="s">
        <v>90</v>
      </c>
    </row>
    <row r="175" spans="1:13" x14ac:dyDescent="0.3">
      <c r="A175" s="37">
        <v>53</v>
      </c>
      <c r="B175" s="38" t="s">
        <v>144</v>
      </c>
      <c r="C175" s="39">
        <v>7896658004858</v>
      </c>
      <c r="D175" s="40" t="s">
        <v>86</v>
      </c>
      <c r="E175" s="40"/>
      <c r="F175" s="38">
        <v>205</v>
      </c>
      <c r="G175" s="38"/>
      <c r="H175" s="38" t="s">
        <v>143</v>
      </c>
      <c r="I175" s="38" t="s">
        <v>88</v>
      </c>
      <c r="J175" s="38">
        <v>4</v>
      </c>
      <c r="K175" s="41">
        <v>0.25</v>
      </c>
      <c r="L175" s="38" t="s">
        <v>95</v>
      </c>
      <c r="M175" s="42" t="s">
        <v>90</v>
      </c>
    </row>
    <row r="176" spans="1:13" x14ac:dyDescent="0.3">
      <c r="A176" s="37">
        <v>53</v>
      </c>
      <c r="B176" s="38" t="s">
        <v>144</v>
      </c>
      <c r="C176" s="39">
        <v>7896658004858</v>
      </c>
      <c r="D176" s="40" t="s">
        <v>86</v>
      </c>
      <c r="E176" s="40"/>
      <c r="F176" s="38">
        <v>205</v>
      </c>
      <c r="G176" s="38"/>
      <c r="H176" s="38" t="s">
        <v>143</v>
      </c>
      <c r="I176" s="38" t="s">
        <v>88</v>
      </c>
      <c r="J176" s="38">
        <v>4</v>
      </c>
      <c r="K176" s="41">
        <v>0.3</v>
      </c>
      <c r="L176" s="38" t="s">
        <v>89</v>
      </c>
      <c r="M176" s="42" t="s">
        <v>90</v>
      </c>
    </row>
    <row r="177" spans="1:13" x14ac:dyDescent="0.3">
      <c r="A177" s="37">
        <v>53</v>
      </c>
      <c r="B177" s="38" t="s">
        <v>145</v>
      </c>
      <c r="C177" s="39">
        <v>7896658006043</v>
      </c>
      <c r="D177" s="40" t="s">
        <v>86</v>
      </c>
      <c r="E177" s="40"/>
      <c r="F177" s="38">
        <v>10</v>
      </c>
      <c r="G177" s="38"/>
      <c r="H177" s="38" t="s">
        <v>113</v>
      </c>
      <c r="I177" s="38" t="s">
        <v>88</v>
      </c>
      <c r="J177" s="38">
        <v>4</v>
      </c>
      <c r="K177" s="41">
        <v>0.25</v>
      </c>
      <c r="L177" s="38" t="s">
        <v>114</v>
      </c>
      <c r="M177" s="42" t="s">
        <v>115</v>
      </c>
    </row>
    <row r="178" spans="1:13" x14ac:dyDescent="0.3">
      <c r="A178" s="37">
        <v>53</v>
      </c>
      <c r="B178" s="38" t="s">
        <v>145</v>
      </c>
      <c r="C178" s="39">
        <v>7896658006043</v>
      </c>
      <c r="D178" s="40" t="s">
        <v>86</v>
      </c>
      <c r="E178" s="40"/>
      <c r="F178" s="38">
        <v>10</v>
      </c>
      <c r="G178" s="38"/>
      <c r="H178" s="38" t="s">
        <v>113</v>
      </c>
      <c r="I178" s="38" t="s">
        <v>88</v>
      </c>
      <c r="J178" s="38">
        <v>4</v>
      </c>
      <c r="K178" s="41">
        <v>0.25</v>
      </c>
      <c r="L178" s="38" t="s">
        <v>114</v>
      </c>
      <c r="M178" s="42" t="s">
        <v>116</v>
      </c>
    </row>
    <row r="179" spans="1:13" x14ac:dyDescent="0.3">
      <c r="A179" s="37">
        <v>53</v>
      </c>
      <c r="B179" s="38" t="s">
        <v>145</v>
      </c>
      <c r="C179" s="39">
        <v>7896658006043</v>
      </c>
      <c r="D179" s="40" t="s">
        <v>86</v>
      </c>
      <c r="E179" s="40"/>
      <c r="F179" s="38">
        <v>10</v>
      </c>
      <c r="G179" s="38"/>
      <c r="H179" s="38" t="s">
        <v>113</v>
      </c>
      <c r="I179" s="38" t="s">
        <v>88</v>
      </c>
      <c r="J179" s="38">
        <v>4</v>
      </c>
      <c r="K179" s="41">
        <v>0.25</v>
      </c>
      <c r="L179" s="38" t="s">
        <v>114</v>
      </c>
      <c r="M179" s="42" t="s">
        <v>117</v>
      </c>
    </row>
    <row r="180" spans="1:13" x14ac:dyDescent="0.3">
      <c r="A180" s="37">
        <v>53</v>
      </c>
      <c r="B180" s="38" t="s">
        <v>145</v>
      </c>
      <c r="C180" s="39">
        <v>7896658006043</v>
      </c>
      <c r="D180" s="40" t="s">
        <v>86</v>
      </c>
      <c r="E180" s="40"/>
      <c r="F180" s="38">
        <v>10</v>
      </c>
      <c r="G180" s="38"/>
      <c r="H180" s="38" t="s">
        <v>113</v>
      </c>
      <c r="I180" s="38" t="s">
        <v>88</v>
      </c>
      <c r="J180" s="38">
        <v>4</v>
      </c>
      <c r="K180" s="41">
        <v>0.25</v>
      </c>
      <c r="L180" s="38" t="s">
        <v>114</v>
      </c>
      <c r="M180" s="42" t="s">
        <v>118</v>
      </c>
    </row>
    <row r="181" spans="1:13" x14ac:dyDescent="0.3">
      <c r="A181" s="37">
        <v>53</v>
      </c>
      <c r="B181" s="38" t="s">
        <v>145</v>
      </c>
      <c r="C181" s="39">
        <v>7896658006043</v>
      </c>
      <c r="D181" s="40" t="s">
        <v>86</v>
      </c>
      <c r="E181" s="40"/>
      <c r="F181" s="38">
        <v>10</v>
      </c>
      <c r="G181" s="38"/>
      <c r="H181" s="38" t="s">
        <v>113</v>
      </c>
      <c r="I181" s="38" t="s">
        <v>88</v>
      </c>
      <c r="J181" s="38">
        <v>4</v>
      </c>
      <c r="K181" s="41">
        <v>0.25</v>
      </c>
      <c r="L181" s="38" t="s">
        <v>114</v>
      </c>
      <c r="M181" s="42" t="s">
        <v>119</v>
      </c>
    </row>
    <row r="182" spans="1:13" x14ac:dyDescent="0.3">
      <c r="A182" s="37">
        <v>53</v>
      </c>
      <c r="B182" s="38" t="s">
        <v>145</v>
      </c>
      <c r="C182" s="39">
        <v>7896658006043</v>
      </c>
      <c r="D182" s="40" t="s">
        <v>86</v>
      </c>
      <c r="E182" s="40"/>
      <c r="F182" s="38">
        <v>10</v>
      </c>
      <c r="G182" s="38"/>
      <c r="H182" s="38" t="s">
        <v>113</v>
      </c>
      <c r="I182" s="38" t="s">
        <v>88</v>
      </c>
      <c r="J182" s="38">
        <v>4</v>
      </c>
      <c r="K182" s="41">
        <v>0.25</v>
      </c>
      <c r="L182" s="38" t="s">
        <v>114</v>
      </c>
      <c r="M182" s="42" t="s">
        <v>120</v>
      </c>
    </row>
    <row r="183" spans="1:13" x14ac:dyDescent="0.3">
      <c r="A183" s="37">
        <v>53</v>
      </c>
      <c r="B183" s="38" t="s">
        <v>145</v>
      </c>
      <c r="C183" s="39">
        <v>7896658006043</v>
      </c>
      <c r="D183" s="40" t="s">
        <v>86</v>
      </c>
      <c r="E183" s="40"/>
      <c r="F183" s="38">
        <v>10</v>
      </c>
      <c r="G183" s="38"/>
      <c r="H183" s="38" t="s">
        <v>113</v>
      </c>
      <c r="I183" s="38" t="s">
        <v>88</v>
      </c>
      <c r="J183" s="38">
        <v>4</v>
      </c>
      <c r="K183" s="41">
        <v>0.25</v>
      </c>
      <c r="L183" s="38" t="s">
        <v>114</v>
      </c>
      <c r="M183" s="42" t="s">
        <v>121</v>
      </c>
    </row>
    <row r="184" spans="1:13" x14ac:dyDescent="0.3">
      <c r="A184" s="37">
        <v>53</v>
      </c>
      <c r="B184" s="38" t="s">
        <v>145</v>
      </c>
      <c r="C184" s="39">
        <v>7896658006043</v>
      </c>
      <c r="D184" s="40" t="s">
        <v>86</v>
      </c>
      <c r="E184" s="40"/>
      <c r="F184" s="38">
        <v>10</v>
      </c>
      <c r="G184" s="38"/>
      <c r="H184" s="38" t="s">
        <v>113</v>
      </c>
      <c r="I184" s="38" t="s">
        <v>88</v>
      </c>
      <c r="J184" s="38">
        <v>4</v>
      </c>
      <c r="K184" s="41">
        <v>0.25</v>
      </c>
      <c r="L184" s="38" t="s">
        <v>114</v>
      </c>
      <c r="M184" s="42" t="s">
        <v>122</v>
      </c>
    </row>
    <row r="185" spans="1:13" x14ac:dyDescent="0.3">
      <c r="A185" s="37">
        <v>53</v>
      </c>
      <c r="B185" s="38" t="s">
        <v>145</v>
      </c>
      <c r="C185" s="39">
        <v>7896658006043</v>
      </c>
      <c r="D185" s="40" t="s">
        <v>86</v>
      </c>
      <c r="E185" s="40"/>
      <c r="F185" s="38">
        <v>10</v>
      </c>
      <c r="G185" s="38"/>
      <c r="H185" s="38" t="s">
        <v>113</v>
      </c>
      <c r="I185" s="38" t="s">
        <v>88</v>
      </c>
      <c r="J185" s="38">
        <v>4</v>
      </c>
      <c r="K185" s="41">
        <v>0.25</v>
      </c>
      <c r="L185" s="38" t="s">
        <v>114</v>
      </c>
      <c r="M185" s="42" t="s">
        <v>123</v>
      </c>
    </row>
    <row r="186" spans="1:13" x14ac:dyDescent="0.3">
      <c r="A186" s="37">
        <v>53</v>
      </c>
      <c r="B186" s="38" t="s">
        <v>145</v>
      </c>
      <c r="C186" s="39">
        <v>7896658006043</v>
      </c>
      <c r="D186" s="40" t="s">
        <v>86</v>
      </c>
      <c r="E186" s="40"/>
      <c r="F186" s="38">
        <v>10</v>
      </c>
      <c r="G186" s="38"/>
      <c r="H186" s="38" t="s">
        <v>113</v>
      </c>
      <c r="I186" s="38" t="s">
        <v>88</v>
      </c>
      <c r="J186" s="38">
        <v>4</v>
      </c>
      <c r="K186" s="41">
        <v>0.25</v>
      </c>
      <c r="L186" s="38" t="s">
        <v>114</v>
      </c>
      <c r="M186" s="42" t="s">
        <v>124</v>
      </c>
    </row>
    <row r="187" spans="1:13" x14ac:dyDescent="0.3">
      <c r="A187" s="37">
        <v>53</v>
      </c>
      <c r="B187" s="38" t="s">
        <v>145</v>
      </c>
      <c r="C187" s="39">
        <v>7896658006043</v>
      </c>
      <c r="D187" s="40" t="s">
        <v>86</v>
      </c>
      <c r="E187" s="40"/>
      <c r="F187" s="38">
        <v>10</v>
      </c>
      <c r="G187" s="38"/>
      <c r="H187" s="38" t="s">
        <v>113</v>
      </c>
      <c r="I187" s="38" t="s">
        <v>88</v>
      </c>
      <c r="J187" s="38">
        <v>4</v>
      </c>
      <c r="K187" s="41">
        <v>0.25</v>
      </c>
      <c r="L187" s="38" t="s">
        <v>114</v>
      </c>
      <c r="M187" s="42" t="s">
        <v>125</v>
      </c>
    </row>
    <row r="188" spans="1:13" x14ac:dyDescent="0.3">
      <c r="A188" s="37">
        <v>53</v>
      </c>
      <c r="B188" s="38" t="s">
        <v>145</v>
      </c>
      <c r="C188" s="39">
        <v>7896658006043</v>
      </c>
      <c r="D188" s="40" t="s">
        <v>86</v>
      </c>
      <c r="E188" s="40"/>
      <c r="F188" s="38">
        <v>10</v>
      </c>
      <c r="G188" s="38"/>
      <c r="H188" s="38" t="s">
        <v>113</v>
      </c>
      <c r="I188" s="38" t="s">
        <v>88</v>
      </c>
      <c r="J188" s="38">
        <v>4</v>
      </c>
      <c r="K188" s="41">
        <v>0.25</v>
      </c>
      <c r="L188" s="38" t="s">
        <v>114</v>
      </c>
      <c r="M188" s="42" t="s">
        <v>126</v>
      </c>
    </row>
    <row r="189" spans="1:13" x14ac:dyDescent="0.3">
      <c r="A189" s="37">
        <v>53</v>
      </c>
      <c r="B189" s="38" t="s">
        <v>145</v>
      </c>
      <c r="C189" s="39">
        <v>7896658006043</v>
      </c>
      <c r="D189" s="40" t="s">
        <v>86</v>
      </c>
      <c r="E189" s="40"/>
      <c r="F189" s="38">
        <v>10</v>
      </c>
      <c r="G189" s="38"/>
      <c r="H189" s="38" t="s">
        <v>113</v>
      </c>
      <c r="I189" s="38" t="s">
        <v>88</v>
      </c>
      <c r="J189" s="38">
        <v>4</v>
      </c>
      <c r="K189" s="41">
        <v>0.15</v>
      </c>
      <c r="L189" s="38" t="s">
        <v>127</v>
      </c>
      <c r="M189" s="42" t="s">
        <v>128</v>
      </c>
    </row>
    <row r="190" spans="1:13" x14ac:dyDescent="0.3">
      <c r="A190" s="37">
        <v>53</v>
      </c>
      <c r="B190" s="38" t="s">
        <v>145</v>
      </c>
      <c r="C190" s="39">
        <v>7896658006043</v>
      </c>
      <c r="D190" s="40" t="s">
        <v>86</v>
      </c>
      <c r="E190" s="40"/>
      <c r="F190" s="38">
        <v>10</v>
      </c>
      <c r="G190" s="38"/>
      <c r="H190" s="38" t="s">
        <v>113</v>
      </c>
      <c r="I190" s="38" t="s">
        <v>88</v>
      </c>
      <c r="J190" s="38">
        <v>4</v>
      </c>
      <c r="K190" s="41">
        <v>0.15</v>
      </c>
      <c r="L190" s="38" t="s">
        <v>89</v>
      </c>
      <c r="M190" s="42" t="s">
        <v>90</v>
      </c>
    </row>
    <row r="191" spans="1:13" x14ac:dyDescent="0.3">
      <c r="A191" s="37">
        <v>53</v>
      </c>
      <c r="B191" s="38" t="s">
        <v>145</v>
      </c>
      <c r="C191" s="39">
        <v>7896658006043</v>
      </c>
      <c r="D191" s="40" t="s">
        <v>86</v>
      </c>
      <c r="E191" s="40"/>
      <c r="F191" s="38">
        <v>24</v>
      </c>
      <c r="G191" s="38"/>
      <c r="H191" s="38" t="s">
        <v>129</v>
      </c>
      <c r="I191" s="38" t="s">
        <v>88</v>
      </c>
      <c r="J191" s="38">
        <v>4</v>
      </c>
      <c r="K191" s="41">
        <v>0.25</v>
      </c>
      <c r="L191" s="38" t="s">
        <v>114</v>
      </c>
      <c r="M191" s="42" t="s">
        <v>115</v>
      </c>
    </row>
    <row r="192" spans="1:13" x14ac:dyDescent="0.3">
      <c r="A192" s="37">
        <v>53</v>
      </c>
      <c r="B192" s="38" t="s">
        <v>145</v>
      </c>
      <c r="C192" s="39">
        <v>7896658006043</v>
      </c>
      <c r="D192" s="40" t="s">
        <v>86</v>
      </c>
      <c r="E192" s="40"/>
      <c r="F192" s="38">
        <v>24</v>
      </c>
      <c r="G192" s="38"/>
      <c r="H192" s="38" t="s">
        <v>129</v>
      </c>
      <c r="I192" s="38" t="s">
        <v>88</v>
      </c>
      <c r="J192" s="38">
        <v>4</v>
      </c>
      <c r="K192" s="41">
        <v>0.25</v>
      </c>
      <c r="L192" s="38" t="s">
        <v>114</v>
      </c>
      <c r="M192" s="42" t="s">
        <v>116</v>
      </c>
    </row>
    <row r="193" spans="1:13" x14ac:dyDescent="0.3">
      <c r="A193" s="37">
        <v>53</v>
      </c>
      <c r="B193" s="38" t="s">
        <v>145</v>
      </c>
      <c r="C193" s="39">
        <v>7896658006043</v>
      </c>
      <c r="D193" s="40" t="s">
        <v>86</v>
      </c>
      <c r="E193" s="40"/>
      <c r="F193" s="38">
        <v>24</v>
      </c>
      <c r="G193" s="38"/>
      <c r="H193" s="38" t="s">
        <v>129</v>
      </c>
      <c r="I193" s="38" t="s">
        <v>88</v>
      </c>
      <c r="J193" s="38">
        <v>4</v>
      </c>
      <c r="K193" s="41">
        <v>0.25</v>
      </c>
      <c r="L193" s="38" t="s">
        <v>114</v>
      </c>
      <c r="M193" s="42" t="s">
        <v>117</v>
      </c>
    </row>
    <row r="194" spans="1:13" x14ac:dyDescent="0.3">
      <c r="A194" s="37">
        <v>53</v>
      </c>
      <c r="B194" s="38" t="s">
        <v>145</v>
      </c>
      <c r="C194" s="39">
        <v>7896658006043</v>
      </c>
      <c r="D194" s="40" t="s">
        <v>86</v>
      </c>
      <c r="E194" s="40"/>
      <c r="F194" s="38">
        <v>24</v>
      </c>
      <c r="G194" s="38"/>
      <c r="H194" s="38" t="s">
        <v>129</v>
      </c>
      <c r="I194" s="38" t="s">
        <v>88</v>
      </c>
      <c r="J194" s="38">
        <v>4</v>
      </c>
      <c r="K194" s="41">
        <v>0.25</v>
      </c>
      <c r="L194" s="38" t="s">
        <v>114</v>
      </c>
      <c r="M194" s="42" t="s">
        <v>118</v>
      </c>
    </row>
    <row r="195" spans="1:13" x14ac:dyDescent="0.3">
      <c r="A195" s="37">
        <v>53</v>
      </c>
      <c r="B195" s="38" t="s">
        <v>145</v>
      </c>
      <c r="C195" s="39">
        <v>7896658006043</v>
      </c>
      <c r="D195" s="40" t="s">
        <v>86</v>
      </c>
      <c r="E195" s="40"/>
      <c r="F195" s="38">
        <v>24</v>
      </c>
      <c r="G195" s="38"/>
      <c r="H195" s="38" t="s">
        <v>129</v>
      </c>
      <c r="I195" s="38" t="s">
        <v>88</v>
      </c>
      <c r="J195" s="38">
        <v>4</v>
      </c>
      <c r="K195" s="41">
        <v>0.25</v>
      </c>
      <c r="L195" s="38" t="s">
        <v>114</v>
      </c>
      <c r="M195" s="42" t="s">
        <v>119</v>
      </c>
    </row>
    <row r="196" spans="1:13" x14ac:dyDescent="0.3">
      <c r="A196" s="37">
        <v>53</v>
      </c>
      <c r="B196" s="38" t="s">
        <v>145</v>
      </c>
      <c r="C196" s="39">
        <v>7896658006043</v>
      </c>
      <c r="D196" s="40" t="s">
        <v>86</v>
      </c>
      <c r="E196" s="40"/>
      <c r="F196" s="38">
        <v>24</v>
      </c>
      <c r="G196" s="38"/>
      <c r="H196" s="38" t="s">
        <v>129</v>
      </c>
      <c r="I196" s="38" t="s">
        <v>88</v>
      </c>
      <c r="J196" s="38">
        <v>4</v>
      </c>
      <c r="K196" s="41">
        <v>0.25</v>
      </c>
      <c r="L196" s="38" t="s">
        <v>114</v>
      </c>
      <c r="M196" s="42" t="s">
        <v>120</v>
      </c>
    </row>
    <row r="197" spans="1:13" x14ac:dyDescent="0.3">
      <c r="A197" s="37">
        <v>53</v>
      </c>
      <c r="B197" s="38" t="s">
        <v>145</v>
      </c>
      <c r="C197" s="39">
        <v>7896658006043</v>
      </c>
      <c r="D197" s="40" t="s">
        <v>86</v>
      </c>
      <c r="E197" s="40"/>
      <c r="F197" s="38">
        <v>24</v>
      </c>
      <c r="G197" s="38"/>
      <c r="H197" s="38" t="s">
        <v>129</v>
      </c>
      <c r="I197" s="38" t="s">
        <v>88</v>
      </c>
      <c r="J197" s="38">
        <v>4</v>
      </c>
      <c r="K197" s="41">
        <v>0.25</v>
      </c>
      <c r="L197" s="38" t="s">
        <v>114</v>
      </c>
      <c r="M197" s="42" t="s">
        <v>121</v>
      </c>
    </row>
    <row r="198" spans="1:13" x14ac:dyDescent="0.3">
      <c r="A198" s="37">
        <v>53</v>
      </c>
      <c r="B198" s="38" t="s">
        <v>145</v>
      </c>
      <c r="C198" s="39">
        <v>7896658006043</v>
      </c>
      <c r="D198" s="40" t="s">
        <v>86</v>
      </c>
      <c r="E198" s="40"/>
      <c r="F198" s="38">
        <v>24</v>
      </c>
      <c r="G198" s="38"/>
      <c r="H198" s="38" t="s">
        <v>129</v>
      </c>
      <c r="I198" s="38" t="s">
        <v>88</v>
      </c>
      <c r="J198" s="38">
        <v>4</v>
      </c>
      <c r="K198" s="41">
        <v>0.25</v>
      </c>
      <c r="L198" s="38" t="s">
        <v>114</v>
      </c>
      <c r="M198" s="42" t="s">
        <v>122</v>
      </c>
    </row>
    <row r="199" spans="1:13" x14ac:dyDescent="0.3">
      <c r="A199" s="37">
        <v>53</v>
      </c>
      <c r="B199" s="38" t="s">
        <v>145</v>
      </c>
      <c r="C199" s="39">
        <v>7896658006043</v>
      </c>
      <c r="D199" s="40" t="s">
        <v>86</v>
      </c>
      <c r="E199" s="40"/>
      <c r="F199" s="38">
        <v>24</v>
      </c>
      <c r="G199" s="38"/>
      <c r="H199" s="38" t="s">
        <v>129</v>
      </c>
      <c r="I199" s="38" t="s">
        <v>88</v>
      </c>
      <c r="J199" s="38">
        <v>4</v>
      </c>
      <c r="K199" s="41">
        <v>0.25</v>
      </c>
      <c r="L199" s="38" t="s">
        <v>114</v>
      </c>
      <c r="M199" s="42" t="s">
        <v>123</v>
      </c>
    </row>
    <row r="200" spans="1:13" x14ac:dyDescent="0.3">
      <c r="A200" s="37">
        <v>53</v>
      </c>
      <c r="B200" s="38" t="s">
        <v>145</v>
      </c>
      <c r="C200" s="39">
        <v>7896658006043</v>
      </c>
      <c r="D200" s="40" t="s">
        <v>86</v>
      </c>
      <c r="E200" s="40"/>
      <c r="F200" s="38">
        <v>24</v>
      </c>
      <c r="G200" s="38"/>
      <c r="H200" s="38" t="s">
        <v>129</v>
      </c>
      <c r="I200" s="38" t="s">
        <v>88</v>
      </c>
      <c r="J200" s="38">
        <v>4</v>
      </c>
      <c r="K200" s="41">
        <v>0.25</v>
      </c>
      <c r="L200" s="38" t="s">
        <v>114</v>
      </c>
      <c r="M200" s="42" t="s">
        <v>124</v>
      </c>
    </row>
    <row r="201" spans="1:13" x14ac:dyDescent="0.3">
      <c r="A201" s="37">
        <v>53</v>
      </c>
      <c r="B201" s="38" t="s">
        <v>145</v>
      </c>
      <c r="C201" s="39">
        <v>7896658006043</v>
      </c>
      <c r="D201" s="40" t="s">
        <v>86</v>
      </c>
      <c r="E201" s="40"/>
      <c r="F201" s="38">
        <v>24</v>
      </c>
      <c r="G201" s="38"/>
      <c r="H201" s="38" t="s">
        <v>129</v>
      </c>
      <c r="I201" s="38" t="s">
        <v>88</v>
      </c>
      <c r="J201" s="38">
        <v>4</v>
      </c>
      <c r="K201" s="41">
        <v>0.25</v>
      </c>
      <c r="L201" s="38" t="s">
        <v>114</v>
      </c>
      <c r="M201" s="42" t="s">
        <v>125</v>
      </c>
    </row>
    <row r="202" spans="1:13" x14ac:dyDescent="0.3">
      <c r="A202" s="37">
        <v>53</v>
      </c>
      <c r="B202" s="38" t="s">
        <v>145</v>
      </c>
      <c r="C202" s="39">
        <v>7896658006043</v>
      </c>
      <c r="D202" s="40" t="s">
        <v>86</v>
      </c>
      <c r="E202" s="40"/>
      <c r="F202" s="38">
        <v>24</v>
      </c>
      <c r="G202" s="38"/>
      <c r="H202" s="38" t="s">
        <v>129</v>
      </c>
      <c r="I202" s="38" t="s">
        <v>88</v>
      </c>
      <c r="J202" s="38">
        <v>4</v>
      </c>
      <c r="K202" s="41">
        <v>0.25</v>
      </c>
      <c r="L202" s="38" t="s">
        <v>114</v>
      </c>
      <c r="M202" s="42" t="s">
        <v>126</v>
      </c>
    </row>
    <row r="203" spans="1:13" x14ac:dyDescent="0.3">
      <c r="A203" s="37">
        <v>53</v>
      </c>
      <c r="B203" s="38" t="s">
        <v>145</v>
      </c>
      <c r="C203" s="39">
        <v>7896658006043</v>
      </c>
      <c r="D203" s="40" t="s">
        <v>86</v>
      </c>
      <c r="E203" s="40"/>
      <c r="F203" s="38">
        <v>24</v>
      </c>
      <c r="G203" s="38"/>
      <c r="H203" s="38" t="s">
        <v>129</v>
      </c>
      <c r="I203" s="38" t="s">
        <v>88</v>
      </c>
      <c r="J203" s="38">
        <v>4</v>
      </c>
      <c r="K203" s="41">
        <v>0.15</v>
      </c>
      <c r="L203" s="38" t="s">
        <v>127</v>
      </c>
      <c r="M203" s="42" t="s">
        <v>128</v>
      </c>
    </row>
    <row r="204" spans="1:13" x14ac:dyDescent="0.3">
      <c r="A204" s="37">
        <v>53</v>
      </c>
      <c r="B204" s="38" t="s">
        <v>145</v>
      </c>
      <c r="C204" s="39">
        <v>7896658006043</v>
      </c>
      <c r="D204" s="40" t="s">
        <v>86</v>
      </c>
      <c r="E204" s="40"/>
      <c r="F204" s="38">
        <v>24</v>
      </c>
      <c r="G204" s="38"/>
      <c r="H204" s="38" t="s">
        <v>129</v>
      </c>
      <c r="I204" s="38" t="s">
        <v>88</v>
      </c>
      <c r="J204" s="38">
        <v>4</v>
      </c>
      <c r="K204" s="41">
        <v>0.15</v>
      </c>
      <c r="L204" s="38" t="s">
        <v>89</v>
      </c>
      <c r="M204" s="42" t="s">
        <v>90</v>
      </c>
    </row>
    <row r="205" spans="1:13" x14ac:dyDescent="0.3">
      <c r="A205" s="37">
        <v>53</v>
      </c>
      <c r="B205" s="38" t="s">
        <v>145</v>
      </c>
      <c r="C205" s="39">
        <v>7896658006043</v>
      </c>
      <c r="D205" s="40" t="s">
        <v>86</v>
      </c>
      <c r="E205" s="40"/>
      <c r="F205" s="38">
        <v>201</v>
      </c>
      <c r="G205" s="38"/>
      <c r="H205" s="38" t="s">
        <v>130</v>
      </c>
      <c r="I205" s="38" t="s">
        <v>88</v>
      </c>
      <c r="J205" s="38">
        <v>4</v>
      </c>
      <c r="K205" s="41">
        <v>0.25</v>
      </c>
      <c r="L205" s="38" t="s">
        <v>114</v>
      </c>
      <c r="M205" s="42" t="s">
        <v>115</v>
      </c>
    </row>
    <row r="206" spans="1:13" x14ac:dyDescent="0.3">
      <c r="A206" s="37">
        <v>53</v>
      </c>
      <c r="B206" s="38" t="s">
        <v>145</v>
      </c>
      <c r="C206" s="39">
        <v>7896658006043</v>
      </c>
      <c r="D206" s="40" t="s">
        <v>86</v>
      </c>
      <c r="E206" s="40"/>
      <c r="F206" s="38">
        <v>201</v>
      </c>
      <c r="G206" s="38"/>
      <c r="H206" s="38" t="s">
        <v>130</v>
      </c>
      <c r="I206" s="38" t="s">
        <v>88</v>
      </c>
      <c r="J206" s="38">
        <v>4</v>
      </c>
      <c r="K206" s="41">
        <v>0.25</v>
      </c>
      <c r="L206" s="38" t="s">
        <v>114</v>
      </c>
      <c r="M206" s="42" t="s">
        <v>116</v>
      </c>
    </row>
    <row r="207" spans="1:13" x14ac:dyDescent="0.3">
      <c r="A207" s="37">
        <v>53</v>
      </c>
      <c r="B207" s="38" t="s">
        <v>145</v>
      </c>
      <c r="C207" s="39">
        <v>7896658006043</v>
      </c>
      <c r="D207" s="40" t="s">
        <v>86</v>
      </c>
      <c r="E207" s="40"/>
      <c r="F207" s="38">
        <v>201</v>
      </c>
      <c r="G207" s="38"/>
      <c r="H207" s="38" t="s">
        <v>130</v>
      </c>
      <c r="I207" s="38" t="s">
        <v>88</v>
      </c>
      <c r="J207" s="38">
        <v>4</v>
      </c>
      <c r="K207" s="41">
        <v>0.25</v>
      </c>
      <c r="L207" s="38" t="s">
        <v>114</v>
      </c>
      <c r="M207" s="42" t="s">
        <v>117</v>
      </c>
    </row>
    <row r="208" spans="1:13" x14ac:dyDescent="0.3">
      <c r="A208" s="37">
        <v>53</v>
      </c>
      <c r="B208" s="38" t="s">
        <v>145</v>
      </c>
      <c r="C208" s="39">
        <v>7896658006043</v>
      </c>
      <c r="D208" s="40" t="s">
        <v>86</v>
      </c>
      <c r="E208" s="40"/>
      <c r="F208" s="38">
        <v>201</v>
      </c>
      <c r="G208" s="38"/>
      <c r="H208" s="38" t="s">
        <v>130</v>
      </c>
      <c r="I208" s="38" t="s">
        <v>88</v>
      </c>
      <c r="J208" s="38">
        <v>4</v>
      </c>
      <c r="K208" s="41">
        <v>0.25</v>
      </c>
      <c r="L208" s="38" t="s">
        <v>114</v>
      </c>
      <c r="M208" s="42" t="s">
        <v>118</v>
      </c>
    </row>
    <row r="209" spans="1:13" x14ac:dyDescent="0.3">
      <c r="A209" s="37">
        <v>53</v>
      </c>
      <c r="B209" s="38" t="s">
        <v>145</v>
      </c>
      <c r="C209" s="39">
        <v>7896658006043</v>
      </c>
      <c r="D209" s="40" t="s">
        <v>86</v>
      </c>
      <c r="E209" s="40"/>
      <c r="F209" s="38">
        <v>201</v>
      </c>
      <c r="G209" s="38"/>
      <c r="H209" s="38" t="s">
        <v>130</v>
      </c>
      <c r="I209" s="38" t="s">
        <v>88</v>
      </c>
      <c r="J209" s="38">
        <v>4</v>
      </c>
      <c r="K209" s="41">
        <v>0.25</v>
      </c>
      <c r="L209" s="38" t="s">
        <v>114</v>
      </c>
      <c r="M209" s="42" t="s">
        <v>119</v>
      </c>
    </row>
    <row r="210" spans="1:13" x14ac:dyDescent="0.3">
      <c r="A210" s="37">
        <v>53</v>
      </c>
      <c r="B210" s="38" t="s">
        <v>145</v>
      </c>
      <c r="C210" s="39">
        <v>7896658006043</v>
      </c>
      <c r="D210" s="40" t="s">
        <v>86</v>
      </c>
      <c r="E210" s="40"/>
      <c r="F210" s="38">
        <v>201</v>
      </c>
      <c r="G210" s="38"/>
      <c r="H210" s="38" t="s">
        <v>130</v>
      </c>
      <c r="I210" s="38" t="s">
        <v>88</v>
      </c>
      <c r="J210" s="38">
        <v>4</v>
      </c>
      <c r="K210" s="41">
        <v>0.25</v>
      </c>
      <c r="L210" s="38" t="s">
        <v>114</v>
      </c>
      <c r="M210" s="42" t="s">
        <v>120</v>
      </c>
    </row>
    <row r="211" spans="1:13" x14ac:dyDescent="0.3">
      <c r="A211" s="37">
        <v>53</v>
      </c>
      <c r="B211" s="38" t="s">
        <v>145</v>
      </c>
      <c r="C211" s="39">
        <v>7896658006043</v>
      </c>
      <c r="D211" s="40" t="s">
        <v>86</v>
      </c>
      <c r="E211" s="40"/>
      <c r="F211" s="38">
        <v>201</v>
      </c>
      <c r="G211" s="38"/>
      <c r="H211" s="38" t="s">
        <v>130</v>
      </c>
      <c r="I211" s="38" t="s">
        <v>88</v>
      </c>
      <c r="J211" s="38">
        <v>4</v>
      </c>
      <c r="K211" s="41">
        <v>0.25</v>
      </c>
      <c r="L211" s="38" t="s">
        <v>114</v>
      </c>
      <c r="M211" s="42" t="s">
        <v>121</v>
      </c>
    </row>
    <row r="212" spans="1:13" x14ac:dyDescent="0.3">
      <c r="A212" s="37">
        <v>53</v>
      </c>
      <c r="B212" s="38" t="s">
        <v>145</v>
      </c>
      <c r="C212" s="39">
        <v>7896658006043</v>
      </c>
      <c r="D212" s="40" t="s">
        <v>86</v>
      </c>
      <c r="E212" s="40"/>
      <c r="F212" s="38">
        <v>201</v>
      </c>
      <c r="G212" s="38"/>
      <c r="H212" s="38" t="s">
        <v>130</v>
      </c>
      <c r="I212" s="38" t="s">
        <v>88</v>
      </c>
      <c r="J212" s="38">
        <v>4</v>
      </c>
      <c r="K212" s="41">
        <v>0.25</v>
      </c>
      <c r="L212" s="38" t="s">
        <v>114</v>
      </c>
      <c r="M212" s="42" t="s">
        <v>122</v>
      </c>
    </row>
    <row r="213" spans="1:13" x14ac:dyDescent="0.3">
      <c r="A213" s="37">
        <v>53</v>
      </c>
      <c r="B213" s="38" t="s">
        <v>145</v>
      </c>
      <c r="C213" s="39">
        <v>7896658006043</v>
      </c>
      <c r="D213" s="40" t="s">
        <v>86</v>
      </c>
      <c r="E213" s="40"/>
      <c r="F213" s="38">
        <v>201</v>
      </c>
      <c r="G213" s="38"/>
      <c r="H213" s="38" t="s">
        <v>130</v>
      </c>
      <c r="I213" s="38" t="s">
        <v>88</v>
      </c>
      <c r="J213" s="38">
        <v>4</v>
      </c>
      <c r="K213" s="41">
        <v>0.25</v>
      </c>
      <c r="L213" s="38" t="s">
        <v>114</v>
      </c>
      <c r="M213" s="42" t="s">
        <v>123</v>
      </c>
    </row>
    <row r="214" spans="1:13" x14ac:dyDescent="0.3">
      <c r="A214" s="37">
        <v>53</v>
      </c>
      <c r="B214" s="38" t="s">
        <v>145</v>
      </c>
      <c r="C214" s="39">
        <v>7896658006043</v>
      </c>
      <c r="D214" s="40" t="s">
        <v>86</v>
      </c>
      <c r="E214" s="40"/>
      <c r="F214" s="38">
        <v>201</v>
      </c>
      <c r="G214" s="38"/>
      <c r="H214" s="38" t="s">
        <v>130</v>
      </c>
      <c r="I214" s="38" t="s">
        <v>88</v>
      </c>
      <c r="J214" s="38">
        <v>4</v>
      </c>
      <c r="K214" s="41">
        <v>0.25</v>
      </c>
      <c r="L214" s="38" t="s">
        <v>114</v>
      </c>
      <c r="M214" s="42" t="s">
        <v>124</v>
      </c>
    </row>
    <row r="215" spans="1:13" x14ac:dyDescent="0.3">
      <c r="A215" s="37">
        <v>53</v>
      </c>
      <c r="B215" s="38" t="s">
        <v>145</v>
      </c>
      <c r="C215" s="39">
        <v>7896658006043</v>
      </c>
      <c r="D215" s="40" t="s">
        <v>86</v>
      </c>
      <c r="E215" s="40"/>
      <c r="F215" s="38">
        <v>201</v>
      </c>
      <c r="G215" s="38"/>
      <c r="H215" s="38" t="s">
        <v>130</v>
      </c>
      <c r="I215" s="38" t="s">
        <v>88</v>
      </c>
      <c r="J215" s="38">
        <v>4</v>
      </c>
      <c r="K215" s="41">
        <v>0.25</v>
      </c>
      <c r="L215" s="38" t="s">
        <v>114</v>
      </c>
      <c r="M215" s="42" t="s">
        <v>125</v>
      </c>
    </row>
    <row r="216" spans="1:13" x14ac:dyDescent="0.3">
      <c r="A216" s="37">
        <v>53</v>
      </c>
      <c r="B216" s="38" t="s">
        <v>145</v>
      </c>
      <c r="C216" s="39">
        <v>7896658006043</v>
      </c>
      <c r="D216" s="40" t="s">
        <v>86</v>
      </c>
      <c r="E216" s="40"/>
      <c r="F216" s="38">
        <v>201</v>
      </c>
      <c r="G216" s="38"/>
      <c r="H216" s="38" t="s">
        <v>130</v>
      </c>
      <c r="I216" s="38" t="s">
        <v>88</v>
      </c>
      <c r="J216" s="38">
        <v>4</v>
      </c>
      <c r="K216" s="41">
        <v>0.25</v>
      </c>
      <c r="L216" s="38" t="s">
        <v>114</v>
      </c>
      <c r="M216" s="42" t="s">
        <v>126</v>
      </c>
    </row>
    <row r="217" spans="1:13" x14ac:dyDescent="0.3">
      <c r="A217" s="37">
        <v>53</v>
      </c>
      <c r="B217" s="38" t="s">
        <v>145</v>
      </c>
      <c r="C217" s="39">
        <v>7896658006043</v>
      </c>
      <c r="D217" s="40" t="s">
        <v>86</v>
      </c>
      <c r="E217" s="40"/>
      <c r="F217" s="38">
        <v>201</v>
      </c>
      <c r="G217" s="38"/>
      <c r="H217" s="38" t="s">
        <v>130</v>
      </c>
      <c r="I217" s="38" t="s">
        <v>88</v>
      </c>
      <c r="J217" s="38">
        <v>4</v>
      </c>
      <c r="K217" s="41">
        <v>0.15</v>
      </c>
      <c r="L217" s="38" t="s">
        <v>127</v>
      </c>
      <c r="M217" s="42" t="s">
        <v>128</v>
      </c>
    </row>
    <row r="218" spans="1:13" x14ac:dyDescent="0.3">
      <c r="A218" s="37">
        <v>53</v>
      </c>
      <c r="B218" s="38" t="s">
        <v>145</v>
      </c>
      <c r="C218" s="39">
        <v>7896658006043</v>
      </c>
      <c r="D218" s="40" t="s">
        <v>86</v>
      </c>
      <c r="E218" s="40"/>
      <c r="F218" s="38">
        <v>201</v>
      </c>
      <c r="G218" s="38"/>
      <c r="H218" s="38" t="s">
        <v>130</v>
      </c>
      <c r="I218" s="38" t="s">
        <v>88</v>
      </c>
      <c r="J218" s="38">
        <v>4</v>
      </c>
      <c r="K218" s="41">
        <v>0.15</v>
      </c>
      <c r="L218" s="38" t="s">
        <v>89</v>
      </c>
      <c r="M218" s="42" t="s">
        <v>90</v>
      </c>
    </row>
    <row r="219" spans="1:13" x14ac:dyDescent="0.3">
      <c r="A219" s="37">
        <v>53</v>
      </c>
      <c r="B219" s="38" t="s">
        <v>145</v>
      </c>
      <c r="C219" s="39">
        <v>7896658006043</v>
      </c>
      <c r="D219" s="40" t="s">
        <v>86</v>
      </c>
      <c r="E219" s="40"/>
      <c r="F219" s="38">
        <v>591</v>
      </c>
      <c r="G219" s="38"/>
      <c r="H219" s="38" t="s">
        <v>130</v>
      </c>
      <c r="I219" s="38" t="s">
        <v>88</v>
      </c>
      <c r="J219" s="38">
        <v>4</v>
      </c>
      <c r="K219" s="41">
        <v>0.25</v>
      </c>
      <c r="L219" s="38" t="s">
        <v>114</v>
      </c>
      <c r="M219" s="42" t="s">
        <v>115</v>
      </c>
    </row>
    <row r="220" spans="1:13" x14ac:dyDescent="0.3">
      <c r="A220" s="37">
        <v>53</v>
      </c>
      <c r="B220" s="38" t="s">
        <v>145</v>
      </c>
      <c r="C220" s="39">
        <v>7896658006043</v>
      </c>
      <c r="D220" s="40" t="s">
        <v>86</v>
      </c>
      <c r="E220" s="40"/>
      <c r="F220" s="38">
        <v>591</v>
      </c>
      <c r="G220" s="38"/>
      <c r="H220" s="38" t="s">
        <v>130</v>
      </c>
      <c r="I220" s="38" t="s">
        <v>88</v>
      </c>
      <c r="J220" s="38">
        <v>4</v>
      </c>
      <c r="K220" s="41">
        <v>0.25</v>
      </c>
      <c r="L220" s="38" t="s">
        <v>114</v>
      </c>
      <c r="M220" s="42" t="s">
        <v>116</v>
      </c>
    </row>
    <row r="221" spans="1:13" x14ac:dyDescent="0.3">
      <c r="A221" s="37">
        <v>53</v>
      </c>
      <c r="B221" s="38" t="s">
        <v>145</v>
      </c>
      <c r="C221" s="39">
        <v>7896658006043</v>
      </c>
      <c r="D221" s="40" t="s">
        <v>86</v>
      </c>
      <c r="E221" s="40"/>
      <c r="F221" s="38">
        <v>591</v>
      </c>
      <c r="G221" s="38"/>
      <c r="H221" s="38" t="s">
        <v>130</v>
      </c>
      <c r="I221" s="38" t="s">
        <v>88</v>
      </c>
      <c r="J221" s="38">
        <v>4</v>
      </c>
      <c r="K221" s="41">
        <v>0.25</v>
      </c>
      <c r="L221" s="38" t="s">
        <v>114</v>
      </c>
      <c r="M221" s="42" t="s">
        <v>117</v>
      </c>
    </row>
    <row r="222" spans="1:13" x14ac:dyDescent="0.3">
      <c r="A222" s="37">
        <v>53</v>
      </c>
      <c r="B222" s="38" t="s">
        <v>145</v>
      </c>
      <c r="C222" s="39">
        <v>7896658006043</v>
      </c>
      <c r="D222" s="40" t="s">
        <v>86</v>
      </c>
      <c r="E222" s="40"/>
      <c r="F222" s="38">
        <v>591</v>
      </c>
      <c r="G222" s="38"/>
      <c r="H222" s="38" t="s">
        <v>130</v>
      </c>
      <c r="I222" s="38" t="s">
        <v>88</v>
      </c>
      <c r="J222" s="38">
        <v>4</v>
      </c>
      <c r="K222" s="41">
        <v>0.25</v>
      </c>
      <c r="L222" s="38" t="s">
        <v>114</v>
      </c>
      <c r="M222" s="42" t="s">
        <v>118</v>
      </c>
    </row>
    <row r="223" spans="1:13" x14ac:dyDescent="0.3">
      <c r="A223" s="37">
        <v>53</v>
      </c>
      <c r="B223" s="38" t="s">
        <v>145</v>
      </c>
      <c r="C223" s="39">
        <v>7896658006043</v>
      </c>
      <c r="D223" s="40" t="s">
        <v>86</v>
      </c>
      <c r="E223" s="40"/>
      <c r="F223" s="38">
        <v>591</v>
      </c>
      <c r="G223" s="38"/>
      <c r="H223" s="38" t="s">
        <v>130</v>
      </c>
      <c r="I223" s="38" t="s">
        <v>88</v>
      </c>
      <c r="J223" s="38">
        <v>4</v>
      </c>
      <c r="K223" s="41">
        <v>0.25</v>
      </c>
      <c r="L223" s="38" t="s">
        <v>114</v>
      </c>
      <c r="M223" s="42" t="s">
        <v>119</v>
      </c>
    </row>
    <row r="224" spans="1:13" x14ac:dyDescent="0.3">
      <c r="A224" s="37">
        <v>53</v>
      </c>
      <c r="B224" s="38" t="s">
        <v>145</v>
      </c>
      <c r="C224" s="39">
        <v>7896658006043</v>
      </c>
      <c r="D224" s="40" t="s">
        <v>86</v>
      </c>
      <c r="E224" s="40"/>
      <c r="F224" s="38">
        <v>591</v>
      </c>
      <c r="G224" s="38"/>
      <c r="H224" s="38" t="s">
        <v>130</v>
      </c>
      <c r="I224" s="38" t="s">
        <v>88</v>
      </c>
      <c r="J224" s="38">
        <v>4</v>
      </c>
      <c r="K224" s="41">
        <v>0.25</v>
      </c>
      <c r="L224" s="38" t="s">
        <v>114</v>
      </c>
      <c r="M224" s="42" t="s">
        <v>120</v>
      </c>
    </row>
    <row r="225" spans="1:13" x14ac:dyDescent="0.3">
      <c r="A225" s="37">
        <v>53</v>
      </c>
      <c r="B225" s="38" t="s">
        <v>145</v>
      </c>
      <c r="C225" s="39">
        <v>7896658006043</v>
      </c>
      <c r="D225" s="40" t="s">
        <v>86</v>
      </c>
      <c r="E225" s="40"/>
      <c r="F225" s="38">
        <v>591</v>
      </c>
      <c r="G225" s="38"/>
      <c r="H225" s="38" t="s">
        <v>130</v>
      </c>
      <c r="I225" s="38" t="s">
        <v>88</v>
      </c>
      <c r="J225" s="38">
        <v>4</v>
      </c>
      <c r="K225" s="41">
        <v>0.25</v>
      </c>
      <c r="L225" s="38" t="s">
        <v>114</v>
      </c>
      <c r="M225" s="42" t="s">
        <v>121</v>
      </c>
    </row>
    <row r="226" spans="1:13" x14ac:dyDescent="0.3">
      <c r="A226" s="37">
        <v>53</v>
      </c>
      <c r="B226" s="38" t="s">
        <v>145</v>
      </c>
      <c r="C226" s="39">
        <v>7896658006043</v>
      </c>
      <c r="D226" s="40" t="s">
        <v>86</v>
      </c>
      <c r="E226" s="40"/>
      <c r="F226" s="38">
        <v>591</v>
      </c>
      <c r="G226" s="38"/>
      <c r="H226" s="38" t="s">
        <v>130</v>
      </c>
      <c r="I226" s="38" t="s">
        <v>88</v>
      </c>
      <c r="J226" s="38">
        <v>4</v>
      </c>
      <c r="K226" s="41">
        <v>0.25</v>
      </c>
      <c r="L226" s="38" t="s">
        <v>114</v>
      </c>
      <c r="M226" s="42" t="s">
        <v>122</v>
      </c>
    </row>
    <row r="227" spans="1:13" x14ac:dyDescent="0.3">
      <c r="A227" s="37">
        <v>53</v>
      </c>
      <c r="B227" s="38" t="s">
        <v>145</v>
      </c>
      <c r="C227" s="39">
        <v>7896658006043</v>
      </c>
      <c r="D227" s="40" t="s">
        <v>86</v>
      </c>
      <c r="E227" s="40"/>
      <c r="F227" s="38">
        <v>591</v>
      </c>
      <c r="G227" s="38"/>
      <c r="H227" s="38" t="s">
        <v>130</v>
      </c>
      <c r="I227" s="38" t="s">
        <v>88</v>
      </c>
      <c r="J227" s="38">
        <v>4</v>
      </c>
      <c r="K227" s="41">
        <v>0.25</v>
      </c>
      <c r="L227" s="38" t="s">
        <v>114</v>
      </c>
      <c r="M227" s="42" t="s">
        <v>123</v>
      </c>
    </row>
    <row r="228" spans="1:13" x14ac:dyDescent="0.3">
      <c r="A228" s="37">
        <v>53</v>
      </c>
      <c r="B228" s="38" t="s">
        <v>145</v>
      </c>
      <c r="C228" s="39">
        <v>7896658006043</v>
      </c>
      <c r="D228" s="40" t="s">
        <v>86</v>
      </c>
      <c r="E228" s="40"/>
      <c r="F228" s="38">
        <v>591</v>
      </c>
      <c r="G228" s="38"/>
      <c r="H228" s="38" t="s">
        <v>130</v>
      </c>
      <c r="I228" s="38" t="s">
        <v>88</v>
      </c>
      <c r="J228" s="38">
        <v>4</v>
      </c>
      <c r="K228" s="41">
        <v>0.25</v>
      </c>
      <c r="L228" s="38" t="s">
        <v>114</v>
      </c>
      <c r="M228" s="42" t="s">
        <v>124</v>
      </c>
    </row>
    <row r="229" spans="1:13" x14ac:dyDescent="0.3">
      <c r="A229" s="37">
        <v>53</v>
      </c>
      <c r="B229" s="38" t="s">
        <v>145</v>
      </c>
      <c r="C229" s="39">
        <v>7896658006043</v>
      </c>
      <c r="D229" s="40" t="s">
        <v>86</v>
      </c>
      <c r="E229" s="40"/>
      <c r="F229" s="38">
        <v>591</v>
      </c>
      <c r="G229" s="38"/>
      <c r="H229" s="38" t="s">
        <v>130</v>
      </c>
      <c r="I229" s="38" t="s">
        <v>88</v>
      </c>
      <c r="J229" s="38">
        <v>4</v>
      </c>
      <c r="K229" s="41">
        <v>0.25</v>
      </c>
      <c r="L229" s="38" t="s">
        <v>114</v>
      </c>
      <c r="M229" s="42" t="s">
        <v>125</v>
      </c>
    </row>
    <row r="230" spans="1:13" x14ac:dyDescent="0.3">
      <c r="A230" s="37">
        <v>53</v>
      </c>
      <c r="B230" s="38" t="s">
        <v>145</v>
      </c>
      <c r="C230" s="39">
        <v>7896658006043</v>
      </c>
      <c r="D230" s="40" t="s">
        <v>86</v>
      </c>
      <c r="E230" s="40"/>
      <c r="F230" s="38">
        <v>591</v>
      </c>
      <c r="G230" s="38"/>
      <c r="H230" s="38" t="s">
        <v>130</v>
      </c>
      <c r="I230" s="38" t="s">
        <v>88</v>
      </c>
      <c r="J230" s="38">
        <v>4</v>
      </c>
      <c r="K230" s="41">
        <v>0.25</v>
      </c>
      <c r="L230" s="38" t="s">
        <v>114</v>
      </c>
      <c r="M230" s="42" t="s">
        <v>126</v>
      </c>
    </row>
    <row r="231" spans="1:13" x14ac:dyDescent="0.3">
      <c r="A231" s="37">
        <v>53</v>
      </c>
      <c r="B231" s="38" t="s">
        <v>145</v>
      </c>
      <c r="C231" s="39">
        <v>7896658006043</v>
      </c>
      <c r="D231" s="40" t="s">
        <v>86</v>
      </c>
      <c r="E231" s="40"/>
      <c r="F231" s="38">
        <v>591</v>
      </c>
      <c r="G231" s="38"/>
      <c r="H231" s="38" t="s">
        <v>130</v>
      </c>
      <c r="I231" s="38" t="s">
        <v>88</v>
      </c>
      <c r="J231" s="38">
        <v>4</v>
      </c>
      <c r="K231" s="41">
        <v>0.15</v>
      </c>
      <c r="L231" s="38" t="s">
        <v>127</v>
      </c>
      <c r="M231" s="42" t="s">
        <v>128</v>
      </c>
    </row>
    <row r="232" spans="1:13" x14ac:dyDescent="0.3">
      <c r="A232" s="37">
        <v>53</v>
      </c>
      <c r="B232" s="38" t="s">
        <v>145</v>
      </c>
      <c r="C232" s="39">
        <v>7896658006043</v>
      </c>
      <c r="D232" s="40" t="s">
        <v>86</v>
      </c>
      <c r="E232" s="40"/>
      <c r="F232" s="38">
        <v>591</v>
      </c>
      <c r="G232" s="38"/>
      <c r="H232" s="38" t="s">
        <v>130</v>
      </c>
      <c r="I232" s="38" t="s">
        <v>88</v>
      </c>
      <c r="J232" s="38">
        <v>4</v>
      </c>
      <c r="K232" s="41">
        <v>0.15</v>
      </c>
      <c r="L232" s="38" t="s">
        <v>89</v>
      </c>
      <c r="M232" s="42" t="s">
        <v>90</v>
      </c>
    </row>
    <row r="233" spans="1:13" x14ac:dyDescent="0.3">
      <c r="A233" s="37">
        <v>53</v>
      </c>
      <c r="B233" s="38" t="s">
        <v>146</v>
      </c>
      <c r="C233" s="39">
        <v>7896658006050</v>
      </c>
      <c r="D233" s="40" t="s">
        <v>86</v>
      </c>
      <c r="E233" s="40"/>
      <c r="F233" s="38">
        <v>10</v>
      </c>
      <c r="G233" s="38"/>
      <c r="H233" s="38" t="s">
        <v>113</v>
      </c>
      <c r="I233" s="38" t="s">
        <v>88</v>
      </c>
      <c r="J233" s="38">
        <v>4</v>
      </c>
      <c r="K233" s="41">
        <v>0.48</v>
      </c>
      <c r="L233" s="38" t="s">
        <v>132</v>
      </c>
      <c r="M233" s="42" t="s">
        <v>133</v>
      </c>
    </row>
    <row r="234" spans="1:13" x14ac:dyDescent="0.3">
      <c r="A234" s="37">
        <v>53</v>
      </c>
      <c r="B234" s="38" t="s">
        <v>146</v>
      </c>
      <c r="C234" s="39">
        <v>7896658006050</v>
      </c>
      <c r="D234" s="40" t="s">
        <v>86</v>
      </c>
      <c r="E234" s="40"/>
      <c r="F234" s="38">
        <v>10</v>
      </c>
      <c r="G234" s="38"/>
      <c r="H234" s="38" t="s">
        <v>113</v>
      </c>
      <c r="I234" s="38" t="s">
        <v>88</v>
      </c>
      <c r="J234" s="38">
        <v>4</v>
      </c>
      <c r="K234" s="41">
        <v>0.48</v>
      </c>
      <c r="L234" s="38" t="s">
        <v>114</v>
      </c>
      <c r="M234" s="42" t="s">
        <v>115</v>
      </c>
    </row>
    <row r="235" spans="1:13" x14ac:dyDescent="0.3">
      <c r="A235" s="37">
        <v>53</v>
      </c>
      <c r="B235" s="38" t="s">
        <v>146</v>
      </c>
      <c r="C235" s="39">
        <v>7896658006050</v>
      </c>
      <c r="D235" s="40" t="s">
        <v>86</v>
      </c>
      <c r="E235" s="40"/>
      <c r="F235" s="38">
        <v>10</v>
      </c>
      <c r="G235" s="38"/>
      <c r="H235" s="38" t="s">
        <v>113</v>
      </c>
      <c r="I235" s="38" t="s">
        <v>88</v>
      </c>
      <c r="J235" s="38">
        <v>4</v>
      </c>
      <c r="K235" s="41">
        <v>0.48</v>
      </c>
      <c r="L235" s="38" t="s">
        <v>114</v>
      </c>
      <c r="M235" s="42" t="s">
        <v>116</v>
      </c>
    </row>
    <row r="236" spans="1:13" x14ac:dyDescent="0.3">
      <c r="A236" s="37">
        <v>53</v>
      </c>
      <c r="B236" s="38" t="s">
        <v>146</v>
      </c>
      <c r="C236" s="39">
        <v>7896658006050</v>
      </c>
      <c r="D236" s="40" t="s">
        <v>86</v>
      </c>
      <c r="E236" s="40"/>
      <c r="F236" s="38">
        <v>10</v>
      </c>
      <c r="G236" s="38"/>
      <c r="H236" s="38" t="s">
        <v>113</v>
      </c>
      <c r="I236" s="38" t="s">
        <v>88</v>
      </c>
      <c r="J236" s="38">
        <v>4</v>
      </c>
      <c r="K236" s="41">
        <v>0.48</v>
      </c>
      <c r="L236" s="38" t="s">
        <v>114</v>
      </c>
      <c r="M236" s="42" t="s">
        <v>117</v>
      </c>
    </row>
    <row r="237" spans="1:13" x14ac:dyDescent="0.3">
      <c r="A237" s="37">
        <v>53</v>
      </c>
      <c r="B237" s="38" t="s">
        <v>146</v>
      </c>
      <c r="C237" s="39">
        <v>7896658006050</v>
      </c>
      <c r="D237" s="40" t="s">
        <v>86</v>
      </c>
      <c r="E237" s="40"/>
      <c r="F237" s="38">
        <v>10</v>
      </c>
      <c r="G237" s="38"/>
      <c r="H237" s="38" t="s">
        <v>113</v>
      </c>
      <c r="I237" s="38" t="s">
        <v>88</v>
      </c>
      <c r="J237" s="38">
        <v>4</v>
      </c>
      <c r="K237" s="41">
        <v>0.48</v>
      </c>
      <c r="L237" s="38" t="s">
        <v>114</v>
      </c>
      <c r="M237" s="42" t="s">
        <v>118</v>
      </c>
    </row>
    <row r="238" spans="1:13" x14ac:dyDescent="0.3">
      <c r="A238" s="37">
        <v>53</v>
      </c>
      <c r="B238" s="38" t="s">
        <v>146</v>
      </c>
      <c r="C238" s="39">
        <v>7896658006050</v>
      </c>
      <c r="D238" s="40" t="s">
        <v>86</v>
      </c>
      <c r="E238" s="40"/>
      <c r="F238" s="38">
        <v>10</v>
      </c>
      <c r="G238" s="38"/>
      <c r="H238" s="38" t="s">
        <v>113</v>
      </c>
      <c r="I238" s="38" t="s">
        <v>88</v>
      </c>
      <c r="J238" s="38">
        <v>4</v>
      </c>
      <c r="K238" s="41">
        <v>0.48</v>
      </c>
      <c r="L238" s="38" t="s">
        <v>114</v>
      </c>
      <c r="M238" s="42" t="s">
        <v>119</v>
      </c>
    </row>
    <row r="239" spans="1:13" x14ac:dyDescent="0.3">
      <c r="A239" s="37">
        <v>53</v>
      </c>
      <c r="B239" s="38" t="s">
        <v>146</v>
      </c>
      <c r="C239" s="39">
        <v>7896658006050</v>
      </c>
      <c r="D239" s="40" t="s">
        <v>86</v>
      </c>
      <c r="E239" s="40"/>
      <c r="F239" s="38">
        <v>10</v>
      </c>
      <c r="G239" s="38"/>
      <c r="H239" s="38" t="s">
        <v>113</v>
      </c>
      <c r="I239" s="38" t="s">
        <v>88</v>
      </c>
      <c r="J239" s="38">
        <v>4</v>
      </c>
      <c r="K239" s="41">
        <v>0.48</v>
      </c>
      <c r="L239" s="38" t="s">
        <v>114</v>
      </c>
      <c r="M239" s="42" t="s">
        <v>120</v>
      </c>
    </row>
    <row r="240" spans="1:13" x14ac:dyDescent="0.3">
      <c r="A240" s="37">
        <v>53</v>
      </c>
      <c r="B240" s="38" t="s">
        <v>146</v>
      </c>
      <c r="C240" s="39">
        <v>7896658006050</v>
      </c>
      <c r="D240" s="40" t="s">
        <v>86</v>
      </c>
      <c r="E240" s="40"/>
      <c r="F240" s="38">
        <v>10</v>
      </c>
      <c r="G240" s="38"/>
      <c r="H240" s="38" t="s">
        <v>113</v>
      </c>
      <c r="I240" s="38" t="s">
        <v>88</v>
      </c>
      <c r="J240" s="38">
        <v>4</v>
      </c>
      <c r="K240" s="41">
        <v>0.48</v>
      </c>
      <c r="L240" s="38" t="s">
        <v>114</v>
      </c>
      <c r="M240" s="42" t="s">
        <v>121</v>
      </c>
    </row>
    <row r="241" spans="1:13" x14ac:dyDescent="0.3">
      <c r="A241" s="37">
        <v>53</v>
      </c>
      <c r="B241" s="38" t="s">
        <v>146</v>
      </c>
      <c r="C241" s="39">
        <v>7896658006050</v>
      </c>
      <c r="D241" s="40" t="s">
        <v>86</v>
      </c>
      <c r="E241" s="40"/>
      <c r="F241" s="38">
        <v>10</v>
      </c>
      <c r="G241" s="38"/>
      <c r="H241" s="38" t="s">
        <v>113</v>
      </c>
      <c r="I241" s="38" t="s">
        <v>88</v>
      </c>
      <c r="J241" s="38">
        <v>4</v>
      </c>
      <c r="K241" s="41">
        <v>0.48</v>
      </c>
      <c r="L241" s="38" t="s">
        <v>114</v>
      </c>
      <c r="M241" s="42" t="s">
        <v>122</v>
      </c>
    </row>
    <row r="242" spans="1:13" x14ac:dyDescent="0.3">
      <c r="A242" s="37">
        <v>53</v>
      </c>
      <c r="B242" s="38" t="s">
        <v>146</v>
      </c>
      <c r="C242" s="39">
        <v>7896658006050</v>
      </c>
      <c r="D242" s="40" t="s">
        <v>86</v>
      </c>
      <c r="E242" s="40"/>
      <c r="F242" s="38">
        <v>10</v>
      </c>
      <c r="G242" s="38"/>
      <c r="H242" s="38" t="s">
        <v>113</v>
      </c>
      <c r="I242" s="38" t="s">
        <v>88</v>
      </c>
      <c r="J242" s="38">
        <v>4</v>
      </c>
      <c r="K242" s="41">
        <v>0.48</v>
      </c>
      <c r="L242" s="38" t="s">
        <v>114</v>
      </c>
      <c r="M242" s="42" t="s">
        <v>123</v>
      </c>
    </row>
    <row r="243" spans="1:13" x14ac:dyDescent="0.3">
      <c r="A243" s="37">
        <v>53</v>
      </c>
      <c r="B243" s="38" t="s">
        <v>146</v>
      </c>
      <c r="C243" s="39">
        <v>7896658006050</v>
      </c>
      <c r="D243" s="40" t="s">
        <v>86</v>
      </c>
      <c r="E243" s="40"/>
      <c r="F243" s="38">
        <v>10</v>
      </c>
      <c r="G243" s="38"/>
      <c r="H243" s="38" t="s">
        <v>113</v>
      </c>
      <c r="I243" s="38" t="s">
        <v>88</v>
      </c>
      <c r="J243" s="38">
        <v>4</v>
      </c>
      <c r="K243" s="41">
        <v>0.48</v>
      </c>
      <c r="L243" s="38" t="s">
        <v>114</v>
      </c>
      <c r="M243" s="42" t="s">
        <v>124</v>
      </c>
    </row>
    <row r="244" spans="1:13" x14ac:dyDescent="0.3">
      <c r="A244" s="37">
        <v>53</v>
      </c>
      <c r="B244" s="38" t="s">
        <v>146</v>
      </c>
      <c r="C244" s="39">
        <v>7896658006050</v>
      </c>
      <c r="D244" s="40" t="s">
        <v>86</v>
      </c>
      <c r="E244" s="40"/>
      <c r="F244" s="38">
        <v>10</v>
      </c>
      <c r="G244" s="38"/>
      <c r="H244" s="38" t="s">
        <v>113</v>
      </c>
      <c r="I244" s="38" t="s">
        <v>88</v>
      </c>
      <c r="J244" s="38">
        <v>4</v>
      </c>
      <c r="K244" s="41">
        <v>0.48</v>
      </c>
      <c r="L244" s="38" t="s">
        <v>114</v>
      </c>
      <c r="M244" s="42" t="s">
        <v>125</v>
      </c>
    </row>
    <row r="245" spans="1:13" x14ac:dyDescent="0.3">
      <c r="A245" s="37">
        <v>53</v>
      </c>
      <c r="B245" s="38" t="s">
        <v>146</v>
      </c>
      <c r="C245" s="39">
        <v>7896658006050</v>
      </c>
      <c r="D245" s="40" t="s">
        <v>86</v>
      </c>
      <c r="E245" s="40"/>
      <c r="F245" s="38">
        <v>10</v>
      </c>
      <c r="G245" s="38"/>
      <c r="H245" s="38" t="s">
        <v>113</v>
      </c>
      <c r="I245" s="38" t="s">
        <v>88</v>
      </c>
      <c r="J245" s="38">
        <v>4</v>
      </c>
      <c r="K245" s="41">
        <v>0.48</v>
      </c>
      <c r="L245" s="38" t="s">
        <v>114</v>
      </c>
      <c r="M245" s="42" t="s">
        <v>126</v>
      </c>
    </row>
    <row r="246" spans="1:13" x14ac:dyDescent="0.3">
      <c r="A246" s="37">
        <v>53</v>
      </c>
      <c r="B246" s="38" t="s">
        <v>146</v>
      </c>
      <c r="C246" s="39">
        <v>7896658006050</v>
      </c>
      <c r="D246" s="40" t="s">
        <v>86</v>
      </c>
      <c r="E246" s="40"/>
      <c r="F246" s="38">
        <v>10</v>
      </c>
      <c r="G246" s="38"/>
      <c r="H246" s="38" t="s">
        <v>113</v>
      </c>
      <c r="I246" s="38" t="s">
        <v>88</v>
      </c>
      <c r="J246" s="38">
        <v>4</v>
      </c>
      <c r="K246" s="41">
        <v>0.48</v>
      </c>
      <c r="L246" s="38" t="s">
        <v>127</v>
      </c>
      <c r="M246" s="42" t="s">
        <v>128</v>
      </c>
    </row>
    <row r="247" spans="1:13" x14ac:dyDescent="0.3">
      <c r="A247" s="37">
        <v>53</v>
      </c>
      <c r="B247" s="38" t="s">
        <v>146</v>
      </c>
      <c r="C247" s="39">
        <v>7896658006050</v>
      </c>
      <c r="D247" s="40" t="s">
        <v>86</v>
      </c>
      <c r="E247" s="40"/>
      <c r="F247" s="38">
        <v>10</v>
      </c>
      <c r="G247" s="38"/>
      <c r="H247" s="38" t="s">
        <v>113</v>
      </c>
      <c r="I247" s="38" t="s">
        <v>88</v>
      </c>
      <c r="J247" s="38">
        <v>4</v>
      </c>
      <c r="K247" s="41">
        <v>0.28999999999999998</v>
      </c>
      <c r="L247" s="38" t="s">
        <v>89</v>
      </c>
      <c r="M247" s="42" t="s">
        <v>90</v>
      </c>
    </row>
    <row r="248" spans="1:13" x14ac:dyDescent="0.3">
      <c r="A248" s="37">
        <v>53</v>
      </c>
      <c r="B248" s="38" t="s">
        <v>146</v>
      </c>
      <c r="C248" s="39">
        <v>7896658006050</v>
      </c>
      <c r="D248" s="40" t="s">
        <v>86</v>
      </c>
      <c r="E248" s="40"/>
      <c r="F248" s="38">
        <v>24</v>
      </c>
      <c r="G248" s="38"/>
      <c r="H248" s="38" t="s">
        <v>129</v>
      </c>
      <c r="I248" s="38" t="s">
        <v>88</v>
      </c>
      <c r="J248" s="38">
        <v>4</v>
      </c>
      <c r="K248" s="41">
        <v>0.5</v>
      </c>
      <c r="L248" s="38" t="s">
        <v>132</v>
      </c>
      <c r="M248" s="42" t="s">
        <v>133</v>
      </c>
    </row>
    <row r="249" spans="1:13" x14ac:dyDescent="0.3">
      <c r="A249" s="37">
        <v>53</v>
      </c>
      <c r="B249" s="38" t="s">
        <v>146</v>
      </c>
      <c r="C249" s="39">
        <v>7896658006050</v>
      </c>
      <c r="D249" s="40" t="s">
        <v>86</v>
      </c>
      <c r="E249" s="40"/>
      <c r="F249" s="38">
        <v>24</v>
      </c>
      <c r="G249" s="38"/>
      <c r="H249" s="38" t="s">
        <v>129</v>
      </c>
      <c r="I249" s="38" t="s">
        <v>88</v>
      </c>
      <c r="J249" s="38">
        <v>4</v>
      </c>
      <c r="K249" s="41">
        <v>0.5</v>
      </c>
      <c r="L249" s="38" t="s">
        <v>114</v>
      </c>
      <c r="M249" s="42" t="s">
        <v>115</v>
      </c>
    </row>
    <row r="250" spans="1:13" x14ac:dyDescent="0.3">
      <c r="A250" s="37">
        <v>53</v>
      </c>
      <c r="B250" s="38" t="s">
        <v>146</v>
      </c>
      <c r="C250" s="39">
        <v>7896658006050</v>
      </c>
      <c r="D250" s="40" t="s">
        <v>86</v>
      </c>
      <c r="E250" s="40"/>
      <c r="F250" s="38">
        <v>24</v>
      </c>
      <c r="G250" s="38"/>
      <c r="H250" s="38" t="s">
        <v>129</v>
      </c>
      <c r="I250" s="38" t="s">
        <v>88</v>
      </c>
      <c r="J250" s="38">
        <v>4</v>
      </c>
      <c r="K250" s="41">
        <v>0.5</v>
      </c>
      <c r="L250" s="38" t="s">
        <v>114</v>
      </c>
      <c r="M250" s="42" t="s">
        <v>116</v>
      </c>
    </row>
    <row r="251" spans="1:13" x14ac:dyDescent="0.3">
      <c r="A251" s="37">
        <v>53</v>
      </c>
      <c r="B251" s="38" t="s">
        <v>146</v>
      </c>
      <c r="C251" s="39">
        <v>7896658006050</v>
      </c>
      <c r="D251" s="40" t="s">
        <v>86</v>
      </c>
      <c r="E251" s="40"/>
      <c r="F251" s="38">
        <v>24</v>
      </c>
      <c r="G251" s="38"/>
      <c r="H251" s="38" t="s">
        <v>129</v>
      </c>
      <c r="I251" s="38" t="s">
        <v>88</v>
      </c>
      <c r="J251" s="38">
        <v>4</v>
      </c>
      <c r="K251" s="41">
        <v>0.5</v>
      </c>
      <c r="L251" s="38" t="s">
        <v>114</v>
      </c>
      <c r="M251" s="42" t="s">
        <v>117</v>
      </c>
    </row>
    <row r="252" spans="1:13" x14ac:dyDescent="0.3">
      <c r="A252" s="37">
        <v>53</v>
      </c>
      <c r="B252" s="38" t="s">
        <v>146</v>
      </c>
      <c r="C252" s="39">
        <v>7896658006050</v>
      </c>
      <c r="D252" s="40" t="s">
        <v>86</v>
      </c>
      <c r="E252" s="40"/>
      <c r="F252" s="38">
        <v>24</v>
      </c>
      <c r="G252" s="38"/>
      <c r="H252" s="38" t="s">
        <v>129</v>
      </c>
      <c r="I252" s="38" t="s">
        <v>88</v>
      </c>
      <c r="J252" s="38">
        <v>4</v>
      </c>
      <c r="K252" s="41">
        <v>0.5</v>
      </c>
      <c r="L252" s="38" t="s">
        <v>114</v>
      </c>
      <c r="M252" s="42" t="s">
        <v>118</v>
      </c>
    </row>
    <row r="253" spans="1:13" x14ac:dyDescent="0.3">
      <c r="A253" s="37">
        <v>53</v>
      </c>
      <c r="B253" s="38" t="s">
        <v>146</v>
      </c>
      <c r="C253" s="39">
        <v>7896658006050</v>
      </c>
      <c r="D253" s="40" t="s">
        <v>86</v>
      </c>
      <c r="E253" s="40"/>
      <c r="F253" s="38">
        <v>24</v>
      </c>
      <c r="G253" s="38"/>
      <c r="H253" s="38" t="s">
        <v>129</v>
      </c>
      <c r="I253" s="38" t="s">
        <v>88</v>
      </c>
      <c r="J253" s="38">
        <v>4</v>
      </c>
      <c r="K253" s="41">
        <v>0.5</v>
      </c>
      <c r="L253" s="38" t="s">
        <v>114</v>
      </c>
      <c r="M253" s="42" t="s">
        <v>119</v>
      </c>
    </row>
    <row r="254" spans="1:13" x14ac:dyDescent="0.3">
      <c r="A254" s="37">
        <v>53</v>
      </c>
      <c r="B254" s="38" t="s">
        <v>146</v>
      </c>
      <c r="C254" s="39">
        <v>7896658006050</v>
      </c>
      <c r="D254" s="40" t="s">
        <v>86</v>
      </c>
      <c r="E254" s="40"/>
      <c r="F254" s="38">
        <v>24</v>
      </c>
      <c r="G254" s="38"/>
      <c r="H254" s="38" t="s">
        <v>129</v>
      </c>
      <c r="I254" s="38" t="s">
        <v>88</v>
      </c>
      <c r="J254" s="38">
        <v>4</v>
      </c>
      <c r="K254" s="41">
        <v>0.5</v>
      </c>
      <c r="L254" s="38" t="s">
        <v>114</v>
      </c>
      <c r="M254" s="42" t="s">
        <v>120</v>
      </c>
    </row>
    <row r="255" spans="1:13" x14ac:dyDescent="0.3">
      <c r="A255" s="37">
        <v>53</v>
      </c>
      <c r="B255" s="38" t="s">
        <v>146</v>
      </c>
      <c r="C255" s="39">
        <v>7896658006050</v>
      </c>
      <c r="D255" s="40" t="s">
        <v>86</v>
      </c>
      <c r="E255" s="40"/>
      <c r="F255" s="38">
        <v>24</v>
      </c>
      <c r="G255" s="38"/>
      <c r="H255" s="38" t="s">
        <v>129</v>
      </c>
      <c r="I255" s="38" t="s">
        <v>88</v>
      </c>
      <c r="J255" s="38">
        <v>4</v>
      </c>
      <c r="K255" s="41">
        <v>0.5</v>
      </c>
      <c r="L255" s="38" t="s">
        <v>114</v>
      </c>
      <c r="M255" s="42" t="s">
        <v>121</v>
      </c>
    </row>
    <row r="256" spans="1:13" x14ac:dyDescent="0.3">
      <c r="A256" s="37">
        <v>53</v>
      </c>
      <c r="B256" s="38" t="s">
        <v>146</v>
      </c>
      <c r="C256" s="39">
        <v>7896658006050</v>
      </c>
      <c r="D256" s="40" t="s">
        <v>86</v>
      </c>
      <c r="E256" s="40"/>
      <c r="F256" s="38">
        <v>24</v>
      </c>
      <c r="G256" s="38"/>
      <c r="H256" s="38" t="s">
        <v>129</v>
      </c>
      <c r="I256" s="38" t="s">
        <v>88</v>
      </c>
      <c r="J256" s="38">
        <v>4</v>
      </c>
      <c r="K256" s="41">
        <v>0.5</v>
      </c>
      <c r="L256" s="38" t="s">
        <v>114</v>
      </c>
      <c r="M256" s="42" t="s">
        <v>122</v>
      </c>
    </row>
    <row r="257" spans="1:13" x14ac:dyDescent="0.3">
      <c r="A257" s="37">
        <v>53</v>
      </c>
      <c r="B257" s="38" t="s">
        <v>146</v>
      </c>
      <c r="C257" s="39">
        <v>7896658006050</v>
      </c>
      <c r="D257" s="40" t="s">
        <v>86</v>
      </c>
      <c r="E257" s="40"/>
      <c r="F257" s="38">
        <v>24</v>
      </c>
      <c r="G257" s="38"/>
      <c r="H257" s="38" t="s">
        <v>129</v>
      </c>
      <c r="I257" s="38" t="s">
        <v>88</v>
      </c>
      <c r="J257" s="38">
        <v>4</v>
      </c>
      <c r="K257" s="41">
        <v>0.5</v>
      </c>
      <c r="L257" s="38" t="s">
        <v>114</v>
      </c>
      <c r="M257" s="42" t="s">
        <v>123</v>
      </c>
    </row>
    <row r="258" spans="1:13" x14ac:dyDescent="0.3">
      <c r="A258" s="37">
        <v>53</v>
      </c>
      <c r="B258" s="38" t="s">
        <v>146</v>
      </c>
      <c r="C258" s="39">
        <v>7896658006050</v>
      </c>
      <c r="D258" s="40" t="s">
        <v>86</v>
      </c>
      <c r="E258" s="40"/>
      <c r="F258" s="38">
        <v>24</v>
      </c>
      <c r="G258" s="38"/>
      <c r="H258" s="38" t="s">
        <v>129</v>
      </c>
      <c r="I258" s="38" t="s">
        <v>88</v>
      </c>
      <c r="J258" s="38">
        <v>4</v>
      </c>
      <c r="K258" s="41">
        <v>0.5</v>
      </c>
      <c r="L258" s="38" t="s">
        <v>114</v>
      </c>
      <c r="M258" s="42" t="s">
        <v>124</v>
      </c>
    </row>
    <row r="259" spans="1:13" x14ac:dyDescent="0.3">
      <c r="A259" s="37">
        <v>53</v>
      </c>
      <c r="B259" s="38" t="s">
        <v>146</v>
      </c>
      <c r="C259" s="39">
        <v>7896658006050</v>
      </c>
      <c r="D259" s="40" t="s">
        <v>86</v>
      </c>
      <c r="E259" s="40"/>
      <c r="F259" s="38">
        <v>24</v>
      </c>
      <c r="G259" s="38"/>
      <c r="H259" s="38" t="s">
        <v>129</v>
      </c>
      <c r="I259" s="38" t="s">
        <v>88</v>
      </c>
      <c r="J259" s="38">
        <v>4</v>
      </c>
      <c r="K259" s="41">
        <v>0.5</v>
      </c>
      <c r="L259" s="38" t="s">
        <v>114</v>
      </c>
      <c r="M259" s="42" t="s">
        <v>125</v>
      </c>
    </row>
    <row r="260" spans="1:13" x14ac:dyDescent="0.3">
      <c r="A260" s="37">
        <v>53</v>
      </c>
      <c r="B260" s="38" t="s">
        <v>146</v>
      </c>
      <c r="C260" s="39">
        <v>7896658006050</v>
      </c>
      <c r="D260" s="40" t="s">
        <v>86</v>
      </c>
      <c r="E260" s="40"/>
      <c r="F260" s="38">
        <v>24</v>
      </c>
      <c r="G260" s="38"/>
      <c r="H260" s="38" t="s">
        <v>129</v>
      </c>
      <c r="I260" s="38" t="s">
        <v>88</v>
      </c>
      <c r="J260" s="38">
        <v>4</v>
      </c>
      <c r="K260" s="41">
        <v>0.5</v>
      </c>
      <c r="L260" s="38" t="s">
        <v>114</v>
      </c>
      <c r="M260" s="42" t="s">
        <v>126</v>
      </c>
    </row>
    <row r="261" spans="1:13" x14ac:dyDescent="0.3">
      <c r="A261" s="37">
        <v>53</v>
      </c>
      <c r="B261" s="38" t="s">
        <v>146</v>
      </c>
      <c r="C261" s="39">
        <v>7896658006050</v>
      </c>
      <c r="D261" s="40" t="s">
        <v>86</v>
      </c>
      <c r="E261" s="40"/>
      <c r="F261" s="38">
        <v>24</v>
      </c>
      <c r="G261" s="38"/>
      <c r="H261" s="38" t="s">
        <v>129</v>
      </c>
      <c r="I261" s="38" t="s">
        <v>88</v>
      </c>
      <c r="J261" s="38">
        <v>4</v>
      </c>
      <c r="K261" s="41">
        <v>0.5</v>
      </c>
      <c r="L261" s="38" t="s">
        <v>127</v>
      </c>
      <c r="M261" s="42" t="s">
        <v>128</v>
      </c>
    </row>
    <row r="262" spans="1:13" x14ac:dyDescent="0.3">
      <c r="A262" s="37">
        <v>53</v>
      </c>
      <c r="B262" s="38" t="s">
        <v>146</v>
      </c>
      <c r="C262" s="39">
        <v>7896658006050</v>
      </c>
      <c r="D262" s="40" t="s">
        <v>86</v>
      </c>
      <c r="E262" s="40"/>
      <c r="F262" s="38">
        <v>24</v>
      </c>
      <c r="G262" s="38"/>
      <c r="H262" s="38" t="s">
        <v>129</v>
      </c>
      <c r="I262" s="38" t="s">
        <v>88</v>
      </c>
      <c r="J262" s="38">
        <v>4</v>
      </c>
      <c r="K262" s="41">
        <v>0.5</v>
      </c>
      <c r="L262" s="38" t="s">
        <v>89</v>
      </c>
      <c r="M262" s="42" t="s">
        <v>90</v>
      </c>
    </row>
    <row r="263" spans="1:13" x14ac:dyDescent="0.3">
      <c r="A263" s="37">
        <v>53</v>
      </c>
      <c r="B263" s="38" t="s">
        <v>146</v>
      </c>
      <c r="C263" s="39">
        <v>7896658006050</v>
      </c>
      <c r="D263" s="40" t="s">
        <v>86</v>
      </c>
      <c r="E263" s="40"/>
      <c r="F263" s="38">
        <v>201</v>
      </c>
      <c r="G263" s="38"/>
      <c r="H263" s="38" t="s">
        <v>130</v>
      </c>
      <c r="I263" s="38" t="s">
        <v>88</v>
      </c>
      <c r="J263" s="38">
        <v>3</v>
      </c>
      <c r="K263" s="41">
        <v>0.5</v>
      </c>
      <c r="L263" s="38" t="s">
        <v>132</v>
      </c>
      <c r="M263" s="42" t="s">
        <v>133</v>
      </c>
    </row>
    <row r="264" spans="1:13" x14ac:dyDescent="0.3">
      <c r="A264" s="37">
        <v>53</v>
      </c>
      <c r="B264" s="38" t="s">
        <v>146</v>
      </c>
      <c r="C264" s="39">
        <v>7896658006050</v>
      </c>
      <c r="D264" s="40" t="s">
        <v>86</v>
      </c>
      <c r="E264" s="40"/>
      <c r="F264" s="38">
        <v>201</v>
      </c>
      <c r="G264" s="38"/>
      <c r="H264" s="38" t="s">
        <v>130</v>
      </c>
      <c r="I264" s="38" t="s">
        <v>88</v>
      </c>
      <c r="J264" s="38">
        <v>3</v>
      </c>
      <c r="K264" s="41">
        <v>0.5</v>
      </c>
      <c r="L264" s="38" t="s">
        <v>114</v>
      </c>
      <c r="M264" s="42" t="s">
        <v>115</v>
      </c>
    </row>
    <row r="265" spans="1:13" x14ac:dyDescent="0.3">
      <c r="A265" s="37">
        <v>53</v>
      </c>
      <c r="B265" s="38" t="s">
        <v>146</v>
      </c>
      <c r="C265" s="39">
        <v>7896658006050</v>
      </c>
      <c r="D265" s="40" t="s">
        <v>86</v>
      </c>
      <c r="E265" s="40"/>
      <c r="F265" s="38">
        <v>201</v>
      </c>
      <c r="G265" s="38"/>
      <c r="H265" s="38" t="s">
        <v>130</v>
      </c>
      <c r="I265" s="38" t="s">
        <v>88</v>
      </c>
      <c r="J265" s="38">
        <v>3</v>
      </c>
      <c r="K265" s="41">
        <v>0.5</v>
      </c>
      <c r="L265" s="38" t="s">
        <v>114</v>
      </c>
      <c r="M265" s="42" t="s">
        <v>116</v>
      </c>
    </row>
    <row r="266" spans="1:13" x14ac:dyDescent="0.3">
      <c r="A266" s="37">
        <v>53</v>
      </c>
      <c r="B266" s="38" t="s">
        <v>146</v>
      </c>
      <c r="C266" s="39">
        <v>7896658006050</v>
      </c>
      <c r="D266" s="40" t="s">
        <v>86</v>
      </c>
      <c r="E266" s="40"/>
      <c r="F266" s="38">
        <v>201</v>
      </c>
      <c r="G266" s="38"/>
      <c r="H266" s="38" t="s">
        <v>130</v>
      </c>
      <c r="I266" s="38" t="s">
        <v>88</v>
      </c>
      <c r="J266" s="38">
        <v>3</v>
      </c>
      <c r="K266" s="41">
        <v>0.5</v>
      </c>
      <c r="L266" s="38" t="s">
        <v>114</v>
      </c>
      <c r="M266" s="42" t="s">
        <v>117</v>
      </c>
    </row>
    <row r="267" spans="1:13" x14ac:dyDescent="0.3">
      <c r="A267" s="37">
        <v>53</v>
      </c>
      <c r="B267" s="38" t="s">
        <v>146</v>
      </c>
      <c r="C267" s="39">
        <v>7896658006050</v>
      </c>
      <c r="D267" s="40" t="s">
        <v>86</v>
      </c>
      <c r="E267" s="40"/>
      <c r="F267" s="38">
        <v>201</v>
      </c>
      <c r="G267" s="38"/>
      <c r="H267" s="38" t="s">
        <v>130</v>
      </c>
      <c r="I267" s="38" t="s">
        <v>88</v>
      </c>
      <c r="J267" s="38">
        <v>3</v>
      </c>
      <c r="K267" s="41">
        <v>0.5</v>
      </c>
      <c r="L267" s="38" t="s">
        <v>114</v>
      </c>
      <c r="M267" s="42" t="s">
        <v>118</v>
      </c>
    </row>
    <row r="268" spans="1:13" x14ac:dyDescent="0.3">
      <c r="A268" s="37">
        <v>53</v>
      </c>
      <c r="B268" s="38" t="s">
        <v>146</v>
      </c>
      <c r="C268" s="39">
        <v>7896658006050</v>
      </c>
      <c r="D268" s="40" t="s">
        <v>86</v>
      </c>
      <c r="E268" s="40"/>
      <c r="F268" s="38">
        <v>201</v>
      </c>
      <c r="G268" s="38"/>
      <c r="H268" s="38" t="s">
        <v>130</v>
      </c>
      <c r="I268" s="38" t="s">
        <v>88</v>
      </c>
      <c r="J268" s="38">
        <v>3</v>
      </c>
      <c r="K268" s="41">
        <v>0.5</v>
      </c>
      <c r="L268" s="38" t="s">
        <v>114</v>
      </c>
      <c r="M268" s="42" t="s">
        <v>119</v>
      </c>
    </row>
    <row r="269" spans="1:13" x14ac:dyDescent="0.3">
      <c r="A269" s="37">
        <v>53</v>
      </c>
      <c r="B269" s="38" t="s">
        <v>146</v>
      </c>
      <c r="C269" s="39">
        <v>7896658006050</v>
      </c>
      <c r="D269" s="40" t="s">
        <v>86</v>
      </c>
      <c r="E269" s="40"/>
      <c r="F269" s="38">
        <v>201</v>
      </c>
      <c r="G269" s="38"/>
      <c r="H269" s="38" t="s">
        <v>130</v>
      </c>
      <c r="I269" s="38" t="s">
        <v>88</v>
      </c>
      <c r="J269" s="38">
        <v>3</v>
      </c>
      <c r="K269" s="41">
        <v>0.5</v>
      </c>
      <c r="L269" s="38" t="s">
        <v>114</v>
      </c>
      <c r="M269" s="42" t="s">
        <v>120</v>
      </c>
    </row>
    <row r="270" spans="1:13" x14ac:dyDescent="0.3">
      <c r="A270" s="37">
        <v>53</v>
      </c>
      <c r="B270" s="38" t="s">
        <v>146</v>
      </c>
      <c r="C270" s="39">
        <v>7896658006050</v>
      </c>
      <c r="D270" s="40" t="s">
        <v>86</v>
      </c>
      <c r="E270" s="40"/>
      <c r="F270" s="38">
        <v>201</v>
      </c>
      <c r="G270" s="38"/>
      <c r="H270" s="38" t="s">
        <v>130</v>
      </c>
      <c r="I270" s="38" t="s">
        <v>88</v>
      </c>
      <c r="J270" s="38">
        <v>3</v>
      </c>
      <c r="K270" s="41">
        <v>0.5</v>
      </c>
      <c r="L270" s="38" t="s">
        <v>114</v>
      </c>
      <c r="M270" s="42" t="s">
        <v>121</v>
      </c>
    </row>
    <row r="271" spans="1:13" x14ac:dyDescent="0.3">
      <c r="A271" s="37">
        <v>53</v>
      </c>
      <c r="B271" s="38" t="s">
        <v>146</v>
      </c>
      <c r="C271" s="39">
        <v>7896658006050</v>
      </c>
      <c r="D271" s="40" t="s">
        <v>86</v>
      </c>
      <c r="E271" s="40"/>
      <c r="F271" s="38">
        <v>201</v>
      </c>
      <c r="G271" s="38"/>
      <c r="H271" s="38" t="s">
        <v>130</v>
      </c>
      <c r="I271" s="38" t="s">
        <v>88</v>
      </c>
      <c r="J271" s="38">
        <v>3</v>
      </c>
      <c r="K271" s="41">
        <v>0.5</v>
      </c>
      <c r="L271" s="38" t="s">
        <v>114</v>
      </c>
      <c r="M271" s="42" t="s">
        <v>122</v>
      </c>
    </row>
    <row r="272" spans="1:13" x14ac:dyDescent="0.3">
      <c r="A272" s="37">
        <v>53</v>
      </c>
      <c r="B272" s="38" t="s">
        <v>146</v>
      </c>
      <c r="C272" s="39">
        <v>7896658006050</v>
      </c>
      <c r="D272" s="40" t="s">
        <v>86</v>
      </c>
      <c r="E272" s="40"/>
      <c r="F272" s="38">
        <v>201</v>
      </c>
      <c r="G272" s="38"/>
      <c r="H272" s="38" t="s">
        <v>130</v>
      </c>
      <c r="I272" s="38" t="s">
        <v>88</v>
      </c>
      <c r="J272" s="38">
        <v>3</v>
      </c>
      <c r="K272" s="41">
        <v>0.5</v>
      </c>
      <c r="L272" s="38" t="s">
        <v>114</v>
      </c>
      <c r="M272" s="42" t="s">
        <v>123</v>
      </c>
    </row>
    <row r="273" spans="1:13" x14ac:dyDescent="0.3">
      <c r="A273" s="37">
        <v>53</v>
      </c>
      <c r="B273" s="38" t="s">
        <v>146</v>
      </c>
      <c r="C273" s="39">
        <v>7896658006050</v>
      </c>
      <c r="D273" s="40" t="s">
        <v>86</v>
      </c>
      <c r="E273" s="40"/>
      <c r="F273" s="38">
        <v>201</v>
      </c>
      <c r="G273" s="38"/>
      <c r="H273" s="38" t="s">
        <v>130</v>
      </c>
      <c r="I273" s="38" t="s">
        <v>88</v>
      </c>
      <c r="J273" s="38">
        <v>3</v>
      </c>
      <c r="K273" s="41">
        <v>0.5</v>
      </c>
      <c r="L273" s="38" t="s">
        <v>114</v>
      </c>
      <c r="M273" s="42" t="s">
        <v>124</v>
      </c>
    </row>
    <row r="274" spans="1:13" x14ac:dyDescent="0.3">
      <c r="A274" s="37">
        <v>53</v>
      </c>
      <c r="B274" s="38" t="s">
        <v>146</v>
      </c>
      <c r="C274" s="39">
        <v>7896658006050</v>
      </c>
      <c r="D274" s="40" t="s">
        <v>86</v>
      </c>
      <c r="E274" s="40"/>
      <c r="F274" s="38">
        <v>201</v>
      </c>
      <c r="G274" s="38"/>
      <c r="H274" s="38" t="s">
        <v>130</v>
      </c>
      <c r="I274" s="38" t="s">
        <v>88</v>
      </c>
      <c r="J274" s="38">
        <v>3</v>
      </c>
      <c r="K274" s="41">
        <v>0.5</v>
      </c>
      <c r="L274" s="38" t="s">
        <v>114</v>
      </c>
      <c r="M274" s="42" t="s">
        <v>125</v>
      </c>
    </row>
    <row r="275" spans="1:13" x14ac:dyDescent="0.3">
      <c r="A275" s="37">
        <v>53</v>
      </c>
      <c r="B275" s="38" t="s">
        <v>146</v>
      </c>
      <c r="C275" s="39">
        <v>7896658006050</v>
      </c>
      <c r="D275" s="40" t="s">
        <v>86</v>
      </c>
      <c r="E275" s="40"/>
      <c r="F275" s="38">
        <v>201</v>
      </c>
      <c r="G275" s="38"/>
      <c r="H275" s="38" t="s">
        <v>130</v>
      </c>
      <c r="I275" s="38" t="s">
        <v>88</v>
      </c>
      <c r="J275" s="38">
        <v>3</v>
      </c>
      <c r="K275" s="41">
        <v>0.5</v>
      </c>
      <c r="L275" s="38" t="s">
        <v>114</v>
      </c>
      <c r="M275" s="42" t="s">
        <v>126</v>
      </c>
    </row>
    <row r="276" spans="1:13" x14ac:dyDescent="0.3">
      <c r="A276" s="37">
        <v>53</v>
      </c>
      <c r="B276" s="38" t="s">
        <v>146</v>
      </c>
      <c r="C276" s="39">
        <v>7896658006050</v>
      </c>
      <c r="D276" s="40" t="s">
        <v>86</v>
      </c>
      <c r="E276" s="40"/>
      <c r="F276" s="38">
        <v>201</v>
      </c>
      <c r="G276" s="38"/>
      <c r="H276" s="38" t="s">
        <v>130</v>
      </c>
      <c r="I276" s="38" t="s">
        <v>88</v>
      </c>
      <c r="J276" s="38">
        <v>3</v>
      </c>
      <c r="K276" s="41">
        <v>0.5</v>
      </c>
      <c r="L276" s="38" t="s">
        <v>127</v>
      </c>
      <c r="M276" s="42" t="s">
        <v>128</v>
      </c>
    </row>
    <row r="277" spans="1:13" x14ac:dyDescent="0.3">
      <c r="A277" s="37">
        <v>53</v>
      </c>
      <c r="B277" s="38" t="s">
        <v>146</v>
      </c>
      <c r="C277" s="39">
        <v>7896658006050</v>
      </c>
      <c r="D277" s="40" t="s">
        <v>86</v>
      </c>
      <c r="E277" s="40"/>
      <c r="F277" s="38">
        <v>201</v>
      </c>
      <c r="G277" s="38"/>
      <c r="H277" s="38" t="s">
        <v>130</v>
      </c>
      <c r="I277" s="38" t="s">
        <v>88</v>
      </c>
      <c r="J277" s="38">
        <v>3</v>
      </c>
      <c r="K277" s="41">
        <v>0.5</v>
      </c>
      <c r="L277" s="38" t="s">
        <v>89</v>
      </c>
      <c r="M277" s="42" t="s">
        <v>90</v>
      </c>
    </row>
    <row r="278" spans="1:13" x14ac:dyDescent="0.3">
      <c r="A278" s="37">
        <v>53</v>
      </c>
      <c r="B278" s="38" t="s">
        <v>146</v>
      </c>
      <c r="C278" s="39">
        <v>7896658006050</v>
      </c>
      <c r="D278" s="40" t="s">
        <v>86</v>
      </c>
      <c r="E278" s="40"/>
      <c r="F278" s="38">
        <v>591</v>
      </c>
      <c r="G278" s="38"/>
      <c r="H278" s="38" t="s">
        <v>130</v>
      </c>
      <c r="I278" s="38" t="s">
        <v>88</v>
      </c>
      <c r="J278" s="38">
        <v>3</v>
      </c>
      <c r="K278" s="41">
        <v>0.5</v>
      </c>
      <c r="L278" s="38" t="s">
        <v>132</v>
      </c>
      <c r="M278" s="42" t="s">
        <v>133</v>
      </c>
    </row>
    <row r="279" spans="1:13" x14ac:dyDescent="0.3">
      <c r="A279" s="37">
        <v>53</v>
      </c>
      <c r="B279" s="38" t="s">
        <v>146</v>
      </c>
      <c r="C279" s="39">
        <v>7896658006050</v>
      </c>
      <c r="D279" s="40" t="s">
        <v>86</v>
      </c>
      <c r="E279" s="40"/>
      <c r="F279" s="38">
        <v>591</v>
      </c>
      <c r="G279" s="38"/>
      <c r="H279" s="38" t="s">
        <v>130</v>
      </c>
      <c r="I279" s="38" t="s">
        <v>88</v>
      </c>
      <c r="J279" s="38">
        <v>3</v>
      </c>
      <c r="K279" s="41">
        <v>0.5</v>
      </c>
      <c r="L279" s="38" t="s">
        <v>114</v>
      </c>
      <c r="M279" s="42" t="s">
        <v>115</v>
      </c>
    </row>
    <row r="280" spans="1:13" x14ac:dyDescent="0.3">
      <c r="A280" s="37">
        <v>53</v>
      </c>
      <c r="B280" s="38" t="s">
        <v>146</v>
      </c>
      <c r="C280" s="39">
        <v>7896658006050</v>
      </c>
      <c r="D280" s="40" t="s">
        <v>86</v>
      </c>
      <c r="E280" s="40"/>
      <c r="F280" s="38">
        <v>591</v>
      </c>
      <c r="G280" s="38"/>
      <c r="H280" s="38" t="s">
        <v>130</v>
      </c>
      <c r="I280" s="38" t="s">
        <v>88</v>
      </c>
      <c r="J280" s="38">
        <v>3</v>
      </c>
      <c r="K280" s="41">
        <v>0.5</v>
      </c>
      <c r="L280" s="38" t="s">
        <v>114</v>
      </c>
      <c r="M280" s="42" t="s">
        <v>116</v>
      </c>
    </row>
    <row r="281" spans="1:13" x14ac:dyDescent="0.3">
      <c r="A281" s="37">
        <v>53</v>
      </c>
      <c r="B281" s="38" t="s">
        <v>146</v>
      </c>
      <c r="C281" s="39">
        <v>7896658006050</v>
      </c>
      <c r="D281" s="40" t="s">
        <v>86</v>
      </c>
      <c r="E281" s="40"/>
      <c r="F281" s="38">
        <v>591</v>
      </c>
      <c r="G281" s="38"/>
      <c r="H281" s="38" t="s">
        <v>130</v>
      </c>
      <c r="I281" s="38" t="s">
        <v>88</v>
      </c>
      <c r="J281" s="38">
        <v>3</v>
      </c>
      <c r="K281" s="41">
        <v>0.5</v>
      </c>
      <c r="L281" s="38" t="s">
        <v>114</v>
      </c>
      <c r="M281" s="42" t="s">
        <v>117</v>
      </c>
    </row>
    <row r="282" spans="1:13" x14ac:dyDescent="0.3">
      <c r="A282" s="37">
        <v>53</v>
      </c>
      <c r="B282" s="38" t="s">
        <v>146</v>
      </c>
      <c r="C282" s="39">
        <v>7896658006050</v>
      </c>
      <c r="D282" s="40" t="s">
        <v>86</v>
      </c>
      <c r="E282" s="40"/>
      <c r="F282" s="38">
        <v>591</v>
      </c>
      <c r="G282" s="38"/>
      <c r="H282" s="38" t="s">
        <v>130</v>
      </c>
      <c r="I282" s="38" t="s">
        <v>88</v>
      </c>
      <c r="J282" s="38">
        <v>3</v>
      </c>
      <c r="K282" s="41">
        <v>0.5</v>
      </c>
      <c r="L282" s="38" t="s">
        <v>114</v>
      </c>
      <c r="M282" s="42" t="s">
        <v>118</v>
      </c>
    </row>
    <row r="283" spans="1:13" x14ac:dyDescent="0.3">
      <c r="A283" s="37">
        <v>53</v>
      </c>
      <c r="B283" s="38" t="s">
        <v>146</v>
      </c>
      <c r="C283" s="39">
        <v>7896658006050</v>
      </c>
      <c r="D283" s="40" t="s">
        <v>86</v>
      </c>
      <c r="E283" s="40"/>
      <c r="F283" s="38">
        <v>591</v>
      </c>
      <c r="G283" s="38"/>
      <c r="H283" s="38" t="s">
        <v>130</v>
      </c>
      <c r="I283" s="38" t="s">
        <v>88</v>
      </c>
      <c r="J283" s="38">
        <v>3</v>
      </c>
      <c r="K283" s="41">
        <v>0.5</v>
      </c>
      <c r="L283" s="38" t="s">
        <v>114</v>
      </c>
      <c r="M283" s="42" t="s">
        <v>119</v>
      </c>
    </row>
    <row r="284" spans="1:13" x14ac:dyDescent="0.3">
      <c r="A284" s="37">
        <v>53</v>
      </c>
      <c r="B284" s="38" t="s">
        <v>146</v>
      </c>
      <c r="C284" s="39">
        <v>7896658006050</v>
      </c>
      <c r="D284" s="40" t="s">
        <v>86</v>
      </c>
      <c r="E284" s="40"/>
      <c r="F284" s="38">
        <v>591</v>
      </c>
      <c r="G284" s="38"/>
      <c r="H284" s="38" t="s">
        <v>130</v>
      </c>
      <c r="I284" s="38" t="s">
        <v>88</v>
      </c>
      <c r="J284" s="38">
        <v>3</v>
      </c>
      <c r="K284" s="41">
        <v>0.5</v>
      </c>
      <c r="L284" s="38" t="s">
        <v>114</v>
      </c>
      <c r="M284" s="42" t="s">
        <v>120</v>
      </c>
    </row>
    <row r="285" spans="1:13" x14ac:dyDescent="0.3">
      <c r="A285" s="37">
        <v>53</v>
      </c>
      <c r="B285" s="38" t="s">
        <v>146</v>
      </c>
      <c r="C285" s="39">
        <v>7896658006050</v>
      </c>
      <c r="D285" s="40" t="s">
        <v>86</v>
      </c>
      <c r="E285" s="40"/>
      <c r="F285" s="38">
        <v>591</v>
      </c>
      <c r="G285" s="38"/>
      <c r="H285" s="38" t="s">
        <v>130</v>
      </c>
      <c r="I285" s="38" t="s">
        <v>88</v>
      </c>
      <c r="J285" s="38">
        <v>3</v>
      </c>
      <c r="K285" s="41">
        <v>0.5</v>
      </c>
      <c r="L285" s="38" t="s">
        <v>114</v>
      </c>
      <c r="M285" s="42" t="s">
        <v>121</v>
      </c>
    </row>
    <row r="286" spans="1:13" x14ac:dyDescent="0.3">
      <c r="A286" s="37">
        <v>53</v>
      </c>
      <c r="B286" s="38" t="s">
        <v>146</v>
      </c>
      <c r="C286" s="39">
        <v>7896658006050</v>
      </c>
      <c r="D286" s="40" t="s">
        <v>86</v>
      </c>
      <c r="E286" s="40"/>
      <c r="F286" s="38">
        <v>591</v>
      </c>
      <c r="G286" s="38"/>
      <c r="H286" s="38" t="s">
        <v>130</v>
      </c>
      <c r="I286" s="38" t="s">
        <v>88</v>
      </c>
      <c r="J286" s="38">
        <v>3</v>
      </c>
      <c r="K286" s="41">
        <v>0.5</v>
      </c>
      <c r="L286" s="38" t="s">
        <v>114</v>
      </c>
      <c r="M286" s="42" t="s">
        <v>122</v>
      </c>
    </row>
    <row r="287" spans="1:13" x14ac:dyDescent="0.3">
      <c r="A287" s="37">
        <v>53</v>
      </c>
      <c r="B287" s="38" t="s">
        <v>146</v>
      </c>
      <c r="C287" s="39">
        <v>7896658006050</v>
      </c>
      <c r="D287" s="40" t="s">
        <v>86</v>
      </c>
      <c r="E287" s="40"/>
      <c r="F287" s="38">
        <v>591</v>
      </c>
      <c r="G287" s="38"/>
      <c r="H287" s="38" t="s">
        <v>130</v>
      </c>
      <c r="I287" s="38" t="s">
        <v>88</v>
      </c>
      <c r="J287" s="38">
        <v>3</v>
      </c>
      <c r="K287" s="41">
        <v>0.5</v>
      </c>
      <c r="L287" s="38" t="s">
        <v>114</v>
      </c>
      <c r="M287" s="42" t="s">
        <v>123</v>
      </c>
    </row>
    <row r="288" spans="1:13" x14ac:dyDescent="0.3">
      <c r="A288" s="37">
        <v>53</v>
      </c>
      <c r="B288" s="38" t="s">
        <v>146</v>
      </c>
      <c r="C288" s="39">
        <v>7896658006050</v>
      </c>
      <c r="D288" s="40" t="s">
        <v>86</v>
      </c>
      <c r="E288" s="40"/>
      <c r="F288" s="38">
        <v>591</v>
      </c>
      <c r="G288" s="38"/>
      <c r="H288" s="38" t="s">
        <v>130</v>
      </c>
      <c r="I288" s="38" t="s">
        <v>88</v>
      </c>
      <c r="J288" s="38">
        <v>3</v>
      </c>
      <c r="K288" s="41">
        <v>0.5</v>
      </c>
      <c r="L288" s="38" t="s">
        <v>114</v>
      </c>
      <c r="M288" s="42" t="s">
        <v>124</v>
      </c>
    </row>
    <row r="289" spans="1:13" x14ac:dyDescent="0.3">
      <c r="A289" s="37">
        <v>53</v>
      </c>
      <c r="B289" s="38" t="s">
        <v>146</v>
      </c>
      <c r="C289" s="39">
        <v>7896658006050</v>
      </c>
      <c r="D289" s="40" t="s">
        <v>86</v>
      </c>
      <c r="E289" s="40"/>
      <c r="F289" s="38">
        <v>591</v>
      </c>
      <c r="G289" s="38"/>
      <c r="H289" s="38" t="s">
        <v>130</v>
      </c>
      <c r="I289" s="38" t="s">
        <v>88</v>
      </c>
      <c r="J289" s="38">
        <v>3</v>
      </c>
      <c r="K289" s="41">
        <v>0.5</v>
      </c>
      <c r="L289" s="38" t="s">
        <v>114</v>
      </c>
      <c r="M289" s="42" t="s">
        <v>125</v>
      </c>
    </row>
    <row r="290" spans="1:13" x14ac:dyDescent="0.3">
      <c r="A290" s="37">
        <v>53</v>
      </c>
      <c r="B290" s="38" t="s">
        <v>146</v>
      </c>
      <c r="C290" s="39">
        <v>7896658006050</v>
      </c>
      <c r="D290" s="40" t="s">
        <v>86</v>
      </c>
      <c r="E290" s="40"/>
      <c r="F290" s="38">
        <v>591</v>
      </c>
      <c r="G290" s="38"/>
      <c r="H290" s="38" t="s">
        <v>130</v>
      </c>
      <c r="I290" s="38" t="s">
        <v>88</v>
      </c>
      <c r="J290" s="38">
        <v>3</v>
      </c>
      <c r="K290" s="41">
        <v>0.5</v>
      </c>
      <c r="L290" s="38" t="s">
        <v>114</v>
      </c>
      <c r="M290" s="42" t="s">
        <v>126</v>
      </c>
    </row>
    <row r="291" spans="1:13" x14ac:dyDescent="0.3">
      <c r="A291" s="37">
        <v>53</v>
      </c>
      <c r="B291" s="38" t="s">
        <v>146</v>
      </c>
      <c r="C291" s="39">
        <v>7896658006050</v>
      </c>
      <c r="D291" s="40" t="s">
        <v>86</v>
      </c>
      <c r="E291" s="40"/>
      <c r="F291" s="38">
        <v>591</v>
      </c>
      <c r="G291" s="38"/>
      <c r="H291" s="38" t="s">
        <v>130</v>
      </c>
      <c r="I291" s="38" t="s">
        <v>88</v>
      </c>
      <c r="J291" s="38">
        <v>3</v>
      </c>
      <c r="K291" s="41">
        <v>0.5</v>
      </c>
      <c r="L291" s="38" t="s">
        <v>127</v>
      </c>
      <c r="M291" s="42" t="s">
        <v>128</v>
      </c>
    </row>
    <row r="292" spans="1:13" x14ac:dyDescent="0.3">
      <c r="A292" s="37">
        <v>53</v>
      </c>
      <c r="B292" s="38" t="s">
        <v>146</v>
      </c>
      <c r="C292" s="39">
        <v>7896658006050</v>
      </c>
      <c r="D292" s="40" t="s">
        <v>86</v>
      </c>
      <c r="E292" s="40"/>
      <c r="F292" s="38">
        <v>591</v>
      </c>
      <c r="G292" s="38"/>
      <c r="H292" s="38" t="s">
        <v>130</v>
      </c>
      <c r="I292" s="38" t="s">
        <v>88</v>
      </c>
      <c r="J292" s="38">
        <v>3</v>
      </c>
      <c r="K292" s="41">
        <v>0.5</v>
      </c>
      <c r="L292" s="38" t="s">
        <v>89</v>
      </c>
      <c r="M292" s="42" t="s">
        <v>90</v>
      </c>
    </row>
    <row r="293" spans="1:13" x14ac:dyDescent="0.3">
      <c r="A293" s="37">
        <v>53</v>
      </c>
      <c r="B293" s="38" t="s">
        <v>147</v>
      </c>
      <c r="C293" s="39">
        <v>7896658008153</v>
      </c>
      <c r="D293" s="40" t="s">
        <v>86</v>
      </c>
      <c r="E293" s="40"/>
      <c r="F293" s="38">
        <v>839</v>
      </c>
      <c r="G293" s="38"/>
      <c r="H293" s="38" t="s">
        <v>111</v>
      </c>
      <c r="I293" s="38" t="s">
        <v>88</v>
      </c>
      <c r="J293" s="38">
        <v>1</v>
      </c>
      <c r="K293" s="41">
        <v>0.65</v>
      </c>
      <c r="L293" s="38" t="s">
        <v>89</v>
      </c>
      <c r="M293" s="42" t="s">
        <v>90</v>
      </c>
    </row>
    <row r="294" spans="1:13" x14ac:dyDescent="0.3">
      <c r="A294" s="37">
        <v>53</v>
      </c>
      <c r="B294" s="38" t="s">
        <v>148</v>
      </c>
      <c r="C294" s="39">
        <v>7896658010170</v>
      </c>
      <c r="D294" s="40" t="s">
        <v>86</v>
      </c>
      <c r="E294" s="40"/>
      <c r="F294" s="38">
        <v>286</v>
      </c>
      <c r="G294" s="38"/>
      <c r="H294" s="38" t="s">
        <v>149</v>
      </c>
      <c r="I294" s="38" t="s">
        <v>150</v>
      </c>
      <c r="J294" s="38">
        <v>2</v>
      </c>
      <c r="K294" s="41" t="s">
        <v>151</v>
      </c>
      <c r="L294" s="38" t="s">
        <v>114</v>
      </c>
      <c r="M294" s="42" t="s">
        <v>90</v>
      </c>
    </row>
    <row r="295" spans="1:13" x14ac:dyDescent="0.3">
      <c r="A295" s="37">
        <v>53</v>
      </c>
      <c r="B295" s="38" t="s">
        <v>148</v>
      </c>
      <c r="C295" s="39">
        <v>7896658010170</v>
      </c>
      <c r="D295" s="40" t="s">
        <v>86</v>
      </c>
      <c r="E295" s="40"/>
      <c r="F295" s="38">
        <v>286</v>
      </c>
      <c r="G295" s="38"/>
      <c r="H295" s="38" t="s">
        <v>149</v>
      </c>
      <c r="I295" s="38" t="s">
        <v>150</v>
      </c>
      <c r="J295" s="38">
        <v>2</v>
      </c>
      <c r="K295" s="41" t="s">
        <v>151</v>
      </c>
      <c r="L295" s="38" t="s">
        <v>152</v>
      </c>
      <c r="M295" s="42" t="s">
        <v>90</v>
      </c>
    </row>
    <row r="296" spans="1:13" x14ac:dyDescent="0.3">
      <c r="A296" s="37">
        <v>53</v>
      </c>
      <c r="B296" s="38" t="s">
        <v>148</v>
      </c>
      <c r="C296" s="39">
        <v>7896658010170</v>
      </c>
      <c r="D296" s="40" t="s">
        <v>86</v>
      </c>
      <c r="E296" s="40"/>
      <c r="F296" s="38">
        <v>286</v>
      </c>
      <c r="G296" s="38"/>
      <c r="H296" s="38" t="s">
        <v>149</v>
      </c>
      <c r="I296" s="38" t="s">
        <v>150</v>
      </c>
      <c r="J296" s="38">
        <v>2</v>
      </c>
      <c r="K296" s="41">
        <v>0</v>
      </c>
      <c r="L296" s="38" t="s">
        <v>89</v>
      </c>
      <c r="M296" s="42" t="s">
        <v>90</v>
      </c>
    </row>
    <row r="297" spans="1:13" x14ac:dyDescent="0.3">
      <c r="A297" s="37">
        <v>53</v>
      </c>
      <c r="B297" s="38" t="s">
        <v>148</v>
      </c>
      <c r="C297" s="39">
        <v>7896658010170</v>
      </c>
      <c r="D297" s="40" t="s">
        <v>86</v>
      </c>
      <c r="E297" s="40"/>
      <c r="F297" s="38">
        <v>745</v>
      </c>
      <c r="G297" s="38"/>
      <c r="H297" s="38" t="s">
        <v>153</v>
      </c>
      <c r="I297" s="38" t="s">
        <v>154</v>
      </c>
      <c r="J297" s="38">
        <v>3</v>
      </c>
      <c r="K297" s="41" t="s">
        <v>155</v>
      </c>
      <c r="L297" s="38" t="s">
        <v>89</v>
      </c>
      <c r="M297" s="42" t="s">
        <v>90</v>
      </c>
    </row>
    <row r="298" spans="1:13" x14ac:dyDescent="0.3">
      <c r="A298" s="37">
        <v>53</v>
      </c>
      <c r="B298" s="38" t="s">
        <v>148</v>
      </c>
      <c r="C298" s="39">
        <v>7896658010170</v>
      </c>
      <c r="D298" s="40" t="s">
        <v>86</v>
      </c>
      <c r="E298" s="40"/>
      <c r="F298" s="38">
        <v>874</v>
      </c>
      <c r="G298" s="38"/>
      <c r="H298" s="38" t="s">
        <v>156</v>
      </c>
      <c r="I298" s="38" t="s">
        <v>154</v>
      </c>
      <c r="J298" s="38">
        <v>3</v>
      </c>
      <c r="K298" s="41" t="s">
        <v>155</v>
      </c>
      <c r="L298" s="38" t="s">
        <v>89</v>
      </c>
      <c r="M298" s="42" t="s">
        <v>90</v>
      </c>
    </row>
    <row r="299" spans="1:13" x14ac:dyDescent="0.3">
      <c r="A299" s="37">
        <v>53</v>
      </c>
      <c r="B299" s="38" t="s">
        <v>157</v>
      </c>
      <c r="C299" s="39">
        <v>7896658010187</v>
      </c>
      <c r="D299" s="40" t="s">
        <v>86</v>
      </c>
      <c r="E299" s="40"/>
      <c r="F299" s="38">
        <v>286</v>
      </c>
      <c r="G299" s="38"/>
      <c r="H299" s="38" t="s">
        <v>149</v>
      </c>
      <c r="I299" s="38" t="s">
        <v>150</v>
      </c>
      <c r="J299" s="38">
        <v>2</v>
      </c>
      <c r="K299" s="41" t="s">
        <v>151</v>
      </c>
      <c r="L299" s="38" t="s">
        <v>114</v>
      </c>
      <c r="M299" s="42" t="s">
        <v>90</v>
      </c>
    </row>
    <row r="300" spans="1:13" x14ac:dyDescent="0.3">
      <c r="A300" s="37">
        <v>53</v>
      </c>
      <c r="B300" s="38" t="s">
        <v>157</v>
      </c>
      <c r="C300" s="39">
        <v>7896658010187</v>
      </c>
      <c r="D300" s="40" t="s">
        <v>86</v>
      </c>
      <c r="E300" s="40"/>
      <c r="F300" s="38">
        <v>286</v>
      </c>
      <c r="G300" s="38"/>
      <c r="H300" s="38" t="s">
        <v>149</v>
      </c>
      <c r="I300" s="38" t="s">
        <v>150</v>
      </c>
      <c r="J300" s="38">
        <v>2</v>
      </c>
      <c r="K300" s="41" t="s">
        <v>151</v>
      </c>
      <c r="L300" s="38" t="s">
        <v>152</v>
      </c>
      <c r="M300" s="42" t="s">
        <v>90</v>
      </c>
    </row>
    <row r="301" spans="1:13" x14ac:dyDescent="0.3">
      <c r="A301" s="37">
        <v>53</v>
      </c>
      <c r="B301" s="38" t="s">
        <v>157</v>
      </c>
      <c r="C301" s="39">
        <v>7896658010187</v>
      </c>
      <c r="D301" s="40" t="s">
        <v>86</v>
      </c>
      <c r="E301" s="40"/>
      <c r="F301" s="38">
        <v>286</v>
      </c>
      <c r="G301" s="38"/>
      <c r="H301" s="38" t="s">
        <v>149</v>
      </c>
      <c r="I301" s="38" t="s">
        <v>150</v>
      </c>
      <c r="J301" s="38">
        <v>2</v>
      </c>
      <c r="K301" s="41">
        <v>0</v>
      </c>
      <c r="L301" s="38" t="s">
        <v>89</v>
      </c>
      <c r="M301" s="42" t="s">
        <v>90</v>
      </c>
    </row>
    <row r="302" spans="1:13" x14ac:dyDescent="0.3">
      <c r="A302" s="37">
        <v>53</v>
      </c>
      <c r="B302" s="38" t="s">
        <v>157</v>
      </c>
      <c r="C302" s="39">
        <v>7896658010187</v>
      </c>
      <c r="D302" s="40" t="s">
        <v>86</v>
      </c>
      <c r="E302" s="40"/>
      <c r="F302" s="38">
        <v>746</v>
      </c>
      <c r="G302" s="38"/>
      <c r="H302" s="38" t="s">
        <v>158</v>
      </c>
      <c r="I302" s="38" t="s">
        <v>154</v>
      </c>
      <c r="J302" s="38">
        <v>3</v>
      </c>
      <c r="K302" s="41" t="s">
        <v>155</v>
      </c>
      <c r="L302" s="38" t="s">
        <v>89</v>
      </c>
      <c r="M302" s="42" t="s">
        <v>90</v>
      </c>
    </row>
    <row r="303" spans="1:13" x14ac:dyDescent="0.3">
      <c r="A303" s="37">
        <v>53</v>
      </c>
      <c r="B303" s="38" t="s">
        <v>157</v>
      </c>
      <c r="C303" s="39">
        <v>7896658010187</v>
      </c>
      <c r="D303" s="40" t="s">
        <v>86</v>
      </c>
      <c r="E303" s="40"/>
      <c r="F303" s="38">
        <v>875</v>
      </c>
      <c r="G303" s="38"/>
      <c r="H303" s="38" t="s">
        <v>159</v>
      </c>
      <c r="I303" s="38" t="s">
        <v>154</v>
      </c>
      <c r="J303" s="38">
        <v>3</v>
      </c>
      <c r="K303" s="41" t="s">
        <v>155</v>
      </c>
      <c r="L303" s="38" t="s">
        <v>89</v>
      </c>
      <c r="M303" s="42" t="s">
        <v>90</v>
      </c>
    </row>
    <row r="304" spans="1:13" x14ac:dyDescent="0.3">
      <c r="A304" s="37">
        <v>53</v>
      </c>
      <c r="B304" s="38" t="s">
        <v>160</v>
      </c>
      <c r="C304" s="39">
        <v>7896658011368</v>
      </c>
      <c r="D304" s="40" t="s">
        <v>86</v>
      </c>
      <c r="E304" s="40"/>
      <c r="F304" s="38">
        <v>10</v>
      </c>
      <c r="G304" s="38"/>
      <c r="H304" s="38" t="s">
        <v>113</v>
      </c>
      <c r="I304" s="38" t="s">
        <v>88</v>
      </c>
      <c r="J304" s="38">
        <v>4</v>
      </c>
      <c r="K304" s="41">
        <v>0.48</v>
      </c>
      <c r="L304" s="38" t="s">
        <v>132</v>
      </c>
      <c r="M304" s="42" t="s">
        <v>133</v>
      </c>
    </row>
    <row r="305" spans="1:13" x14ac:dyDescent="0.3">
      <c r="A305" s="37">
        <v>53</v>
      </c>
      <c r="B305" s="38" t="s">
        <v>160</v>
      </c>
      <c r="C305" s="39">
        <v>7896658011368</v>
      </c>
      <c r="D305" s="40" t="s">
        <v>86</v>
      </c>
      <c r="E305" s="40"/>
      <c r="F305" s="38">
        <v>10</v>
      </c>
      <c r="G305" s="38"/>
      <c r="H305" s="38" t="s">
        <v>113</v>
      </c>
      <c r="I305" s="38" t="s">
        <v>88</v>
      </c>
      <c r="J305" s="38">
        <v>4</v>
      </c>
      <c r="K305" s="41">
        <v>0.48</v>
      </c>
      <c r="L305" s="38" t="s">
        <v>114</v>
      </c>
      <c r="M305" s="42" t="s">
        <v>115</v>
      </c>
    </row>
    <row r="306" spans="1:13" x14ac:dyDescent="0.3">
      <c r="A306" s="37">
        <v>53</v>
      </c>
      <c r="B306" s="38" t="s">
        <v>160</v>
      </c>
      <c r="C306" s="39">
        <v>7896658011368</v>
      </c>
      <c r="D306" s="40" t="s">
        <v>86</v>
      </c>
      <c r="E306" s="40"/>
      <c r="F306" s="38">
        <v>10</v>
      </c>
      <c r="G306" s="38"/>
      <c r="H306" s="38" t="s">
        <v>113</v>
      </c>
      <c r="I306" s="38" t="s">
        <v>88</v>
      </c>
      <c r="J306" s="38">
        <v>4</v>
      </c>
      <c r="K306" s="41">
        <v>0.48</v>
      </c>
      <c r="L306" s="38" t="s">
        <v>114</v>
      </c>
      <c r="M306" s="42" t="s">
        <v>116</v>
      </c>
    </row>
    <row r="307" spans="1:13" x14ac:dyDescent="0.3">
      <c r="A307" s="37">
        <v>53</v>
      </c>
      <c r="B307" s="38" t="s">
        <v>160</v>
      </c>
      <c r="C307" s="39">
        <v>7896658011368</v>
      </c>
      <c r="D307" s="40" t="s">
        <v>86</v>
      </c>
      <c r="E307" s="40"/>
      <c r="F307" s="38">
        <v>10</v>
      </c>
      <c r="G307" s="38"/>
      <c r="H307" s="38" t="s">
        <v>113</v>
      </c>
      <c r="I307" s="38" t="s">
        <v>88</v>
      </c>
      <c r="J307" s="38">
        <v>4</v>
      </c>
      <c r="K307" s="41">
        <v>0.48</v>
      </c>
      <c r="L307" s="38" t="s">
        <v>114</v>
      </c>
      <c r="M307" s="42" t="s">
        <v>117</v>
      </c>
    </row>
    <row r="308" spans="1:13" x14ac:dyDescent="0.3">
      <c r="A308" s="37">
        <v>53</v>
      </c>
      <c r="B308" s="38" t="s">
        <v>160</v>
      </c>
      <c r="C308" s="39">
        <v>7896658011368</v>
      </c>
      <c r="D308" s="40" t="s">
        <v>86</v>
      </c>
      <c r="E308" s="40"/>
      <c r="F308" s="38">
        <v>10</v>
      </c>
      <c r="G308" s="38"/>
      <c r="H308" s="38" t="s">
        <v>113</v>
      </c>
      <c r="I308" s="38" t="s">
        <v>88</v>
      </c>
      <c r="J308" s="38">
        <v>4</v>
      </c>
      <c r="K308" s="41">
        <v>0.48</v>
      </c>
      <c r="L308" s="38" t="s">
        <v>114</v>
      </c>
      <c r="M308" s="42" t="s">
        <v>118</v>
      </c>
    </row>
    <row r="309" spans="1:13" x14ac:dyDescent="0.3">
      <c r="A309" s="37">
        <v>53</v>
      </c>
      <c r="B309" s="38" t="s">
        <v>160</v>
      </c>
      <c r="C309" s="39">
        <v>7896658011368</v>
      </c>
      <c r="D309" s="40" t="s">
        <v>86</v>
      </c>
      <c r="E309" s="40"/>
      <c r="F309" s="38">
        <v>10</v>
      </c>
      <c r="G309" s="38"/>
      <c r="H309" s="38" t="s">
        <v>113</v>
      </c>
      <c r="I309" s="38" t="s">
        <v>88</v>
      </c>
      <c r="J309" s="38">
        <v>4</v>
      </c>
      <c r="K309" s="41">
        <v>0.48</v>
      </c>
      <c r="L309" s="38" t="s">
        <v>114</v>
      </c>
      <c r="M309" s="42" t="s">
        <v>119</v>
      </c>
    </row>
    <row r="310" spans="1:13" x14ac:dyDescent="0.3">
      <c r="A310" s="37">
        <v>53</v>
      </c>
      <c r="B310" s="38" t="s">
        <v>160</v>
      </c>
      <c r="C310" s="39">
        <v>7896658011368</v>
      </c>
      <c r="D310" s="40" t="s">
        <v>86</v>
      </c>
      <c r="E310" s="40"/>
      <c r="F310" s="38">
        <v>10</v>
      </c>
      <c r="G310" s="38"/>
      <c r="H310" s="38" t="s">
        <v>113</v>
      </c>
      <c r="I310" s="38" t="s">
        <v>88</v>
      </c>
      <c r="J310" s="38">
        <v>4</v>
      </c>
      <c r="K310" s="41">
        <v>0.48</v>
      </c>
      <c r="L310" s="38" t="s">
        <v>114</v>
      </c>
      <c r="M310" s="42" t="s">
        <v>120</v>
      </c>
    </row>
    <row r="311" spans="1:13" x14ac:dyDescent="0.3">
      <c r="A311" s="37">
        <v>53</v>
      </c>
      <c r="B311" s="38" t="s">
        <v>160</v>
      </c>
      <c r="C311" s="39">
        <v>7896658011368</v>
      </c>
      <c r="D311" s="40" t="s">
        <v>86</v>
      </c>
      <c r="E311" s="40"/>
      <c r="F311" s="38">
        <v>10</v>
      </c>
      <c r="G311" s="38"/>
      <c r="H311" s="38" t="s">
        <v>113</v>
      </c>
      <c r="I311" s="38" t="s">
        <v>88</v>
      </c>
      <c r="J311" s="38">
        <v>4</v>
      </c>
      <c r="K311" s="41">
        <v>0.48</v>
      </c>
      <c r="L311" s="38" t="s">
        <v>114</v>
      </c>
      <c r="M311" s="42" t="s">
        <v>121</v>
      </c>
    </row>
    <row r="312" spans="1:13" x14ac:dyDescent="0.3">
      <c r="A312" s="37">
        <v>53</v>
      </c>
      <c r="B312" s="38" t="s">
        <v>160</v>
      </c>
      <c r="C312" s="39">
        <v>7896658011368</v>
      </c>
      <c r="D312" s="40" t="s">
        <v>86</v>
      </c>
      <c r="E312" s="40"/>
      <c r="F312" s="38">
        <v>10</v>
      </c>
      <c r="G312" s="38"/>
      <c r="H312" s="38" t="s">
        <v>113</v>
      </c>
      <c r="I312" s="38" t="s">
        <v>88</v>
      </c>
      <c r="J312" s="38">
        <v>4</v>
      </c>
      <c r="K312" s="41">
        <v>0.48</v>
      </c>
      <c r="L312" s="38" t="s">
        <v>114</v>
      </c>
      <c r="M312" s="42" t="s">
        <v>122</v>
      </c>
    </row>
    <row r="313" spans="1:13" x14ac:dyDescent="0.3">
      <c r="A313" s="37">
        <v>53</v>
      </c>
      <c r="B313" s="38" t="s">
        <v>160</v>
      </c>
      <c r="C313" s="39">
        <v>7896658011368</v>
      </c>
      <c r="D313" s="40" t="s">
        <v>86</v>
      </c>
      <c r="E313" s="40"/>
      <c r="F313" s="38">
        <v>10</v>
      </c>
      <c r="G313" s="38"/>
      <c r="H313" s="38" t="s">
        <v>113</v>
      </c>
      <c r="I313" s="38" t="s">
        <v>88</v>
      </c>
      <c r="J313" s="38">
        <v>4</v>
      </c>
      <c r="K313" s="41">
        <v>0.48</v>
      </c>
      <c r="L313" s="38" t="s">
        <v>114</v>
      </c>
      <c r="M313" s="42" t="s">
        <v>123</v>
      </c>
    </row>
    <row r="314" spans="1:13" x14ac:dyDescent="0.3">
      <c r="A314" s="37">
        <v>53</v>
      </c>
      <c r="B314" s="38" t="s">
        <v>160</v>
      </c>
      <c r="C314" s="39">
        <v>7896658011368</v>
      </c>
      <c r="D314" s="40" t="s">
        <v>86</v>
      </c>
      <c r="E314" s="40"/>
      <c r="F314" s="38">
        <v>10</v>
      </c>
      <c r="G314" s="38"/>
      <c r="H314" s="38" t="s">
        <v>113</v>
      </c>
      <c r="I314" s="38" t="s">
        <v>88</v>
      </c>
      <c r="J314" s="38">
        <v>4</v>
      </c>
      <c r="K314" s="41">
        <v>0.48</v>
      </c>
      <c r="L314" s="38" t="s">
        <v>114</v>
      </c>
      <c r="M314" s="42" t="s">
        <v>124</v>
      </c>
    </row>
    <row r="315" spans="1:13" x14ac:dyDescent="0.3">
      <c r="A315" s="37">
        <v>53</v>
      </c>
      <c r="B315" s="38" t="s">
        <v>160</v>
      </c>
      <c r="C315" s="39">
        <v>7896658011368</v>
      </c>
      <c r="D315" s="40" t="s">
        <v>86</v>
      </c>
      <c r="E315" s="40"/>
      <c r="F315" s="38">
        <v>10</v>
      </c>
      <c r="G315" s="38"/>
      <c r="H315" s="38" t="s">
        <v>113</v>
      </c>
      <c r="I315" s="38" t="s">
        <v>88</v>
      </c>
      <c r="J315" s="38">
        <v>4</v>
      </c>
      <c r="K315" s="41">
        <v>0.48</v>
      </c>
      <c r="L315" s="38" t="s">
        <v>114</v>
      </c>
      <c r="M315" s="42" t="s">
        <v>125</v>
      </c>
    </row>
    <row r="316" spans="1:13" x14ac:dyDescent="0.3">
      <c r="A316" s="37">
        <v>53</v>
      </c>
      <c r="B316" s="38" t="s">
        <v>160</v>
      </c>
      <c r="C316" s="39">
        <v>7896658011368</v>
      </c>
      <c r="D316" s="40" t="s">
        <v>86</v>
      </c>
      <c r="E316" s="40"/>
      <c r="F316" s="38">
        <v>10</v>
      </c>
      <c r="G316" s="38"/>
      <c r="H316" s="38" t="s">
        <v>113</v>
      </c>
      <c r="I316" s="38" t="s">
        <v>88</v>
      </c>
      <c r="J316" s="38">
        <v>4</v>
      </c>
      <c r="K316" s="41">
        <v>0.48</v>
      </c>
      <c r="L316" s="38" t="s">
        <v>114</v>
      </c>
      <c r="M316" s="42" t="s">
        <v>126</v>
      </c>
    </row>
    <row r="317" spans="1:13" x14ac:dyDescent="0.3">
      <c r="A317" s="37">
        <v>53</v>
      </c>
      <c r="B317" s="38" t="s">
        <v>160</v>
      </c>
      <c r="C317" s="39">
        <v>7896658011368</v>
      </c>
      <c r="D317" s="40" t="s">
        <v>86</v>
      </c>
      <c r="E317" s="40"/>
      <c r="F317" s="38">
        <v>10</v>
      </c>
      <c r="G317" s="38"/>
      <c r="H317" s="38" t="s">
        <v>113</v>
      </c>
      <c r="I317" s="38" t="s">
        <v>88</v>
      </c>
      <c r="J317" s="38">
        <v>4</v>
      </c>
      <c r="K317" s="41">
        <v>0.48</v>
      </c>
      <c r="L317" s="38" t="s">
        <v>127</v>
      </c>
      <c r="M317" s="42" t="s">
        <v>128</v>
      </c>
    </row>
    <row r="318" spans="1:13" x14ac:dyDescent="0.3">
      <c r="A318" s="37">
        <v>53</v>
      </c>
      <c r="B318" s="38" t="s">
        <v>160</v>
      </c>
      <c r="C318" s="39">
        <v>7896658011368</v>
      </c>
      <c r="D318" s="40" t="s">
        <v>86</v>
      </c>
      <c r="E318" s="40"/>
      <c r="F318" s="38">
        <v>10</v>
      </c>
      <c r="G318" s="38"/>
      <c r="H318" s="38" t="s">
        <v>113</v>
      </c>
      <c r="I318" s="38" t="s">
        <v>88</v>
      </c>
      <c r="J318" s="38">
        <v>4</v>
      </c>
      <c r="K318" s="41">
        <v>0.28999999999999998</v>
      </c>
      <c r="L318" s="38" t="s">
        <v>89</v>
      </c>
      <c r="M318" s="42" t="s">
        <v>90</v>
      </c>
    </row>
    <row r="319" spans="1:13" x14ac:dyDescent="0.3">
      <c r="A319" s="37">
        <v>53</v>
      </c>
      <c r="B319" s="38" t="s">
        <v>160</v>
      </c>
      <c r="C319" s="39">
        <v>7896658011368</v>
      </c>
      <c r="D319" s="40" t="s">
        <v>86</v>
      </c>
      <c r="E319" s="40"/>
      <c r="F319" s="38">
        <v>24</v>
      </c>
      <c r="G319" s="38"/>
      <c r="H319" s="38" t="s">
        <v>129</v>
      </c>
      <c r="I319" s="38" t="s">
        <v>88</v>
      </c>
      <c r="J319" s="38">
        <v>4</v>
      </c>
      <c r="K319" s="41">
        <v>0.48</v>
      </c>
      <c r="L319" s="38" t="s">
        <v>132</v>
      </c>
      <c r="M319" s="42" t="s">
        <v>133</v>
      </c>
    </row>
    <row r="320" spans="1:13" x14ac:dyDescent="0.3">
      <c r="A320" s="37">
        <v>53</v>
      </c>
      <c r="B320" s="38" t="s">
        <v>160</v>
      </c>
      <c r="C320" s="39">
        <v>7896658011368</v>
      </c>
      <c r="D320" s="40" t="s">
        <v>86</v>
      </c>
      <c r="E320" s="40"/>
      <c r="F320" s="38">
        <v>24</v>
      </c>
      <c r="G320" s="38"/>
      <c r="H320" s="38" t="s">
        <v>129</v>
      </c>
      <c r="I320" s="38" t="s">
        <v>88</v>
      </c>
      <c r="J320" s="38">
        <v>4</v>
      </c>
      <c r="K320" s="41">
        <v>0.48</v>
      </c>
      <c r="L320" s="38" t="s">
        <v>114</v>
      </c>
      <c r="M320" s="42" t="s">
        <v>115</v>
      </c>
    </row>
    <row r="321" spans="1:13" x14ac:dyDescent="0.3">
      <c r="A321" s="37">
        <v>53</v>
      </c>
      <c r="B321" s="38" t="s">
        <v>160</v>
      </c>
      <c r="C321" s="39">
        <v>7896658011368</v>
      </c>
      <c r="D321" s="40" t="s">
        <v>86</v>
      </c>
      <c r="E321" s="40"/>
      <c r="F321" s="38">
        <v>24</v>
      </c>
      <c r="G321" s="38"/>
      <c r="H321" s="38" t="s">
        <v>129</v>
      </c>
      <c r="I321" s="38" t="s">
        <v>88</v>
      </c>
      <c r="J321" s="38">
        <v>4</v>
      </c>
      <c r="K321" s="41">
        <v>0.48</v>
      </c>
      <c r="L321" s="38" t="s">
        <v>114</v>
      </c>
      <c r="M321" s="42" t="s">
        <v>116</v>
      </c>
    </row>
    <row r="322" spans="1:13" x14ac:dyDescent="0.3">
      <c r="A322" s="37">
        <v>53</v>
      </c>
      <c r="B322" s="38" t="s">
        <v>160</v>
      </c>
      <c r="C322" s="39">
        <v>7896658011368</v>
      </c>
      <c r="D322" s="40" t="s">
        <v>86</v>
      </c>
      <c r="E322" s="40"/>
      <c r="F322" s="38">
        <v>24</v>
      </c>
      <c r="G322" s="38"/>
      <c r="H322" s="38" t="s">
        <v>129</v>
      </c>
      <c r="I322" s="38" t="s">
        <v>88</v>
      </c>
      <c r="J322" s="38">
        <v>4</v>
      </c>
      <c r="K322" s="41">
        <v>0.48</v>
      </c>
      <c r="L322" s="38" t="s">
        <v>114</v>
      </c>
      <c r="M322" s="42" t="s">
        <v>117</v>
      </c>
    </row>
    <row r="323" spans="1:13" x14ac:dyDescent="0.3">
      <c r="A323" s="37">
        <v>53</v>
      </c>
      <c r="B323" s="38" t="s">
        <v>160</v>
      </c>
      <c r="C323" s="39">
        <v>7896658011368</v>
      </c>
      <c r="D323" s="40" t="s">
        <v>86</v>
      </c>
      <c r="E323" s="40"/>
      <c r="F323" s="38">
        <v>24</v>
      </c>
      <c r="G323" s="38"/>
      <c r="H323" s="38" t="s">
        <v>129</v>
      </c>
      <c r="I323" s="38" t="s">
        <v>88</v>
      </c>
      <c r="J323" s="38">
        <v>4</v>
      </c>
      <c r="K323" s="41">
        <v>0.48</v>
      </c>
      <c r="L323" s="38" t="s">
        <v>114</v>
      </c>
      <c r="M323" s="42" t="s">
        <v>118</v>
      </c>
    </row>
    <row r="324" spans="1:13" x14ac:dyDescent="0.3">
      <c r="A324" s="37">
        <v>53</v>
      </c>
      <c r="B324" s="38" t="s">
        <v>160</v>
      </c>
      <c r="C324" s="39">
        <v>7896658011368</v>
      </c>
      <c r="D324" s="40" t="s">
        <v>86</v>
      </c>
      <c r="E324" s="40"/>
      <c r="F324" s="38">
        <v>24</v>
      </c>
      <c r="G324" s="38"/>
      <c r="H324" s="38" t="s">
        <v>129</v>
      </c>
      <c r="I324" s="38" t="s">
        <v>88</v>
      </c>
      <c r="J324" s="38">
        <v>4</v>
      </c>
      <c r="K324" s="41">
        <v>0.48</v>
      </c>
      <c r="L324" s="38" t="s">
        <v>114</v>
      </c>
      <c r="M324" s="42" t="s">
        <v>119</v>
      </c>
    </row>
    <row r="325" spans="1:13" x14ac:dyDescent="0.3">
      <c r="A325" s="37">
        <v>53</v>
      </c>
      <c r="B325" s="38" t="s">
        <v>160</v>
      </c>
      <c r="C325" s="39">
        <v>7896658011368</v>
      </c>
      <c r="D325" s="40" t="s">
        <v>86</v>
      </c>
      <c r="E325" s="40"/>
      <c r="F325" s="38">
        <v>24</v>
      </c>
      <c r="G325" s="38"/>
      <c r="H325" s="38" t="s">
        <v>129</v>
      </c>
      <c r="I325" s="38" t="s">
        <v>88</v>
      </c>
      <c r="J325" s="38">
        <v>4</v>
      </c>
      <c r="K325" s="41">
        <v>0.48</v>
      </c>
      <c r="L325" s="38" t="s">
        <v>114</v>
      </c>
      <c r="M325" s="42" t="s">
        <v>120</v>
      </c>
    </row>
    <row r="326" spans="1:13" x14ac:dyDescent="0.3">
      <c r="A326" s="37">
        <v>53</v>
      </c>
      <c r="B326" s="38" t="s">
        <v>160</v>
      </c>
      <c r="C326" s="39">
        <v>7896658011368</v>
      </c>
      <c r="D326" s="40" t="s">
        <v>86</v>
      </c>
      <c r="E326" s="40"/>
      <c r="F326" s="38">
        <v>24</v>
      </c>
      <c r="G326" s="38"/>
      <c r="H326" s="38" t="s">
        <v>129</v>
      </c>
      <c r="I326" s="38" t="s">
        <v>88</v>
      </c>
      <c r="J326" s="38">
        <v>4</v>
      </c>
      <c r="K326" s="41">
        <v>0.48</v>
      </c>
      <c r="L326" s="38" t="s">
        <v>114</v>
      </c>
      <c r="M326" s="42" t="s">
        <v>121</v>
      </c>
    </row>
    <row r="327" spans="1:13" x14ac:dyDescent="0.3">
      <c r="A327" s="37">
        <v>53</v>
      </c>
      <c r="B327" s="38" t="s">
        <v>160</v>
      </c>
      <c r="C327" s="39">
        <v>7896658011368</v>
      </c>
      <c r="D327" s="40" t="s">
        <v>86</v>
      </c>
      <c r="E327" s="40"/>
      <c r="F327" s="38">
        <v>24</v>
      </c>
      <c r="G327" s="38"/>
      <c r="H327" s="38" t="s">
        <v>129</v>
      </c>
      <c r="I327" s="38" t="s">
        <v>88</v>
      </c>
      <c r="J327" s="38">
        <v>4</v>
      </c>
      <c r="K327" s="41">
        <v>0.48</v>
      </c>
      <c r="L327" s="38" t="s">
        <v>114</v>
      </c>
      <c r="M327" s="42" t="s">
        <v>122</v>
      </c>
    </row>
    <row r="328" spans="1:13" x14ac:dyDescent="0.3">
      <c r="A328" s="37">
        <v>53</v>
      </c>
      <c r="B328" s="38" t="s">
        <v>160</v>
      </c>
      <c r="C328" s="39">
        <v>7896658011368</v>
      </c>
      <c r="D328" s="40" t="s">
        <v>86</v>
      </c>
      <c r="E328" s="40"/>
      <c r="F328" s="38">
        <v>24</v>
      </c>
      <c r="G328" s="38"/>
      <c r="H328" s="38" t="s">
        <v>129</v>
      </c>
      <c r="I328" s="38" t="s">
        <v>88</v>
      </c>
      <c r="J328" s="38">
        <v>4</v>
      </c>
      <c r="K328" s="41">
        <v>0.48</v>
      </c>
      <c r="L328" s="38" t="s">
        <v>114</v>
      </c>
      <c r="M328" s="42" t="s">
        <v>123</v>
      </c>
    </row>
    <row r="329" spans="1:13" x14ac:dyDescent="0.3">
      <c r="A329" s="37">
        <v>53</v>
      </c>
      <c r="B329" s="38" t="s">
        <v>160</v>
      </c>
      <c r="C329" s="39">
        <v>7896658011368</v>
      </c>
      <c r="D329" s="40" t="s">
        <v>86</v>
      </c>
      <c r="E329" s="40"/>
      <c r="F329" s="38">
        <v>24</v>
      </c>
      <c r="G329" s="38"/>
      <c r="H329" s="38" t="s">
        <v>129</v>
      </c>
      <c r="I329" s="38" t="s">
        <v>88</v>
      </c>
      <c r="J329" s="38">
        <v>4</v>
      </c>
      <c r="K329" s="41">
        <v>0.48</v>
      </c>
      <c r="L329" s="38" t="s">
        <v>114</v>
      </c>
      <c r="M329" s="42" t="s">
        <v>124</v>
      </c>
    </row>
    <row r="330" spans="1:13" x14ac:dyDescent="0.3">
      <c r="A330" s="37">
        <v>53</v>
      </c>
      <c r="B330" s="38" t="s">
        <v>160</v>
      </c>
      <c r="C330" s="39">
        <v>7896658011368</v>
      </c>
      <c r="D330" s="40" t="s">
        <v>86</v>
      </c>
      <c r="E330" s="40"/>
      <c r="F330" s="38">
        <v>24</v>
      </c>
      <c r="G330" s="38"/>
      <c r="H330" s="38" t="s">
        <v>129</v>
      </c>
      <c r="I330" s="38" t="s">
        <v>88</v>
      </c>
      <c r="J330" s="38">
        <v>4</v>
      </c>
      <c r="K330" s="41">
        <v>0.48</v>
      </c>
      <c r="L330" s="38" t="s">
        <v>114</v>
      </c>
      <c r="M330" s="42" t="s">
        <v>125</v>
      </c>
    </row>
    <row r="331" spans="1:13" x14ac:dyDescent="0.3">
      <c r="A331" s="37">
        <v>53</v>
      </c>
      <c r="B331" s="38" t="s">
        <v>160</v>
      </c>
      <c r="C331" s="39">
        <v>7896658011368</v>
      </c>
      <c r="D331" s="40" t="s">
        <v>86</v>
      </c>
      <c r="E331" s="40"/>
      <c r="F331" s="38">
        <v>24</v>
      </c>
      <c r="G331" s="38"/>
      <c r="H331" s="38" t="s">
        <v>129</v>
      </c>
      <c r="I331" s="38" t="s">
        <v>88</v>
      </c>
      <c r="J331" s="38">
        <v>4</v>
      </c>
      <c r="K331" s="41">
        <v>0.48</v>
      </c>
      <c r="L331" s="38" t="s">
        <v>114</v>
      </c>
      <c r="M331" s="42" t="s">
        <v>126</v>
      </c>
    </row>
    <row r="332" spans="1:13" x14ac:dyDescent="0.3">
      <c r="A332" s="37">
        <v>53</v>
      </c>
      <c r="B332" s="38" t="s">
        <v>160</v>
      </c>
      <c r="C332" s="39">
        <v>7896658011368</v>
      </c>
      <c r="D332" s="40" t="s">
        <v>86</v>
      </c>
      <c r="E332" s="40"/>
      <c r="F332" s="38">
        <v>24</v>
      </c>
      <c r="G332" s="38"/>
      <c r="H332" s="38" t="s">
        <v>129</v>
      </c>
      <c r="I332" s="38" t="s">
        <v>88</v>
      </c>
      <c r="J332" s="38">
        <v>4</v>
      </c>
      <c r="K332" s="41">
        <v>0.48</v>
      </c>
      <c r="L332" s="38" t="s">
        <v>127</v>
      </c>
      <c r="M332" s="42" t="s">
        <v>128</v>
      </c>
    </row>
    <row r="333" spans="1:13" x14ac:dyDescent="0.3">
      <c r="A333" s="37">
        <v>53</v>
      </c>
      <c r="B333" s="38" t="s">
        <v>160</v>
      </c>
      <c r="C333" s="39">
        <v>7896658011368</v>
      </c>
      <c r="D333" s="40" t="s">
        <v>86</v>
      </c>
      <c r="E333" s="40"/>
      <c r="F333" s="38">
        <v>24</v>
      </c>
      <c r="G333" s="38"/>
      <c r="H333" s="38" t="s">
        <v>129</v>
      </c>
      <c r="I333" s="38" t="s">
        <v>88</v>
      </c>
      <c r="J333" s="38">
        <v>4</v>
      </c>
      <c r="K333" s="41">
        <v>0.28999999999999998</v>
      </c>
      <c r="L333" s="38" t="s">
        <v>89</v>
      </c>
      <c r="M333" s="42" t="s">
        <v>90</v>
      </c>
    </row>
    <row r="334" spans="1:13" x14ac:dyDescent="0.3">
      <c r="A334" s="37">
        <v>53</v>
      </c>
      <c r="B334" s="38" t="s">
        <v>160</v>
      </c>
      <c r="C334" s="39">
        <v>7896658011368</v>
      </c>
      <c r="D334" s="40" t="s">
        <v>86</v>
      </c>
      <c r="E334" s="40"/>
      <c r="F334" s="38">
        <v>201</v>
      </c>
      <c r="G334" s="38"/>
      <c r="H334" s="38" t="s">
        <v>130</v>
      </c>
      <c r="I334" s="38" t="s">
        <v>88</v>
      </c>
      <c r="J334" s="38">
        <v>4</v>
      </c>
      <c r="K334" s="41">
        <v>0.48</v>
      </c>
      <c r="L334" s="38" t="s">
        <v>132</v>
      </c>
      <c r="M334" s="42" t="s">
        <v>133</v>
      </c>
    </row>
    <row r="335" spans="1:13" x14ac:dyDescent="0.3">
      <c r="A335" s="37">
        <v>53</v>
      </c>
      <c r="B335" s="38" t="s">
        <v>160</v>
      </c>
      <c r="C335" s="39">
        <v>7896658011368</v>
      </c>
      <c r="D335" s="40" t="s">
        <v>86</v>
      </c>
      <c r="E335" s="40"/>
      <c r="F335" s="38">
        <v>201</v>
      </c>
      <c r="G335" s="38"/>
      <c r="H335" s="38" t="s">
        <v>130</v>
      </c>
      <c r="I335" s="38" t="s">
        <v>88</v>
      </c>
      <c r="J335" s="38">
        <v>4</v>
      </c>
      <c r="K335" s="41">
        <v>0.48</v>
      </c>
      <c r="L335" s="38" t="s">
        <v>114</v>
      </c>
      <c r="M335" s="42" t="s">
        <v>115</v>
      </c>
    </row>
    <row r="336" spans="1:13" x14ac:dyDescent="0.3">
      <c r="A336" s="37">
        <v>53</v>
      </c>
      <c r="B336" s="38" t="s">
        <v>160</v>
      </c>
      <c r="C336" s="39">
        <v>7896658011368</v>
      </c>
      <c r="D336" s="40" t="s">
        <v>86</v>
      </c>
      <c r="E336" s="40"/>
      <c r="F336" s="38">
        <v>201</v>
      </c>
      <c r="G336" s="38"/>
      <c r="H336" s="38" t="s">
        <v>130</v>
      </c>
      <c r="I336" s="38" t="s">
        <v>88</v>
      </c>
      <c r="J336" s="38">
        <v>4</v>
      </c>
      <c r="K336" s="41">
        <v>0.48</v>
      </c>
      <c r="L336" s="38" t="s">
        <v>114</v>
      </c>
      <c r="M336" s="42" t="s">
        <v>116</v>
      </c>
    </row>
    <row r="337" spans="1:13" x14ac:dyDescent="0.3">
      <c r="A337" s="37">
        <v>53</v>
      </c>
      <c r="B337" s="38" t="s">
        <v>160</v>
      </c>
      <c r="C337" s="39">
        <v>7896658011368</v>
      </c>
      <c r="D337" s="40" t="s">
        <v>86</v>
      </c>
      <c r="E337" s="40"/>
      <c r="F337" s="38">
        <v>201</v>
      </c>
      <c r="G337" s="38"/>
      <c r="H337" s="38" t="s">
        <v>130</v>
      </c>
      <c r="I337" s="38" t="s">
        <v>88</v>
      </c>
      <c r="J337" s="38">
        <v>4</v>
      </c>
      <c r="K337" s="41">
        <v>0.48</v>
      </c>
      <c r="L337" s="38" t="s">
        <v>114</v>
      </c>
      <c r="M337" s="42" t="s">
        <v>117</v>
      </c>
    </row>
    <row r="338" spans="1:13" x14ac:dyDescent="0.3">
      <c r="A338" s="37">
        <v>53</v>
      </c>
      <c r="B338" s="38" t="s">
        <v>160</v>
      </c>
      <c r="C338" s="39">
        <v>7896658011368</v>
      </c>
      <c r="D338" s="40" t="s">
        <v>86</v>
      </c>
      <c r="E338" s="40"/>
      <c r="F338" s="38">
        <v>201</v>
      </c>
      <c r="G338" s="38"/>
      <c r="H338" s="38" t="s">
        <v>130</v>
      </c>
      <c r="I338" s="38" t="s">
        <v>88</v>
      </c>
      <c r="J338" s="38">
        <v>4</v>
      </c>
      <c r="K338" s="41">
        <v>0.48</v>
      </c>
      <c r="L338" s="38" t="s">
        <v>114</v>
      </c>
      <c r="M338" s="42" t="s">
        <v>118</v>
      </c>
    </row>
    <row r="339" spans="1:13" x14ac:dyDescent="0.3">
      <c r="A339" s="37">
        <v>53</v>
      </c>
      <c r="B339" s="38" t="s">
        <v>160</v>
      </c>
      <c r="C339" s="39">
        <v>7896658011368</v>
      </c>
      <c r="D339" s="40" t="s">
        <v>86</v>
      </c>
      <c r="E339" s="40"/>
      <c r="F339" s="38">
        <v>201</v>
      </c>
      <c r="G339" s="38"/>
      <c r="H339" s="38" t="s">
        <v>130</v>
      </c>
      <c r="I339" s="38" t="s">
        <v>88</v>
      </c>
      <c r="J339" s="38">
        <v>4</v>
      </c>
      <c r="K339" s="41">
        <v>0.48</v>
      </c>
      <c r="L339" s="38" t="s">
        <v>114</v>
      </c>
      <c r="M339" s="42" t="s">
        <v>119</v>
      </c>
    </row>
    <row r="340" spans="1:13" x14ac:dyDescent="0.3">
      <c r="A340" s="37">
        <v>53</v>
      </c>
      <c r="B340" s="38" t="s">
        <v>160</v>
      </c>
      <c r="C340" s="39">
        <v>7896658011368</v>
      </c>
      <c r="D340" s="40" t="s">
        <v>86</v>
      </c>
      <c r="E340" s="40"/>
      <c r="F340" s="38">
        <v>201</v>
      </c>
      <c r="G340" s="38"/>
      <c r="H340" s="38" t="s">
        <v>130</v>
      </c>
      <c r="I340" s="38" t="s">
        <v>88</v>
      </c>
      <c r="J340" s="38">
        <v>4</v>
      </c>
      <c r="K340" s="41">
        <v>0.48</v>
      </c>
      <c r="L340" s="38" t="s">
        <v>114</v>
      </c>
      <c r="M340" s="42" t="s">
        <v>120</v>
      </c>
    </row>
    <row r="341" spans="1:13" x14ac:dyDescent="0.3">
      <c r="A341" s="37">
        <v>53</v>
      </c>
      <c r="B341" s="38" t="s">
        <v>160</v>
      </c>
      <c r="C341" s="39">
        <v>7896658011368</v>
      </c>
      <c r="D341" s="40" t="s">
        <v>86</v>
      </c>
      <c r="E341" s="40"/>
      <c r="F341" s="38">
        <v>201</v>
      </c>
      <c r="G341" s="38"/>
      <c r="H341" s="38" t="s">
        <v>130</v>
      </c>
      <c r="I341" s="38" t="s">
        <v>88</v>
      </c>
      <c r="J341" s="38">
        <v>4</v>
      </c>
      <c r="K341" s="41">
        <v>0.48</v>
      </c>
      <c r="L341" s="38" t="s">
        <v>114</v>
      </c>
      <c r="M341" s="42" t="s">
        <v>121</v>
      </c>
    </row>
    <row r="342" spans="1:13" x14ac:dyDescent="0.3">
      <c r="A342" s="37">
        <v>53</v>
      </c>
      <c r="B342" s="38" t="s">
        <v>160</v>
      </c>
      <c r="C342" s="39">
        <v>7896658011368</v>
      </c>
      <c r="D342" s="40" t="s">
        <v>86</v>
      </c>
      <c r="E342" s="40"/>
      <c r="F342" s="38">
        <v>201</v>
      </c>
      <c r="G342" s="38"/>
      <c r="H342" s="38" t="s">
        <v>130</v>
      </c>
      <c r="I342" s="38" t="s">
        <v>88</v>
      </c>
      <c r="J342" s="38">
        <v>4</v>
      </c>
      <c r="K342" s="41">
        <v>0.48</v>
      </c>
      <c r="L342" s="38" t="s">
        <v>114</v>
      </c>
      <c r="M342" s="42" t="s">
        <v>122</v>
      </c>
    </row>
    <row r="343" spans="1:13" x14ac:dyDescent="0.3">
      <c r="A343" s="37">
        <v>53</v>
      </c>
      <c r="B343" s="38" t="s">
        <v>160</v>
      </c>
      <c r="C343" s="39">
        <v>7896658011368</v>
      </c>
      <c r="D343" s="40" t="s">
        <v>86</v>
      </c>
      <c r="E343" s="40"/>
      <c r="F343" s="38">
        <v>201</v>
      </c>
      <c r="G343" s="38"/>
      <c r="H343" s="38" t="s">
        <v>130</v>
      </c>
      <c r="I343" s="38" t="s">
        <v>88</v>
      </c>
      <c r="J343" s="38">
        <v>4</v>
      </c>
      <c r="K343" s="41">
        <v>0.48</v>
      </c>
      <c r="L343" s="38" t="s">
        <v>114</v>
      </c>
      <c r="M343" s="42" t="s">
        <v>123</v>
      </c>
    </row>
    <row r="344" spans="1:13" x14ac:dyDescent="0.3">
      <c r="A344" s="37">
        <v>53</v>
      </c>
      <c r="B344" s="38" t="s">
        <v>160</v>
      </c>
      <c r="C344" s="39">
        <v>7896658011368</v>
      </c>
      <c r="D344" s="40" t="s">
        <v>86</v>
      </c>
      <c r="E344" s="40"/>
      <c r="F344" s="38">
        <v>201</v>
      </c>
      <c r="G344" s="38"/>
      <c r="H344" s="38" t="s">
        <v>130</v>
      </c>
      <c r="I344" s="38" t="s">
        <v>88</v>
      </c>
      <c r="J344" s="38">
        <v>4</v>
      </c>
      <c r="K344" s="41">
        <v>0.48</v>
      </c>
      <c r="L344" s="38" t="s">
        <v>114</v>
      </c>
      <c r="M344" s="42" t="s">
        <v>124</v>
      </c>
    </row>
    <row r="345" spans="1:13" x14ac:dyDescent="0.3">
      <c r="A345" s="37">
        <v>53</v>
      </c>
      <c r="B345" s="38" t="s">
        <v>160</v>
      </c>
      <c r="C345" s="39">
        <v>7896658011368</v>
      </c>
      <c r="D345" s="40" t="s">
        <v>86</v>
      </c>
      <c r="E345" s="40"/>
      <c r="F345" s="38">
        <v>201</v>
      </c>
      <c r="G345" s="38"/>
      <c r="H345" s="38" t="s">
        <v>130</v>
      </c>
      <c r="I345" s="38" t="s">
        <v>88</v>
      </c>
      <c r="J345" s="38">
        <v>4</v>
      </c>
      <c r="K345" s="41">
        <v>0.48</v>
      </c>
      <c r="L345" s="38" t="s">
        <v>114</v>
      </c>
      <c r="M345" s="42" t="s">
        <v>125</v>
      </c>
    </row>
    <row r="346" spans="1:13" x14ac:dyDescent="0.3">
      <c r="A346" s="37">
        <v>53</v>
      </c>
      <c r="B346" s="38" t="s">
        <v>160</v>
      </c>
      <c r="C346" s="39">
        <v>7896658011368</v>
      </c>
      <c r="D346" s="40" t="s">
        <v>86</v>
      </c>
      <c r="E346" s="40"/>
      <c r="F346" s="38">
        <v>201</v>
      </c>
      <c r="G346" s="38"/>
      <c r="H346" s="38" t="s">
        <v>130</v>
      </c>
      <c r="I346" s="38" t="s">
        <v>88</v>
      </c>
      <c r="J346" s="38">
        <v>4</v>
      </c>
      <c r="K346" s="41">
        <v>0.48</v>
      </c>
      <c r="L346" s="38" t="s">
        <v>114</v>
      </c>
      <c r="M346" s="42" t="s">
        <v>126</v>
      </c>
    </row>
    <row r="347" spans="1:13" x14ac:dyDescent="0.3">
      <c r="A347" s="37">
        <v>53</v>
      </c>
      <c r="B347" s="38" t="s">
        <v>160</v>
      </c>
      <c r="C347" s="39">
        <v>7896658011368</v>
      </c>
      <c r="D347" s="40" t="s">
        <v>86</v>
      </c>
      <c r="E347" s="40"/>
      <c r="F347" s="38">
        <v>201</v>
      </c>
      <c r="G347" s="38"/>
      <c r="H347" s="38" t="s">
        <v>130</v>
      </c>
      <c r="I347" s="38" t="s">
        <v>88</v>
      </c>
      <c r="J347" s="38">
        <v>4</v>
      </c>
      <c r="K347" s="41">
        <v>0.48</v>
      </c>
      <c r="L347" s="38" t="s">
        <v>127</v>
      </c>
      <c r="M347" s="42" t="s">
        <v>128</v>
      </c>
    </row>
    <row r="348" spans="1:13" x14ac:dyDescent="0.3">
      <c r="A348" s="37">
        <v>53</v>
      </c>
      <c r="B348" s="38" t="s">
        <v>160</v>
      </c>
      <c r="C348" s="39">
        <v>7896658011368</v>
      </c>
      <c r="D348" s="40" t="s">
        <v>86</v>
      </c>
      <c r="E348" s="40"/>
      <c r="F348" s="38">
        <v>201</v>
      </c>
      <c r="G348" s="38"/>
      <c r="H348" s="38" t="s">
        <v>130</v>
      </c>
      <c r="I348" s="38" t="s">
        <v>88</v>
      </c>
      <c r="J348" s="38">
        <v>4</v>
      </c>
      <c r="K348" s="41">
        <v>0.28999999999999998</v>
      </c>
      <c r="L348" s="38" t="s">
        <v>89</v>
      </c>
      <c r="M348" s="42" t="s">
        <v>90</v>
      </c>
    </row>
    <row r="349" spans="1:13" x14ac:dyDescent="0.3">
      <c r="A349" s="37">
        <v>53</v>
      </c>
      <c r="B349" s="38" t="s">
        <v>160</v>
      </c>
      <c r="C349" s="39">
        <v>7896658011368</v>
      </c>
      <c r="D349" s="40" t="s">
        <v>86</v>
      </c>
      <c r="E349" s="40"/>
      <c r="F349" s="38">
        <v>591</v>
      </c>
      <c r="G349" s="38"/>
      <c r="H349" s="38" t="s">
        <v>130</v>
      </c>
      <c r="I349" s="38" t="s">
        <v>88</v>
      </c>
      <c r="J349" s="38">
        <v>4</v>
      </c>
      <c r="K349" s="41">
        <v>0.48</v>
      </c>
      <c r="L349" s="38" t="s">
        <v>132</v>
      </c>
      <c r="M349" s="42" t="s">
        <v>133</v>
      </c>
    </row>
    <row r="350" spans="1:13" x14ac:dyDescent="0.3">
      <c r="A350" s="37">
        <v>53</v>
      </c>
      <c r="B350" s="38" t="s">
        <v>160</v>
      </c>
      <c r="C350" s="39">
        <v>7896658011368</v>
      </c>
      <c r="D350" s="40" t="s">
        <v>86</v>
      </c>
      <c r="E350" s="40"/>
      <c r="F350" s="38">
        <v>591</v>
      </c>
      <c r="G350" s="38"/>
      <c r="H350" s="38" t="s">
        <v>130</v>
      </c>
      <c r="I350" s="38" t="s">
        <v>88</v>
      </c>
      <c r="J350" s="38">
        <v>4</v>
      </c>
      <c r="K350" s="41">
        <v>0.48</v>
      </c>
      <c r="L350" s="38" t="s">
        <v>114</v>
      </c>
      <c r="M350" s="42" t="s">
        <v>115</v>
      </c>
    </row>
    <row r="351" spans="1:13" x14ac:dyDescent="0.3">
      <c r="A351" s="37">
        <v>53</v>
      </c>
      <c r="B351" s="38" t="s">
        <v>160</v>
      </c>
      <c r="C351" s="39">
        <v>7896658011368</v>
      </c>
      <c r="D351" s="40" t="s">
        <v>86</v>
      </c>
      <c r="E351" s="40"/>
      <c r="F351" s="38">
        <v>591</v>
      </c>
      <c r="G351" s="38"/>
      <c r="H351" s="38" t="s">
        <v>130</v>
      </c>
      <c r="I351" s="38" t="s">
        <v>88</v>
      </c>
      <c r="J351" s="38">
        <v>4</v>
      </c>
      <c r="K351" s="41">
        <v>0.48</v>
      </c>
      <c r="L351" s="38" t="s">
        <v>114</v>
      </c>
      <c r="M351" s="42" t="s">
        <v>116</v>
      </c>
    </row>
    <row r="352" spans="1:13" x14ac:dyDescent="0.3">
      <c r="A352" s="37">
        <v>53</v>
      </c>
      <c r="B352" s="38" t="s">
        <v>160</v>
      </c>
      <c r="C352" s="39">
        <v>7896658011368</v>
      </c>
      <c r="D352" s="40" t="s">
        <v>86</v>
      </c>
      <c r="E352" s="40"/>
      <c r="F352" s="38">
        <v>591</v>
      </c>
      <c r="G352" s="38"/>
      <c r="H352" s="38" t="s">
        <v>130</v>
      </c>
      <c r="I352" s="38" t="s">
        <v>88</v>
      </c>
      <c r="J352" s="38">
        <v>4</v>
      </c>
      <c r="K352" s="41">
        <v>0.48</v>
      </c>
      <c r="L352" s="38" t="s">
        <v>114</v>
      </c>
      <c r="M352" s="42" t="s">
        <v>117</v>
      </c>
    </row>
    <row r="353" spans="1:13" x14ac:dyDescent="0.3">
      <c r="A353" s="37">
        <v>53</v>
      </c>
      <c r="B353" s="38" t="s">
        <v>160</v>
      </c>
      <c r="C353" s="39">
        <v>7896658011368</v>
      </c>
      <c r="D353" s="40" t="s">
        <v>86</v>
      </c>
      <c r="E353" s="40"/>
      <c r="F353" s="38">
        <v>591</v>
      </c>
      <c r="G353" s="38"/>
      <c r="H353" s="38" t="s">
        <v>130</v>
      </c>
      <c r="I353" s="38" t="s">
        <v>88</v>
      </c>
      <c r="J353" s="38">
        <v>4</v>
      </c>
      <c r="K353" s="41">
        <v>0.48</v>
      </c>
      <c r="L353" s="38" t="s">
        <v>114</v>
      </c>
      <c r="M353" s="42" t="s">
        <v>118</v>
      </c>
    </row>
    <row r="354" spans="1:13" x14ac:dyDescent="0.3">
      <c r="A354" s="37">
        <v>53</v>
      </c>
      <c r="B354" s="38" t="s">
        <v>160</v>
      </c>
      <c r="C354" s="39">
        <v>7896658011368</v>
      </c>
      <c r="D354" s="40" t="s">
        <v>86</v>
      </c>
      <c r="E354" s="40"/>
      <c r="F354" s="38">
        <v>591</v>
      </c>
      <c r="G354" s="38"/>
      <c r="H354" s="38" t="s">
        <v>130</v>
      </c>
      <c r="I354" s="38" t="s">
        <v>88</v>
      </c>
      <c r="J354" s="38">
        <v>4</v>
      </c>
      <c r="K354" s="41">
        <v>0.48</v>
      </c>
      <c r="L354" s="38" t="s">
        <v>114</v>
      </c>
      <c r="M354" s="42" t="s">
        <v>119</v>
      </c>
    </row>
    <row r="355" spans="1:13" x14ac:dyDescent="0.3">
      <c r="A355" s="37">
        <v>53</v>
      </c>
      <c r="B355" s="38" t="s">
        <v>160</v>
      </c>
      <c r="C355" s="39">
        <v>7896658011368</v>
      </c>
      <c r="D355" s="40" t="s">
        <v>86</v>
      </c>
      <c r="E355" s="40"/>
      <c r="F355" s="38">
        <v>591</v>
      </c>
      <c r="G355" s="38"/>
      <c r="H355" s="38" t="s">
        <v>130</v>
      </c>
      <c r="I355" s="38" t="s">
        <v>88</v>
      </c>
      <c r="J355" s="38">
        <v>4</v>
      </c>
      <c r="K355" s="41">
        <v>0.48</v>
      </c>
      <c r="L355" s="38" t="s">
        <v>114</v>
      </c>
      <c r="M355" s="42" t="s">
        <v>120</v>
      </c>
    </row>
    <row r="356" spans="1:13" x14ac:dyDescent="0.3">
      <c r="A356" s="37">
        <v>53</v>
      </c>
      <c r="B356" s="38" t="s">
        <v>160</v>
      </c>
      <c r="C356" s="39">
        <v>7896658011368</v>
      </c>
      <c r="D356" s="40" t="s">
        <v>86</v>
      </c>
      <c r="E356" s="40"/>
      <c r="F356" s="38">
        <v>591</v>
      </c>
      <c r="G356" s="38"/>
      <c r="H356" s="38" t="s">
        <v>130</v>
      </c>
      <c r="I356" s="38" t="s">
        <v>88</v>
      </c>
      <c r="J356" s="38">
        <v>4</v>
      </c>
      <c r="K356" s="41">
        <v>0.48</v>
      </c>
      <c r="L356" s="38" t="s">
        <v>114</v>
      </c>
      <c r="M356" s="42" t="s">
        <v>121</v>
      </c>
    </row>
    <row r="357" spans="1:13" x14ac:dyDescent="0.3">
      <c r="A357" s="37">
        <v>53</v>
      </c>
      <c r="B357" s="38" t="s">
        <v>160</v>
      </c>
      <c r="C357" s="39">
        <v>7896658011368</v>
      </c>
      <c r="D357" s="40" t="s">
        <v>86</v>
      </c>
      <c r="E357" s="40"/>
      <c r="F357" s="38">
        <v>591</v>
      </c>
      <c r="G357" s="38"/>
      <c r="H357" s="38" t="s">
        <v>130</v>
      </c>
      <c r="I357" s="38" t="s">
        <v>88</v>
      </c>
      <c r="J357" s="38">
        <v>4</v>
      </c>
      <c r="K357" s="41">
        <v>0.48</v>
      </c>
      <c r="L357" s="38" t="s">
        <v>114</v>
      </c>
      <c r="M357" s="42" t="s">
        <v>122</v>
      </c>
    </row>
    <row r="358" spans="1:13" x14ac:dyDescent="0.3">
      <c r="A358" s="37">
        <v>53</v>
      </c>
      <c r="B358" s="38" t="s">
        <v>160</v>
      </c>
      <c r="C358" s="39">
        <v>7896658011368</v>
      </c>
      <c r="D358" s="40" t="s">
        <v>86</v>
      </c>
      <c r="E358" s="40"/>
      <c r="F358" s="38">
        <v>591</v>
      </c>
      <c r="G358" s="38"/>
      <c r="H358" s="38" t="s">
        <v>130</v>
      </c>
      <c r="I358" s="38" t="s">
        <v>88</v>
      </c>
      <c r="J358" s="38">
        <v>4</v>
      </c>
      <c r="K358" s="41">
        <v>0.48</v>
      </c>
      <c r="L358" s="38" t="s">
        <v>114</v>
      </c>
      <c r="M358" s="42" t="s">
        <v>123</v>
      </c>
    </row>
    <row r="359" spans="1:13" x14ac:dyDescent="0.3">
      <c r="A359" s="37">
        <v>53</v>
      </c>
      <c r="B359" s="38" t="s">
        <v>160</v>
      </c>
      <c r="C359" s="39">
        <v>7896658011368</v>
      </c>
      <c r="D359" s="40" t="s">
        <v>86</v>
      </c>
      <c r="E359" s="40"/>
      <c r="F359" s="38">
        <v>591</v>
      </c>
      <c r="G359" s="38"/>
      <c r="H359" s="38" t="s">
        <v>130</v>
      </c>
      <c r="I359" s="38" t="s">
        <v>88</v>
      </c>
      <c r="J359" s="38">
        <v>4</v>
      </c>
      <c r="K359" s="41">
        <v>0.48</v>
      </c>
      <c r="L359" s="38" t="s">
        <v>114</v>
      </c>
      <c r="M359" s="42" t="s">
        <v>124</v>
      </c>
    </row>
    <row r="360" spans="1:13" x14ac:dyDescent="0.3">
      <c r="A360" s="37">
        <v>53</v>
      </c>
      <c r="B360" s="38" t="s">
        <v>160</v>
      </c>
      <c r="C360" s="39">
        <v>7896658011368</v>
      </c>
      <c r="D360" s="40" t="s">
        <v>86</v>
      </c>
      <c r="E360" s="40"/>
      <c r="F360" s="38">
        <v>591</v>
      </c>
      <c r="G360" s="38"/>
      <c r="H360" s="38" t="s">
        <v>130</v>
      </c>
      <c r="I360" s="38" t="s">
        <v>88</v>
      </c>
      <c r="J360" s="38">
        <v>4</v>
      </c>
      <c r="K360" s="41">
        <v>0.48</v>
      </c>
      <c r="L360" s="38" t="s">
        <v>114</v>
      </c>
      <c r="M360" s="42" t="s">
        <v>125</v>
      </c>
    </row>
    <row r="361" spans="1:13" x14ac:dyDescent="0.3">
      <c r="A361" s="37">
        <v>53</v>
      </c>
      <c r="B361" s="38" t="s">
        <v>160</v>
      </c>
      <c r="C361" s="39">
        <v>7896658011368</v>
      </c>
      <c r="D361" s="40" t="s">
        <v>86</v>
      </c>
      <c r="E361" s="40"/>
      <c r="F361" s="38">
        <v>591</v>
      </c>
      <c r="G361" s="38"/>
      <c r="H361" s="38" t="s">
        <v>130</v>
      </c>
      <c r="I361" s="38" t="s">
        <v>88</v>
      </c>
      <c r="J361" s="38">
        <v>4</v>
      </c>
      <c r="K361" s="41">
        <v>0.48</v>
      </c>
      <c r="L361" s="38" t="s">
        <v>114</v>
      </c>
      <c r="M361" s="42" t="s">
        <v>126</v>
      </c>
    </row>
    <row r="362" spans="1:13" x14ac:dyDescent="0.3">
      <c r="A362" s="37">
        <v>53</v>
      </c>
      <c r="B362" s="38" t="s">
        <v>160</v>
      </c>
      <c r="C362" s="39">
        <v>7896658011368</v>
      </c>
      <c r="D362" s="40" t="s">
        <v>86</v>
      </c>
      <c r="E362" s="40"/>
      <c r="F362" s="38">
        <v>591</v>
      </c>
      <c r="G362" s="38"/>
      <c r="H362" s="38" t="s">
        <v>130</v>
      </c>
      <c r="I362" s="38" t="s">
        <v>88</v>
      </c>
      <c r="J362" s="38">
        <v>4</v>
      </c>
      <c r="K362" s="41">
        <v>0.48</v>
      </c>
      <c r="L362" s="38" t="s">
        <v>127</v>
      </c>
      <c r="M362" s="42" t="s">
        <v>128</v>
      </c>
    </row>
    <row r="363" spans="1:13" x14ac:dyDescent="0.3">
      <c r="A363" s="37">
        <v>53</v>
      </c>
      <c r="B363" s="38" t="s">
        <v>160</v>
      </c>
      <c r="C363" s="39">
        <v>7896658011368</v>
      </c>
      <c r="D363" s="40" t="s">
        <v>86</v>
      </c>
      <c r="E363" s="40"/>
      <c r="F363" s="38">
        <v>591</v>
      </c>
      <c r="G363" s="38"/>
      <c r="H363" s="38" t="s">
        <v>130</v>
      </c>
      <c r="I363" s="38" t="s">
        <v>88</v>
      </c>
      <c r="J363" s="38">
        <v>4</v>
      </c>
      <c r="K363" s="41">
        <v>0.28999999999999998</v>
      </c>
      <c r="L363" s="38" t="s">
        <v>89</v>
      </c>
      <c r="M363" s="42" t="s">
        <v>90</v>
      </c>
    </row>
    <row r="364" spans="1:13" x14ac:dyDescent="0.3">
      <c r="A364" s="37">
        <v>53</v>
      </c>
      <c r="B364" s="38" t="s">
        <v>161</v>
      </c>
      <c r="C364" s="39">
        <v>7896658013195</v>
      </c>
      <c r="D364" s="40" t="s">
        <v>86</v>
      </c>
      <c r="E364" s="40"/>
      <c r="F364" s="38">
        <v>924</v>
      </c>
      <c r="G364" s="38"/>
      <c r="H364" s="38" t="s">
        <v>162</v>
      </c>
      <c r="I364" s="38" t="s">
        <v>88</v>
      </c>
      <c r="J364" s="38">
        <v>3</v>
      </c>
      <c r="K364" s="41">
        <v>0.1</v>
      </c>
      <c r="L364" s="38" t="s">
        <v>89</v>
      </c>
      <c r="M364" s="42" t="s">
        <v>90</v>
      </c>
    </row>
    <row r="365" spans="1:13" x14ac:dyDescent="0.3">
      <c r="A365" s="37">
        <v>53</v>
      </c>
      <c r="B365" s="38" t="s">
        <v>163</v>
      </c>
      <c r="C365" s="39">
        <v>7896658013249</v>
      </c>
      <c r="D365" s="40" t="s">
        <v>86</v>
      </c>
      <c r="E365" s="40"/>
      <c r="F365" s="38">
        <v>920</v>
      </c>
      <c r="G365" s="38"/>
      <c r="H365" s="38" t="s">
        <v>164</v>
      </c>
      <c r="I365" s="38" t="s">
        <v>88</v>
      </c>
      <c r="J365" s="38">
        <v>3</v>
      </c>
      <c r="K365" s="41">
        <v>0.1</v>
      </c>
      <c r="L365" s="38" t="s">
        <v>89</v>
      </c>
      <c r="M365" s="42" t="s">
        <v>90</v>
      </c>
    </row>
    <row r="366" spans="1:13" x14ac:dyDescent="0.3">
      <c r="A366" s="37">
        <v>53</v>
      </c>
      <c r="B366" s="38" t="s">
        <v>165</v>
      </c>
      <c r="C366" s="39">
        <v>7896658013263</v>
      </c>
      <c r="D366" s="40" t="s">
        <v>86</v>
      </c>
      <c r="E366" s="40"/>
      <c r="F366" s="38">
        <v>921</v>
      </c>
      <c r="G366" s="38"/>
      <c r="H366" s="38" t="s">
        <v>166</v>
      </c>
      <c r="I366" s="38" t="s">
        <v>88</v>
      </c>
      <c r="J366" s="38">
        <v>3</v>
      </c>
      <c r="K366" s="41">
        <v>0.2</v>
      </c>
      <c r="L366" s="38" t="s">
        <v>89</v>
      </c>
      <c r="M366" s="42" t="s">
        <v>90</v>
      </c>
    </row>
    <row r="367" spans="1:13" x14ac:dyDescent="0.3">
      <c r="A367" s="37">
        <v>53</v>
      </c>
      <c r="B367" s="38" t="s">
        <v>167</v>
      </c>
      <c r="C367" s="39">
        <v>7896658013331</v>
      </c>
      <c r="D367" s="40" t="s">
        <v>86</v>
      </c>
      <c r="E367" s="40"/>
      <c r="F367" s="38">
        <v>925</v>
      </c>
      <c r="G367" s="38"/>
      <c r="H367" s="38" t="s">
        <v>168</v>
      </c>
      <c r="I367" s="38" t="s">
        <v>88</v>
      </c>
      <c r="J367" s="38">
        <v>3</v>
      </c>
      <c r="K367" s="41">
        <v>0.1</v>
      </c>
      <c r="L367" s="38" t="s">
        <v>89</v>
      </c>
      <c r="M367" s="42" t="s">
        <v>90</v>
      </c>
    </row>
    <row r="368" spans="1:13" x14ac:dyDescent="0.3">
      <c r="A368" s="37">
        <v>53</v>
      </c>
      <c r="B368" s="38" t="s">
        <v>169</v>
      </c>
      <c r="C368" s="39">
        <v>7896658016837</v>
      </c>
      <c r="D368" s="40" t="s">
        <v>86</v>
      </c>
      <c r="E368" s="40"/>
      <c r="F368" s="38">
        <v>285</v>
      </c>
      <c r="G368" s="38"/>
      <c r="H368" s="38" t="s">
        <v>170</v>
      </c>
      <c r="I368" s="38" t="s">
        <v>102</v>
      </c>
      <c r="J368" s="38">
        <v>1</v>
      </c>
      <c r="K368" s="41">
        <v>0.56000000000000005</v>
      </c>
      <c r="L368" s="38" t="s">
        <v>89</v>
      </c>
      <c r="M368" s="42" t="s">
        <v>90</v>
      </c>
    </row>
    <row r="369" spans="1:13" x14ac:dyDescent="0.3">
      <c r="A369" s="37">
        <v>53</v>
      </c>
      <c r="B369" s="38" t="s">
        <v>169</v>
      </c>
      <c r="C369" s="39">
        <v>7896658016837</v>
      </c>
      <c r="D369" s="40" t="s">
        <v>86</v>
      </c>
      <c r="E369" s="40"/>
      <c r="F369" s="38">
        <v>966</v>
      </c>
      <c r="G369" s="38"/>
      <c r="H369" s="38" t="s">
        <v>171</v>
      </c>
      <c r="I369" s="38" t="s">
        <v>102</v>
      </c>
      <c r="J369" s="38">
        <v>1</v>
      </c>
      <c r="K369" s="41">
        <v>0.56000000000000005</v>
      </c>
      <c r="L369" s="38" t="s">
        <v>89</v>
      </c>
      <c r="M369" s="42" t="s">
        <v>90</v>
      </c>
    </row>
    <row r="370" spans="1:13" x14ac:dyDescent="0.3">
      <c r="A370" s="37">
        <v>53</v>
      </c>
      <c r="B370" s="38" t="s">
        <v>172</v>
      </c>
      <c r="C370" s="39">
        <v>7896658016844</v>
      </c>
      <c r="D370" s="40" t="s">
        <v>86</v>
      </c>
      <c r="E370" s="40"/>
      <c r="F370" s="38">
        <v>285</v>
      </c>
      <c r="G370" s="38"/>
      <c r="H370" s="38" t="s">
        <v>170</v>
      </c>
      <c r="I370" s="38" t="s">
        <v>102</v>
      </c>
      <c r="J370" s="38">
        <v>1</v>
      </c>
      <c r="K370" s="41">
        <v>0.56000000000000005</v>
      </c>
      <c r="L370" s="38" t="s">
        <v>89</v>
      </c>
      <c r="M370" s="42" t="s">
        <v>90</v>
      </c>
    </row>
    <row r="371" spans="1:13" x14ac:dyDescent="0.3">
      <c r="A371" s="37">
        <v>53</v>
      </c>
      <c r="B371" s="38" t="s">
        <v>172</v>
      </c>
      <c r="C371" s="39">
        <v>7896658016844</v>
      </c>
      <c r="D371" s="40" t="s">
        <v>86</v>
      </c>
      <c r="E371" s="40"/>
      <c r="F371" s="38">
        <v>966</v>
      </c>
      <c r="G371" s="38"/>
      <c r="H371" s="38" t="s">
        <v>171</v>
      </c>
      <c r="I371" s="38" t="s">
        <v>102</v>
      </c>
      <c r="J371" s="38">
        <v>1</v>
      </c>
      <c r="K371" s="41">
        <v>0.56000000000000005</v>
      </c>
      <c r="L371" s="38" t="s">
        <v>89</v>
      </c>
      <c r="M371" s="42" t="s">
        <v>90</v>
      </c>
    </row>
    <row r="372" spans="1:13" x14ac:dyDescent="0.3">
      <c r="A372" s="37">
        <v>53</v>
      </c>
      <c r="B372" s="38" t="s">
        <v>173</v>
      </c>
      <c r="C372" s="39">
        <v>7896658017247</v>
      </c>
      <c r="D372" s="40" t="s">
        <v>86</v>
      </c>
      <c r="E372" s="40"/>
      <c r="F372" s="38">
        <v>54</v>
      </c>
      <c r="G372" s="38"/>
      <c r="H372" s="38" t="s">
        <v>174</v>
      </c>
      <c r="I372" s="38" t="s">
        <v>88</v>
      </c>
      <c r="J372" s="38">
        <v>3</v>
      </c>
      <c r="K372" s="41">
        <v>0.5</v>
      </c>
      <c r="L372" s="38" t="s">
        <v>89</v>
      </c>
      <c r="M372" s="42" t="s">
        <v>90</v>
      </c>
    </row>
    <row r="373" spans="1:13" x14ac:dyDescent="0.3">
      <c r="A373" s="37">
        <v>53</v>
      </c>
      <c r="B373" s="38" t="s">
        <v>173</v>
      </c>
      <c r="C373" s="39">
        <v>7896658017247</v>
      </c>
      <c r="D373" s="40" t="s">
        <v>86</v>
      </c>
      <c r="E373" s="40"/>
      <c r="F373" s="38">
        <v>203</v>
      </c>
      <c r="G373" s="38"/>
      <c r="H373" s="38" t="s">
        <v>174</v>
      </c>
      <c r="I373" s="38" t="s">
        <v>88</v>
      </c>
      <c r="J373" s="38">
        <v>3</v>
      </c>
      <c r="K373" s="41">
        <v>0.5</v>
      </c>
      <c r="L373" s="38" t="s">
        <v>89</v>
      </c>
      <c r="M373" s="42" t="s">
        <v>90</v>
      </c>
    </row>
    <row r="374" spans="1:13" x14ac:dyDescent="0.3">
      <c r="A374" s="37">
        <v>53</v>
      </c>
      <c r="B374" s="38" t="s">
        <v>175</v>
      </c>
      <c r="C374" s="39">
        <v>7896658018084</v>
      </c>
      <c r="D374" s="40" t="s">
        <v>86</v>
      </c>
      <c r="E374" s="40"/>
      <c r="F374" s="38">
        <v>286</v>
      </c>
      <c r="G374" s="38"/>
      <c r="H374" s="38" t="s">
        <v>149</v>
      </c>
      <c r="I374" s="38" t="s">
        <v>150</v>
      </c>
      <c r="J374" s="38">
        <v>2</v>
      </c>
      <c r="K374" s="41" t="s">
        <v>151</v>
      </c>
      <c r="L374" s="38" t="s">
        <v>114</v>
      </c>
      <c r="M374" s="42" t="s">
        <v>90</v>
      </c>
    </row>
    <row r="375" spans="1:13" x14ac:dyDescent="0.3">
      <c r="A375" s="37">
        <v>53</v>
      </c>
      <c r="B375" s="38" t="s">
        <v>175</v>
      </c>
      <c r="C375" s="39">
        <v>7896658018084</v>
      </c>
      <c r="D375" s="40" t="s">
        <v>86</v>
      </c>
      <c r="E375" s="40"/>
      <c r="F375" s="38">
        <v>286</v>
      </c>
      <c r="G375" s="38"/>
      <c r="H375" s="38" t="s">
        <v>149</v>
      </c>
      <c r="I375" s="38" t="s">
        <v>150</v>
      </c>
      <c r="J375" s="38">
        <v>2</v>
      </c>
      <c r="K375" s="41" t="s">
        <v>151</v>
      </c>
      <c r="L375" s="38" t="s">
        <v>152</v>
      </c>
      <c r="M375" s="42" t="s">
        <v>90</v>
      </c>
    </row>
    <row r="376" spans="1:13" x14ac:dyDescent="0.3">
      <c r="A376" s="37">
        <v>53</v>
      </c>
      <c r="B376" s="38" t="s">
        <v>175</v>
      </c>
      <c r="C376" s="39">
        <v>7896658018084</v>
      </c>
      <c r="D376" s="40" t="s">
        <v>86</v>
      </c>
      <c r="E376" s="40"/>
      <c r="F376" s="38">
        <v>286</v>
      </c>
      <c r="G376" s="38"/>
      <c r="H376" s="38" t="s">
        <v>149</v>
      </c>
      <c r="I376" s="38" t="s">
        <v>150</v>
      </c>
      <c r="J376" s="38">
        <v>2</v>
      </c>
      <c r="K376" s="41">
        <v>0</v>
      </c>
      <c r="L376" s="38" t="s">
        <v>89</v>
      </c>
      <c r="M376" s="42" t="s">
        <v>90</v>
      </c>
    </row>
    <row r="377" spans="1:13" x14ac:dyDescent="0.3">
      <c r="A377" s="37">
        <v>53</v>
      </c>
      <c r="B377" s="38" t="s">
        <v>175</v>
      </c>
      <c r="C377" s="39">
        <v>7896658018084</v>
      </c>
      <c r="D377" s="40" t="s">
        <v>86</v>
      </c>
      <c r="E377" s="40"/>
      <c r="F377" s="38">
        <v>871</v>
      </c>
      <c r="G377" s="38"/>
      <c r="H377" s="38" t="s">
        <v>176</v>
      </c>
      <c r="I377" s="38" t="s">
        <v>154</v>
      </c>
      <c r="J377" s="38">
        <v>3</v>
      </c>
      <c r="K377" s="41" t="s">
        <v>155</v>
      </c>
      <c r="L377" s="38" t="s">
        <v>89</v>
      </c>
      <c r="M377" s="42" t="s">
        <v>90</v>
      </c>
    </row>
    <row r="378" spans="1:13" x14ac:dyDescent="0.3">
      <c r="A378" s="37">
        <v>53</v>
      </c>
      <c r="B378" s="38" t="s">
        <v>175</v>
      </c>
      <c r="C378" s="39">
        <v>7896658018084</v>
      </c>
      <c r="D378" s="40" t="s">
        <v>86</v>
      </c>
      <c r="E378" s="40"/>
      <c r="F378" s="38">
        <v>876</v>
      </c>
      <c r="G378" s="38"/>
      <c r="H378" s="38" t="s">
        <v>177</v>
      </c>
      <c r="I378" s="38" t="s">
        <v>154</v>
      </c>
      <c r="J378" s="38">
        <v>3</v>
      </c>
      <c r="K378" s="41" t="s">
        <v>155</v>
      </c>
      <c r="L378" s="38" t="s">
        <v>89</v>
      </c>
      <c r="M378" s="42" t="s">
        <v>90</v>
      </c>
    </row>
    <row r="379" spans="1:13" x14ac:dyDescent="0.3">
      <c r="A379" s="37">
        <v>53</v>
      </c>
      <c r="B379" s="38" t="s">
        <v>178</v>
      </c>
      <c r="C379" s="39">
        <v>7896658018091</v>
      </c>
      <c r="D379" s="40" t="s">
        <v>86</v>
      </c>
      <c r="E379" s="40"/>
      <c r="F379" s="38">
        <v>286</v>
      </c>
      <c r="G379" s="38"/>
      <c r="H379" s="38" t="s">
        <v>149</v>
      </c>
      <c r="I379" s="38" t="s">
        <v>150</v>
      </c>
      <c r="J379" s="38">
        <v>2</v>
      </c>
      <c r="K379" s="41" t="s">
        <v>151</v>
      </c>
      <c r="L379" s="38" t="s">
        <v>114</v>
      </c>
      <c r="M379" s="42" t="s">
        <v>90</v>
      </c>
    </row>
    <row r="380" spans="1:13" x14ac:dyDescent="0.3">
      <c r="A380" s="37">
        <v>53</v>
      </c>
      <c r="B380" s="38" t="s">
        <v>178</v>
      </c>
      <c r="C380" s="39">
        <v>7896658018091</v>
      </c>
      <c r="D380" s="40" t="s">
        <v>86</v>
      </c>
      <c r="E380" s="40"/>
      <c r="F380" s="38">
        <v>286</v>
      </c>
      <c r="G380" s="38"/>
      <c r="H380" s="38" t="s">
        <v>149</v>
      </c>
      <c r="I380" s="38" t="s">
        <v>150</v>
      </c>
      <c r="J380" s="38">
        <v>2</v>
      </c>
      <c r="K380" s="41" t="s">
        <v>151</v>
      </c>
      <c r="L380" s="38" t="s">
        <v>152</v>
      </c>
      <c r="M380" s="42" t="s">
        <v>90</v>
      </c>
    </row>
    <row r="381" spans="1:13" x14ac:dyDescent="0.3">
      <c r="A381" s="37">
        <v>53</v>
      </c>
      <c r="B381" s="38" t="s">
        <v>178</v>
      </c>
      <c r="C381" s="39">
        <v>7896658018091</v>
      </c>
      <c r="D381" s="40" t="s">
        <v>86</v>
      </c>
      <c r="E381" s="40"/>
      <c r="F381" s="38">
        <v>286</v>
      </c>
      <c r="G381" s="38"/>
      <c r="H381" s="38" t="s">
        <v>149</v>
      </c>
      <c r="I381" s="38" t="s">
        <v>150</v>
      </c>
      <c r="J381" s="38">
        <v>2</v>
      </c>
      <c r="K381" s="41">
        <v>0</v>
      </c>
      <c r="L381" s="38" t="s">
        <v>89</v>
      </c>
      <c r="M381" s="42" t="s">
        <v>90</v>
      </c>
    </row>
    <row r="382" spans="1:13" x14ac:dyDescent="0.3">
      <c r="A382" s="37">
        <v>53</v>
      </c>
      <c r="B382" s="38" t="s">
        <v>179</v>
      </c>
      <c r="C382" s="39">
        <v>7896658018121</v>
      </c>
      <c r="D382" s="40" t="s">
        <v>86</v>
      </c>
      <c r="E382" s="40"/>
      <c r="F382" s="38">
        <v>286</v>
      </c>
      <c r="G382" s="38"/>
      <c r="H382" s="38" t="s">
        <v>149</v>
      </c>
      <c r="I382" s="38" t="s">
        <v>150</v>
      </c>
      <c r="J382" s="38">
        <v>2</v>
      </c>
      <c r="K382" s="41" t="s">
        <v>151</v>
      </c>
      <c r="L382" s="38" t="s">
        <v>114</v>
      </c>
      <c r="M382" s="42" t="s">
        <v>90</v>
      </c>
    </row>
    <row r="383" spans="1:13" x14ac:dyDescent="0.3">
      <c r="A383" s="37">
        <v>53</v>
      </c>
      <c r="B383" s="38" t="s">
        <v>179</v>
      </c>
      <c r="C383" s="39">
        <v>7896658018121</v>
      </c>
      <c r="D383" s="40" t="s">
        <v>86</v>
      </c>
      <c r="E383" s="40"/>
      <c r="F383" s="38">
        <v>286</v>
      </c>
      <c r="G383" s="38"/>
      <c r="H383" s="38" t="s">
        <v>149</v>
      </c>
      <c r="I383" s="38" t="s">
        <v>150</v>
      </c>
      <c r="J383" s="38">
        <v>2</v>
      </c>
      <c r="K383" s="41" t="s">
        <v>151</v>
      </c>
      <c r="L383" s="38" t="s">
        <v>152</v>
      </c>
      <c r="M383" s="42" t="s">
        <v>90</v>
      </c>
    </row>
    <row r="384" spans="1:13" x14ac:dyDescent="0.3">
      <c r="A384" s="37">
        <v>53</v>
      </c>
      <c r="B384" s="38" t="s">
        <v>179</v>
      </c>
      <c r="C384" s="39">
        <v>7896658018121</v>
      </c>
      <c r="D384" s="40" t="s">
        <v>86</v>
      </c>
      <c r="E384" s="40"/>
      <c r="F384" s="38">
        <v>286</v>
      </c>
      <c r="G384" s="38"/>
      <c r="H384" s="38" t="s">
        <v>149</v>
      </c>
      <c r="I384" s="38" t="s">
        <v>150</v>
      </c>
      <c r="J384" s="38">
        <v>2</v>
      </c>
      <c r="K384" s="41">
        <v>0</v>
      </c>
      <c r="L384" s="38" t="s">
        <v>89</v>
      </c>
      <c r="M384" s="42" t="s">
        <v>90</v>
      </c>
    </row>
    <row r="385" spans="1:13" x14ac:dyDescent="0.3">
      <c r="A385" s="37">
        <v>53</v>
      </c>
      <c r="B385" s="38" t="s">
        <v>179</v>
      </c>
      <c r="C385" s="39">
        <v>7896658018121</v>
      </c>
      <c r="D385" s="40" t="s">
        <v>86</v>
      </c>
      <c r="E385" s="40"/>
      <c r="F385" s="38">
        <v>872</v>
      </c>
      <c r="G385" s="38"/>
      <c r="H385" s="38" t="s">
        <v>180</v>
      </c>
      <c r="I385" s="38" t="s">
        <v>154</v>
      </c>
      <c r="J385" s="38">
        <v>3</v>
      </c>
      <c r="K385" s="41" t="s">
        <v>155</v>
      </c>
      <c r="L385" s="38" t="s">
        <v>89</v>
      </c>
      <c r="M385" s="42" t="s">
        <v>90</v>
      </c>
    </row>
    <row r="386" spans="1:13" x14ac:dyDescent="0.3">
      <c r="A386" s="37">
        <v>53</v>
      </c>
      <c r="B386" s="38" t="s">
        <v>179</v>
      </c>
      <c r="C386" s="39">
        <v>7896658018121</v>
      </c>
      <c r="D386" s="40" t="s">
        <v>86</v>
      </c>
      <c r="E386" s="40"/>
      <c r="F386" s="38">
        <v>877</v>
      </c>
      <c r="G386" s="38"/>
      <c r="H386" s="38" t="s">
        <v>181</v>
      </c>
      <c r="I386" s="38" t="s">
        <v>154</v>
      </c>
      <c r="J386" s="38">
        <v>3</v>
      </c>
      <c r="K386" s="41" t="s">
        <v>155</v>
      </c>
      <c r="L386" s="38" t="s">
        <v>89</v>
      </c>
      <c r="M386" s="42" t="s">
        <v>90</v>
      </c>
    </row>
    <row r="387" spans="1:13" x14ac:dyDescent="0.3">
      <c r="A387" s="37">
        <v>53</v>
      </c>
      <c r="B387" s="38" t="s">
        <v>182</v>
      </c>
      <c r="C387" s="39">
        <v>7896658019036</v>
      </c>
      <c r="D387" s="40" t="s">
        <v>86</v>
      </c>
      <c r="E387" s="40"/>
      <c r="F387" s="38">
        <v>51</v>
      </c>
      <c r="G387" s="38"/>
      <c r="H387" s="38" t="s">
        <v>183</v>
      </c>
      <c r="I387" s="38" t="s">
        <v>88</v>
      </c>
      <c r="J387" s="38">
        <v>3</v>
      </c>
      <c r="K387" s="41">
        <v>0.37</v>
      </c>
      <c r="L387" s="38" t="s">
        <v>94</v>
      </c>
      <c r="M387" s="42" t="s">
        <v>90</v>
      </c>
    </row>
    <row r="388" spans="1:13" x14ac:dyDescent="0.3">
      <c r="A388" s="37">
        <v>53</v>
      </c>
      <c r="B388" s="38" t="s">
        <v>182</v>
      </c>
      <c r="C388" s="39">
        <v>7896658019036</v>
      </c>
      <c r="D388" s="40" t="s">
        <v>86</v>
      </c>
      <c r="E388" s="40"/>
      <c r="F388" s="38">
        <v>51</v>
      </c>
      <c r="G388" s="38"/>
      <c r="H388" s="38" t="s">
        <v>183</v>
      </c>
      <c r="I388" s="38" t="s">
        <v>88</v>
      </c>
      <c r="J388" s="38">
        <v>3</v>
      </c>
      <c r="K388" s="41">
        <v>0.36</v>
      </c>
      <c r="L388" s="38" t="s">
        <v>95</v>
      </c>
      <c r="M388" s="42" t="s">
        <v>90</v>
      </c>
    </row>
    <row r="389" spans="1:13" x14ac:dyDescent="0.3">
      <c r="A389" s="37">
        <v>53</v>
      </c>
      <c r="B389" s="38" t="s">
        <v>182</v>
      </c>
      <c r="C389" s="39">
        <v>7896658019036</v>
      </c>
      <c r="D389" s="40" t="s">
        <v>86</v>
      </c>
      <c r="E389" s="40"/>
      <c r="F389" s="38">
        <v>51</v>
      </c>
      <c r="G389" s="38"/>
      <c r="H389" s="38" t="s">
        <v>183</v>
      </c>
      <c r="I389" s="38" t="s">
        <v>88</v>
      </c>
      <c r="J389" s="38">
        <v>3</v>
      </c>
      <c r="K389" s="41">
        <v>0.43</v>
      </c>
      <c r="L389" s="38" t="s">
        <v>89</v>
      </c>
      <c r="M389" s="42" t="s">
        <v>90</v>
      </c>
    </row>
    <row r="390" spans="1:13" x14ac:dyDescent="0.3">
      <c r="A390" s="37">
        <v>53</v>
      </c>
      <c r="B390" s="38" t="s">
        <v>182</v>
      </c>
      <c r="C390" s="39">
        <v>7896658019036</v>
      </c>
      <c r="D390" s="40" t="s">
        <v>86</v>
      </c>
      <c r="E390" s="40"/>
      <c r="F390" s="38">
        <v>202</v>
      </c>
      <c r="G390" s="38"/>
      <c r="H390" s="38" t="s">
        <v>183</v>
      </c>
      <c r="I390" s="38" t="s">
        <v>88</v>
      </c>
      <c r="J390" s="38">
        <v>3</v>
      </c>
      <c r="K390" s="41">
        <v>0.37</v>
      </c>
      <c r="L390" s="38" t="s">
        <v>94</v>
      </c>
      <c r="M390" s="42" t="s">
        <v>90</v>
      </c>
    </row>
    <row r="391" spans="1:13" x14ac:dyDescent="0.3">
      <c r="A391" s="37">
        <v>53</v>
      </c>
      <c r="B391" s="38" t="s">
        <v>182</v>
      </c>
      <c r="C391" s="39">
        <v>7896658019036</v>
      </c>
      <c r="D391" s="40" t="s">
        <v>86</v>
      </c>
      <c r="E391" s="40"/>
      <c r="F391" s="38">
        <v>202</v>
      </c>
      <c r="G391" s="38"/>
      <c r="H391" s="38" t="s">
        <v>183</v>
      </c>
      <c r="I391" s="38" t="s">
        <v>88</v>
      </c>
      <c r="J391" s="38">
        <v>3</v>
      </c>
      <c r="K391" s="41">
        <v>0.36</v>
      </c>
      <c r="L391" s="38" t="s">
        <v>95</v>
      </c>
      <c r="M391" s="42" t="s">
        <v>90</v>
      </c>
    </row>
    <row r="392" spans="1:13" x14ac:dyDescent="0.3">
      <c r="A392" s="37">
        <v>53</v>
      </c>
      <c r="B392" s="38" t="s">
        <v>182</v>
      </c>
      <c r="C392" s="39">
        <v>7896658019036</v>
      </c>
      <c r="D392" s="40" t="s">
        <v>86</v>
      </c>
      <c r="E392" s="40"/>
      <c r="F392" s="38">
        <v>202</v>
      </c>
      <c r="G392" s="38"/>
      <c r="H392" s="38" t="s">
        <v>183</v>
      </c>
      <c r="I392" s="38" t="s">
        <v>88</v>
      </c>
      <c r="J392" s="38">
        <v>3</v>
      </c>
      <c r="K392" s="41">
        <v>0.43</v>
      </c>
      <c r="L392" s="38" t="s">
        <v>89</v>
      </c>
      <c r="M392" s="42" t="s">
        <v>90</v>
      </c>
    </row>
    <row r="393" spans="1:13" x14ac:dyDescent="0.3">
      <c r="A393" s="37">
        <v>53</v>
      </c>
      <c r="B393" s="38" t="s">
        <v>184</v>
      </c>
      <c r="C393" s="39">
        <v>7896658020049</v>
      </c>
      <c r="D393" s="40" t="s">
        <v>86</v>
      </c>
      <c r="E393" s="40"/>
      <c r="F393" s="38">
        <v>926</v>
      </c>
      <c r="G393" s="38"/>
      <c r="H393" s="38" t="s">
        <v>185</v>
      </c>
      <c r="I393" s="38" t="s">
        <v>88</v>
      </c>
      <c r="J393" s="38">
        <v>3</v>
      </c>
      <c r="K393" s="41">
        <v>0.1</v>
      </c>
      <c r="L393" s="38" t="s">
        <v>89</v>
      </c>
      <c r="M393" s="42" t="s">
        <v>90</v>
      </c>
    </row>
    <row r="394" spans="1:13" x14ac:dyDescent="0.3">
      <c r="A394" s="37">
        <v>53</v>
      </c>
      <c r="B394" s="38" t="s">
        <v>186</v>
      </c>
      <c r="C394" s="39">
        <v>7896658020575</v>
      </c>
      <c r="D394" s="40" t="s">
        <v>86</v>
      </c>
      <c r="E394" s="40"/>
      <c r="F394" s="38">
        <v>286</v>
      </c>
      <c r="G394" s="38"/>
      <c r="H394" s="38" t="s">
        <v>149</v>
      </c>
      <c r="I394" s="38" t="s">
        <v>150</v>
      </c>
      <c r="J394" s="38">
        <v>2</v>
      </c>
      <c r="K394" s="41" t="s">
        <v>151</v>
      </c>
      <c r="L394" s="38" t="s">
        <v>114</v>
      </c>
      <c r="M394" s="42" t="s">
        <v>90</v>
      </c>
    </row>
    <row r="395" spans="1:13" x14ac:dyDescent="0.3">
      <c r="A395" s="37">
        <v>53</v>
      </c>
      <c r="B395" s="38" t="s">
        <v>186</v>
      </c>
      <c r="C395" s="39">
        <v>7896658020575</v>
      </c>
      <c r="D395" s="40" t="s">
        <v>86</v>
      </c>
      <c r="E395" s="40"/>
      <c r="F395" s="38">
        <v>286</v>
      </c>
      <c r="G395" s="38"/>
      <c r="H395" s="38" t="s">
        <v>149</v>
      </c>
      <c r="I395" s="38" t="s">
        <v>150</v>
      </c>
      <c r="J395" s="38">
        <v>2</v>
      </c>
      <c r="K395" s="41" t="s">
        <v>151</v>
      </c>
      <c r="L395" s="38" t="s">
        <v>152</v>
      </c>
      <c r="M395" s="42" t="s">
        <v>90</v>
      </c>
    </row>
    <row r="396" spans="1:13" x14ac:dyDescent="0.3">
      <c r="A396" s="37">
        <v>53</v>
      </c>
      <c r="B396" s="38" t="s">
        <v>186</v>
      </c>
      <c r="C396" s="39">
        <v>7896658020575</v>
      </c>
      <c r="D396" s="40" t="s">
        <v>86</v>
      </c>
      <c r="E396" s="40"/>
      <c r="F396" s="38">
        <v>286</v>
      </c>
      <c r="G396" s="38"/>
      <c r="H396" s="38" t="s">
        <v>149</v>
      </c>
      <c r="I396" s="38" t="s">
        <v>150</v>
      </c>
      <c r="J396" s="38">
        <v>2</v>
      </c>
      <c r="K396" s="41">
        <v>0</v>
      </c>
      <c r="L396" s="38" t="s">
        <v>89</v>
      </c>
      <c r="M396" s="42" t="s">
        <v>90</v>
      </c>
    </row>
    <row r="397" spans="1:13" x14ac:dyDescent="0.3">
      <c r="A397" s="37">
        <v>53</v>
      </c>
      <c r="B397" s="38" t="s">
        <v>186</v>
      </c>
      <c r="C397" s="39">
        <v>7896658020575</v>
      </c>
      <c r="D397" s="40" t="s">
        <v>86</v>
      </c>
      <c r="E397" s="40"/>
      <c r="F397" s="38">
        <v>873</v>
      </c>
      <c r="G397" s="38"/>
      <c r="H397" s="38" t="s">
        <v>187</v>
      </c>
      <c r="I397" s="38" t="s">
        <v>154</v>
      </c>
      <c r="J397" s="38">
        <v>3</v>
      </c>
      <c r="K397" s="41" t="s">
        <v>155</v>
      </c>
      <c r="L397" s="38" t="s">
        <v>89</v>
      </c>
      <c r="M397" s="42" t="s">
        <v>90</v>
      </c>
    </row>
    <row r="398" spans="1:13" x14ac:dyDescent="0.3">
      <c r="A398" s="37">
        <v>53</v>
      </c>
      <c r="B398" s="38" t="s">
        <v>186</v>
      </c>
      <c r="C398" s="39">
        <v>7896658020575</v>
      </c>
      <c r="D398" s="40" t="s">
        <v>86</v>
      </c>
      <c r="E398" s="40"/>
      <c r="F398" s="38">
        <v>878</v>
      </c>
      <c r="G398" s="38"/>
      <c r="H398" s="38" t="s">
        <v>188</v>
      </c>
      <c r="I398" s="38" t="s">
        <v>154</v>
      </c>
      <c r="J398" s="38">
        <v>3</v>
      </c>
      <c r="K398" s="41" t="s">
        <v>155</v>
      </c>
      <c r="L398" s="38" t="s">
        <v>89</v>
      </c>
      <c r="M398" s="42" t="s">
        <v>90</v>
      </c>
    </row>
    <row r="399" spans="1:13" x14ac:dyDescent="0.3">
      <c r="A399" s="37">
        <v>53</v>
      </c>
      <c r="B399" s="38" t="s">
        <v>189</v>
      </c>
      <c r="C399" s="39">
        <v>7896658020582</v>
      </c>
      <c r="D399" s="40" t="s">
        <v>86</v>
      </c>
      <c r="E399" s="40"/>
      <c r="F399" s="38">
        <v>286</v>
      </c>
      <c r="G399" s="38"/>
      <c r="H399" s="38" t="s">
        <v>149</v>
      </c>
      <c r="I399" s="38" t="s">
        <v>150</v>
      </c>
      <c r="J399" s="38">
        <v>2</v>
      </c>
      <c r="K399" s="41" t="s">
        <v>151</v>
      </c>
      <c r="L399" s="38" t="s">
        <v>114</v>
      </c>
      <c r="M399" s="42" t="s">
        <v>90</v>
      </c>
    </row>
    <row r="400" spans="1:13" x14ac:dyDescent="0.3">
      <c r="A400" s="37">
        <v>53</v>
      </c>
      <c r="B400" s="38" t="s">
        <v>189</v>
      </c>
      <c r="C400" s="39">
        <v>7896658020582</v>
      </c>
      <c r="D400" s="40" t="s">
        <v>86</v>
      </c>
      <c r="E400" s="40"/>
      <c r="F400" s="38">
        <v>286</v>
      </c>
      <c r="G400" s="38"/>
      <c r="H400" s="38" t="s">
        <v>149</v>
      </c>
      <c r="I400" s="38" t="s">
        <v>150</v>
      </c>
      <c r="J400" s="38">
        <v>2</v>
      </c>
      <c r="K400" s="41" t="s">
        <v>151</v>
      </c>
      <c r="L400" s="38" t="s">
        <v>152</v>
      </c>
      <c r="M400" s="42" t="s">
        <v>90</v>
      </c>
    </row>
    <row r="401" spans="1:13" x14ac:dyDescent="0.3">
      <c r="A401" s="37">
        <v>53</v>
      </c>
      <c r="B401" s="38" t="s">
        <v>189</v>
      </c>
      <c r="C401" s="39">
        <v>7896658020582</v>
      </c>
      <c r="D401" s="40" t="s">
        <v>86</v>
      </c>
      <c r="E401" s="40"/>
      <c r="F401" s="38">
        <v>286</v>
      </c>
      <c r="G401" s="38"/>
      <c r="H401" s="38" t="s">
        <v>149</v>
      </c>
      <c r="I401" s="38" t="s">
        <v>150</v>
      </c>
      <c r="J401" s="38">
        <v>2</v>
      </c>
      <c r="K401" s="41">
        <v>0</v>
      </c>
      <c r="L401" s="38" t="s">
        <v>89</v>
      </c>
      <c r="M401" s="42" t="s">
        <v>90</v>
      </c>
    </row>
    <row r="402" spans="1:13" x14ac:dyDescent="0.3">
      <c r="A402" s="37">
        <v>53</v>
      </c>
      <c r="B402" s="38" t="s">
        <v>190</v>
      </c>
      <c r="C402" s="39">
        <v>7896658020988</v>
      </c>
      <c r="D402" s="40" t="s">
        <v>86</v>
      </c>
      <c r="E402" s="40"/>
      <c r="F402" s="38">
        <v>961</v>
      </c>
      <c r="G402" s="38"/>
      <c r="H402" s="38" t="s">
        <v>191</v>
      </c>
      <c r="I402" s="38" t="s">
        <v>88</v>
      </c>
      <c r="J402" s="38">
        <v>3</v>
      </c>
      <c r="K402" s="41">
        <v>0.2</v>
      </c>
      <c r="L402" s="38" t="s">
        <v>89</v>
      </c>
      <c r="M402" s="42" t="s">
        <v>90</v>
      </c>
    </row>
    <row r="403" spans="1:13" x14ac:dyDescent="0.3">
      <c r="A403" s="37">
        <v>53</v>
      </c>
      <c r="B403" s="38" t="s">
        <v>192</v>
      </c>
      <c r="C403" s="39">
        <v>7896658020995</v>
      </c>
      <c r="D403" s="40" t="s">
        <v>86</v>
      </c>
      <c r="E403" s="40"/>
      <c r="F403" s="38">
        <v>961</v>
      </c>
      <c r="G403" s="38"/>
      <c r="H403" s="38" t="s">
        <v>191</v>
      </c>
      <c r="I403" s="38" t="s">
        <v>88</v>
      </c>
      <c r="J403" s="38">
        <v>3</v>
      </c>
      <c r="K403" s="41">
        <v>0.35</v>
      </c>
      <c r="L403" s="38" t="s">
        <v>89</v>
      </c>
      <c r="M403" s="42" t="s">
        <v>90</v>
      </c>
    </row>
    <row r="404" spans="1:13" x14ac:dyDescent="0.3">
      <c r="A404" s="37">
        <v>53</v>
      </c>
      <c r="B404" s="38" t="s">
        <v>193</v>
      </c>
      <c r="C404" s="39">
        <v>7896658021268</v>
      </c>
      <c r="D404" s="40" t="s">
        <v>86</v>
      </c>
      <c r="E404" s="40"/>
      <c r="F404" s="38">
        <v>29</v>
      </c>
      <c r="G404" s="38"/>
      <c r="H404" s="38" t="s">
        <v>142</v>
      </c>
      <c r="I404" s="38" t="s">
        <v>88</v>
      </c>
      <c r="J404" s="38">
        <v>4</v>
      </c>
      <c r="K404" s="41">
        <v>0.26</v>
      </c>
      <c r="L404" s="38" t="s">
        <v>94</v>
      </c>
      <c r="M404" s="42" t="s">
        <v>90</v>
      </c>
    </row>
    <row r="405" spans="1:13" x14ac:dyDescent="0.3">
      <c r="A405" s="37">
        <v>53</v>
      </c>
      <c r="B405" s="38" t="s">
        <v>193</v>
      </c>
      <c r="C405" s="39">
        <v>7896658021268</v>
      </c>
      <c r="D405" s="40" t="s">
        <v>86</v>
      </c>
      <c r="E405" s="40"/>
      <c r="F405" s="38">
        <v>29</v>
      </c>
      <c r="G405" s="38"/>
      <c r="H405" s="38" t="s">
        <v>142</v>
      </c>
      <c r="I405" s="38" t="s">
        <v>88</v>
      </c>
      <c r="J405" s="38">
        <v>4</v>
      </c>
      <c r="K405" s="41">
        <v>0.26</v>
      </c>
      <c r="L405" s="38" t="s">
        <v>95</v>
      </c>
      <c r="M405" s="42" t="s">
        <v>90</v>
      </c>
    </row>
    <row r="406" spans="1:13" x14ac:dyDescent="0.3">
      <c r="A406" s="37">
        <v>53</v>
      </c>
      <c r="B406" s="38" t="s">
        <v>193</v>
      </c>
      <c r="C406" s="39">
        <v>7896658021268</v>
      </c>
      <c r="D406" s="40" t="s">
        <v>86</v>
      </c>
      <c r="E406" s="40"/>
      <c r="F406" s="38">
        <v>29</v>
      </c>
      <c r="G406" s="38"/>
      <c r="H406" s="38" t="s">
        <v>142</v>
      </c>
      <c r="I406" s="38" t="s">
        <v>88</v>
      </c>
      <c r="J406" s="38">
        <v>4</v>
      </c>
      <c r="K406" s="41">
        <v>0.3</v>
      </c>
      <c r="L406" s="38" t="s">
        <v>89</v>
      </c>
      <c r="M406" s="42" t="s">
        <v>90</v>
      </c>
    </row>
    <row r="407" spans="1:13" x14ac:dyDescent="0.3">
      <c r="A407" s="37">
        <v>53</v>
      </c>
      <c r="B407" s="38" t="s">
        <v>193</v>
      </c>
      <c r="C407" s="39">
        <v>7896658021268</v>
      </c>
      <c r="D407" s="40" t="s">
        <v>86</v>
      </c>
      <c r="E407" s="40"/>
      <c r="F407" s="38">
        <v>45</v>
      </c>
      <c r="G407" s="38"/>
      <c r="H407" s="38" t="s">
        <v>143</v>
      </c>
      <c r="I407" s="38" t="s">
        <v>88</v>
      </c>
      <c r="J407" s="38">
        <v>4</v>
      </c>
      <c r="K407" s="41">
        <v>0.26</v>
      </c>
      <c r="L407" s="38" t="s">
        <v>94</v>
      </c>
      <c r="M407" s="42" t="s">
        <v>90</v>
      </c>
    </row>
    <row r="408" spans="1:13" x14ac:dyDescent="0.3">
      <c r="A408" s="37">
        <v>53</v>
      </c>
      <c r="B408" s="38" t="s">
        <v>193</v>
      </c>
      <c r="C408" s="39">
        <v>7896658021268</v>
      </c>
      <c r="D408" s="40" t="s">
        <v>86</v>
      </c>
      <c r="E408" s="40"/>
      <c r="F408" s="38">
        <v>45</v>
      </c>
      <c r="G408" s="38"/>
      <c r="H408" s="38" t="s">
        <v>143</v>
      </c>
      <c r="I408" s="38" t="s">
        <v>88</v>
      </c>
      <c r="J408" s="38">
        <v>4</v>
      </c>
      <c r="K408" s="41">
        <v>0.26</v>
      </c>
      <c r="L408" s="38" t="s">
        <v>95</v>
      </c>
      <c r="M408" s="42" t="s">
        <v>90</v>
      </c>
    </row>
    <row r="409" spans="1:13" x14ac:dyDescent="0.3">
      <c r="A409" s="37">
        <v>53</v>
      </c>
      <c r="B409" s="38" t="s">
        <v>193</v>
      </c>
      <c r="C409" s="39">
        <v>7896658021268</v>
      </c>
      <c r="D409" s="40" t="s">
        <v>86</v>
      </c>
      <c r="E409" s="40"/>
      <c r="F409" s="38">
        <v>45</v>
      </c>
      <c r="G409" s="38"/>
      <c r="H409" s="38" t="s">
        <v>143</v>
      </c>
      <c r="I409" s="38" t="s">
        <v>88</v>
      </c>
      <c r="J409" s="38">
        <v>4</v>
      </c>
      <c r="K409" s="41">
        <v>0.3</v>
      </c>
      <c r="L409" s="38" t="s">
        <v>89</v>
      </c>
      <c r="M409" s="42" t="s">
        <v>90</v>
      </c>
    </row>
    <row r="410" spans="1:13" x14ac:dyDescent="0.3">
      <c r="A410" s="37">
        <v>53</v>
      </c>
      <c r="B410" s="38" t="s">
        <v>193</v>
      </c>
      <c r="C410" s="39">
        <v>7896658021268</v>
      </c>
      <c r="D410" s="40" t="s">
        <v>86</v>
      </c>
      <c r="E410" s="40"/>
      <c r="F410" s="38">
        <v>205</v>
      </c>
      <c r="G410" s="38"/>
      <c r="H410" s="38" t="s">
        <v>143</v>
      </c>
      <c r="I410" s="38" t="s">
        <v>88</v>
      </c>
      <c r="J410" s="38">
        <v>4</v>
      </c>
      <c r="K410" s="41">
        <v>0.26</v>
      </c>
      <c r="L410" s="38" t="s">
        <v>94</v>
      </c>
      <c r="M410" s="42" t="s">
        <v>90</v>
      </c>
    </row>
    <row r="411" spans="1:13" x14ac:dyDescent="0.3">
      <c r="A411" s="37">
        <v>53</v>
      </c>
      <c r="B411" s="38" t="s">
        <v>193</v>
      </c>
      <c r="C411" s="39">
        <v>7896658021268</v>
      </c>
      <c r="D411" s="40" t="s">
        <v>86</v>
      </c>
      <c r="E411" s="40"/>
      <c r="F411" s="38">
        <v>205</v>
      </c>
      <c r="G411" s="38"/>
      <c r="H411" s="38" t="s">
        <v>143</v>
      </c>
      <c r="I411" s="38" t="s">
        <v>88</v>
      </c>
      <c r="J411" s="38">
        <v>4</v>
      </c>
      <c r="K411" s="41">
        <v>0.26</v>
      </c>
      <c r="L411" s="38" t="s">
        <v>95</v>
      </c>
      <c r="M411" s="42" t="s">
        <v>90</v>
      </c>
    </row>
    <row r="412" spans="1:13" x14ac:dyDescent="0.3">
      <c r="A412" s="37">
        <v>53</v>
      </c>
      <c r="B412" s="38" t="s">
        <v>193</v>
      </c>
      <c r="C412" s="39">
        <v>7896658021268</v>
      </c>
      <c r="D412" s="40" t="s">
        <v>86</v>
      </c>
      <c r="E412" s="40"/>
      <c r="F412" s="38">
        <v>205</v>
      </c>
      <c r="G412" s="38"/>
      <c r="H412" s="38" t="s">
        <v>143</v>
      </c>
      <c r="I412" s="38" t="s">
        <v>88</v>
      </c>
      <c r="J412" s="38">
        <v>4</v>
      </c>
      <c r="K412" s="41">
        <v>0.3</v>
      </c>
      <c r="L412" s="38" t="s">
        <v>89</v>
      </c>
      <c r="M412" s="42" t="s">
        <v>90</v>
      </c>
    </row>
    <row r="413" spans="1:13" x14ac:dyDescent="0.3">
      <c r="A413" s="37">
        <v>53</v>
      </c>
      <c r="B413" s="38" t="s">
        <v>194</v>
      </c>
      <c r="C413" s="39">
        <v>7896658022869</v>
      </c>
      <c r="D413" s="40" t="s">
        <v>86</v>
      </c>
      <c r="E413" s="40"/>
      <c r="F413" s="38">
        <v>922</v>
      </c>
      <c r="G413" s="38"/>
      <c r="H413" s="38" t="s">
        <v>195</v>
      </c>
      <c r="I413" s="38" t="s">
        <v>88</v>
      </c>
      <c r="J413" s="38">
        <v>3</v>
      </c>
      <c r="K413" s="41">
        <v>0.1</v>
      </c>
      <c r="L413" s="38" t="s">
        <v>89</v>
      </c>
      <c r="M413" s="42" t="s">
        <v>90</v>
      </c>
    </row>
    <row r="414" spans="1:13" x14ac:dyDescent="0.3">
      <c r="A414" s="37">
        <v>53</v>
      </c>
      <c r="B414" s="38" t="s">
        <v>196</v>
      </c>
      <c r="C414" s="39">
        <v>7896658022951</v>
      </c>
      <c r="D414" s="40" t="s">
        <v>86</v>
      </c>
      <c r="E414" s="40"/>
      <c r="F414" s="38">
        <v>839</v>
      </c>
      <c r="G414" s="38"/>
      <c r="H414" s="38" t="s">
        <v>111</v>
      </c>
      <c r="I414" s="38" t="s">
        <v>88</v>
      </c>
      <c r="J414" s="38">
        <v>1</v>
      </c>
      <c r="K414" s="41">
        <v>0.65</v>
      </c>
      <c r="L414" s="38" t="s">
        <v>89</v>
      </c>
      <c r="M414" s="42" t="s">
        <v>90</v>
      </c>
    </row>
    <row r="415" spans="1:13" x14ac:dyDescent="0.3">
      <c r="A415" s="37">
        <v>53</v>
      </c>
      <c r="B415" s="38" t="s">
        <v>197</v>
      </c>
      <c r="C415" s="39">
        <v>7896658023101</v>
      </c>
      <c r="D415" s="40" t="s">
        <v>86</v>
      </c>
      <c r="E415" s="40"/>
      <c r="F415" s="38">
        <v>920</v>
      </c>
      <c r="G415" s="38"/>
      <c r="H415" s="38" t="s">
        <v>164</v>
      </c>
      <c r="I415" s="38" t="s">
        <v>88</v>
      </c>
      <c r="J415" s="38">
        <v>3</v>
      </c>
      <c r="K415" s="41">
        <v>0.1</v>
      </c>
      <c r="L415" s="38" t="s">
        <v>89</v>
      </c>
      <c r="M415" s="42" t="s">
        <v>90</v>
      </c>
    </row>
    <row r="416" spans="1:13" x14ac:dyDescent="0.3">
      <c r="A416" s="37">
        <v>53</v>
      </c>
      <c r="B416" s="38" t="s">
        <v>198</v>
      </c>
      <c r="C416" s="39">
        <v>7896658024627</v>
      </c>
      <c r="D416" s="40" t="s">
        <v>86</v>
      </c>
      <c r="E416" s="40"/>
      <c r="F416" s="38">
        <v>52</v>
      </c>
      <c r="G416" s="38"/>
      <c r="H416" s="38" t="s">
        <v>199</v>
      </c>
      <c r="I416" s="38" t="s">
        <v>88</v>
      </c>
      <c r="J416" s="38">
        <v>3</v>
      </c>
      <c r="K416" s="41">
        <v>0.1</v>
      </c>
      <c r="L416" s="38" t="s">
        <v>89</v>
      </c>
      <c r="M416" s="42" t="s">
        <v>90</v>
      </c>
    </row>
    <row r="417" spans="1:13" x14ac:dyDescent="0.3">
      <c r="A417" s="37">
        <v>53</v>
      </c>
      <c r="B417" s="38" t="s">
        <v>200</v>
      </c>
      <c r="C417" s="39">
        <v>7896658024672</v>
      </c>
      <c r="D417" s="40" t="s">
        <v>86</v>
      </c>
      <c r="E417" s="40"/>
      <c r="F417" s="38">
        <v>926</v>
      </c>
      <c r="G417" s="38"/>
      <c r="H417" s="38" t="s">
        <v>185</v>
      </c>
      <c r="I417" s="38" t="s">
        <v>88</v>
      </c>
      <c r="J417" s="38">
        <v>3</v>
      </c>
      <c r="K417" s="41">
        <v>0.1</v>
      </c>
      <c r="L417" s="38" t="s">
        <v>89</v>
      </c>
      <c r="M417" s="42" t="s">
        <v>90</v>
      </c>
    </row>
    <row r="418" spans="1:13" x14ac:dyDescent="0.3">
      <c r="A418" s="37">
        <v>53</v>
      </c>
      <c r="B418" s="38" t="s">
        <v>201</v>
      </c>
      <c r="C418" s="39">
        <v>7896658024689</v>
      </c>
      <c r="D418" s="40" t="s">
        <v>86</v>
      </c>
      <c r="E418" s="40"/>
      <c r="F418" s="38">
        <v>926</v>
      </c>
      <c r="G418" s="38"/>
      <c r="H418" s="38" t="s">
        <v>185</v>
      </c>
      <c r="I418" s="38" t="s">
        <v>88</v>
      </c>
      <c r="J418" s="38">
        <v>3</v>
      </c>
      <c r="K418" s="41">
        <v>0.1</v>
      </c>
      <c r="L418" s="38" t="s">
        <v>89</v>
      </c>
      <c r="M418" s="42" t="s">
        <v>90</v>
      </c>
    </row>
    <row r="419" spans="1:13" x14ac:dyDescent="0.3">
      <c r="A419" s="37">
        <v>53</v>
      </c>
      <c r="B419" s="38" t="s">
        <v>202</v>
      </c>
      <c r="C419" s="39">
        <v>7896658025327</v>
      </c>
      <c r="D419" s="40" t="s">
        <v>86</v>
      </c>
      <c r="E419" s="40"/>
      <c r="F419" s="38">
        <v>921</v>
      </c>
      <c r="G419" s="38"/>
      <c r="H419" s="38" t="s">
        <v>166</v>
      </c>
      <c r="I419" s="38" t="s">
        <v>88</v>
      </c>
      <c r="J419" s="38">
        <v>3</v>
      </c>
      <c r="K419" s="41">
        <v>0.2</v>
      </c>
      <c r="L419" s="38" t="s">
        <v>89</v>
      </c>
      <c r="M419" s="42" t="s">
        <v>90</v>
      </c>
    </row>
    <row r="420" spans="1:13" x14ac:dyDescent="0.3">
      <c r="A420" s="37">
        <v>53</v>
      </c>
      <c r="B420" s="38" t="s">
        <v>203</v>
      </c>
      <c r="C420" s="39">
        <v>7896658025525</v>
      </c>
      <c r="D420" s="40" t="s">
        <v>86</v>
      </c>
      <c r="E420" s="40"/>
      <c r="F420" s="38">
        <v>283</v>
      </c>
      <c r="G420" s="38"/>
      <c r="H420" s="38" t="s">
        <v>204</v>
      </c>
      <c r="I420" s="38" t="s">
        <v>102</v>
      </c>
      <c r="J420" s="38">
        <v>1</v>
      </c>
      <c r="K420" s="41">
        <v>0.73</v>
      </c>
      <c r="L420" s="38" t="s">
        <v>89</v>
      </c>
      <c r="M420" s="42" t="s">
        <v>90</v>
      </c>
    </row>
    <row r="421" spans="1:13" x14ac:dyDescent="0.3">
      <c r="A421" s="37">
        <v>53</v>
      </c>
      <c r="B421" s="38" t="s">
        <v>203</v>
      </c>
      <c r="C421" s="39">
        <v>7896658025525</v>
      </c>
      <c r="D421" s="40" t="s">
        <v>86</v>
      </c>
      <c r="E421" s="40"/>
      <c r="F421" s="38">
        <v>634</v>
      </c>
      <c r="G421" s="38"/>
      <c r="H421" s="38" t="s">
        <v>205</v>
      </c>
      <c r="I421" s="38" t="s">
        <v>88</v>
      </c>
      <c r="J421" s="38">
        <v>6</v>
      </c>
      <c r="K421" s="41">
        <v>0.3</v>
      </c>
      <c r="L421" s="38" t="s">
        <v>89</v>
      </c>
      <c r="M421" s="42" t="s">
        <v>90</v>
      </c>
    </row>
    <row r="422" spans="1:13" x14ac:dyDescent="0.3">
      <c r="A422" s="37">
        <v>53</v>
      </c>
      <c r="B422" s="38" t="s">
        <v>206</v>
      </c>
      <c r="C422" s="39">
        <v>7896658026188</v>
      </c>
      <c r="D422" s="40" t="s">
        <v>86</v>
      </c>
      <c r="E422" s="40"/>
      <c r="F422" s="38">
        <v>921</v>
      </c>
      <c r="G422" s="38"/>
      <c r="H422" s="38" t="s">
        <v>166</v>
      </c>
      <c r="I422" s="38" t="s">
        <v>88</v>
      </c>
      <c r="J422" s="38">
        <v>3</v>
      </c>
      <c r="K422" s="41">
        <v>0.2</v>
      </c>
      <c r="L422" s="38" t="s">
        <v>89</v>
      </c>
      <c r="M422" s="42" t="s">
        <v>90</v>
      </c>
    </row>
    <row r="423" spans="1:13" x14ac:dyDescent="0.3">
      <c r="A423" s="37">
        <v>53</v>
      </c>
      <c r="B423" s="38" t="s">
        <v>207</v>
      </c>
      <c r="C423" s="39">
        <v>7896658026331</v>
      </c>
      <c r="D423" s="40" t="s">
        <v>86</v>
      </c>
      <c r="E423" s="40"/>
      <c r="F423" s="38">
        <v>921</v>
      </c>
      <c r="G423" s="38"/>
      <c r="H423" s="38" t="s">
        <v>166</v>
      </c>
      <c r="I423" s="38" t="s">
        <v>88</v>
      </c>
      <c r="J423" s="38">
        <v>3</v>
      </c>
      <c r="K423" s="41">
        <v>0.2</v>
      </c>
      <c r="L423" s="38" t="s">
        <v>89</v>
      </c>
      <c r="M423" s="42" t="s">
        <v>90</v>
      </c>
    </row>
    <row r="424" spans="1:13" x14ac:dyDescent="0.3">
      <c r="A424" s="37">
        <v>53</v>
      </c>
      <c r="B424" s="38" t="s">
        <v>208</v>
      </c>
      <c r="C424" s="39">
        <v>7896658026355</v>
      </c>
      <c r="D424" s="40" t="s">
        <v>86</v>
      </c>
      <c r="E424" s="40"/>
      <c r="F424" s="38">
        <v>924</v>
      </c>
      <c r="G424" s="38"/>
      <c r="H424" s="38" t="s">
        <v>162</v>
      </c>
      <c r="I424" s="38" t="s">
        <v>88</v>
      </c>
      <c r="J424" s="38">
        <v>3</v>
      </c>
      <c r="K424" s="41">
        <v>0.1</v>
      </c>
      <c r="L424" s="38" t="s">
        <v>89</v>
      </c>
      <c r="M424" s="42" t="s">
        <v>90</v>
      </c>
    </row>
    <row r="425" spans="1:13" x14ac:dyDescent="0.3">
      <c r="A425" s="37">
        <v>53</v>
      </c>
      <c r="B425" s="38" t="s">
        <v>209</v>
      </c>
      <c r="C425" s="39">
        <v>7896658026362</v>
      </c>
      <c r="D425" s="40" t="s">
        <v>86</v>
      </c>
      <c r="E425" s="40"/>
      <c r="F425" s="38">
        <v>924</v>
      </c>
      <c r="G425" s="38"/>
      <c r="H425" s="38" t="s">
        <v>162</v>
      </c>
      <c r="I425" s="38" t="s">
        <v>88</v>
      </c>
      <c r="J425" s="38">
        <v>3</v>
      </c>
      <c r="K425" s="41">
        <v>0.1</v>
      </c>
      <c r="L425" s="38" t="s">
        <v>89</v>
      </c>
      <c r="M425" s="42" t="s">
        <v>90</v>
      </c>
    </row>
    <row r="426" spans="1:13" x14ac:dyDescent="0.3">
      <c r="A426" s="37">
        <v>53</v>
      </c>
      <c r="B426" s="38" t="s">
        <v>210</v>
      </c>
      <c r="C426" s="39">
        <v>7896658026379</v>
      </c>
      <c r="D426" s="40" t="s">
        <v>86</v>
      </c>
      <c r="E426" s="40"/>
      <c r="F426" s="38">
        <v>924</v>
      </c>
      <c r="G426" s="38"/>
      <c r="H426" s="38" t="s">
        <v>162</v>
      </c>
      <c r="I426" s="38" t="s">
        <v>88</v>
      </c>
      <c r="J426" s="38">
        <v>3</v>
      </c>
      <c r="K426" s="41">
        <v>0.1</v>
      </c>
      <c r="L426" s="38" t="s">
        <v>89</v>
      </c>
      <c r="M426" s="42" t="s">
        <v>90</v>
      </c>
    </row>
    <row r="427" spans="1:13" x14ac:dyDescent="0.3">
      <c r="A427" s="37">
        <v>53</v>
      </c>
      <c r="B427" s="38" t="s">
        <v>211</v>
      </c>
      <c r="C427" s="39">
        <v>7896658026508</v>
      </c>
      <c r="D427" s="40" t="s">
        <v>86</v>
      </c>
      <c r="E427" s="40"/>
      <c r="F427" s="38">
        <v>52</v>
      </c>
      <c r="G427" s="38"/>
      <c r="H427" s="38" t="s">
        <v>199</v>
      </c>
      <c r="I427" s="38" t="s">
        <v>154</v>
      </c>
      <c r="J427" s="38">
        <v>3</v>
      </c>
      <c r="K427" s="38" t="s">
        <v>212</v>
      </c>
      <c r="L427" s="49" t="s">
        <v>213</v>
      </c>
      <c r="M427" s="49" t="s">
        <v>213</v>
      </c>
    </row>
    <row r="428" spans="1:13" x14ac:dyDescent="0.3">
      <c r="A428" s="37">
        <v>53</v>
      </c>
      <c r="B428" s="38" t="s">
        <v>214</v>
      </c>
      <c r="C428" s="39">
        <v>7896658026904</v>
      </c>
      <c r="D428" s="40" t="s">
        <v>86</v>
      </c>
      <c r="E428" s="40"/>
      <c r="F428" s="38">
        <v>806</v>
      </c>
      <c r="G428" s="38"/>
      <c r="H428" s="38" t="s">
        <v>215</v>
      </c>
      <c r="I428" s="38" t="s">
        <v>88</v>
      </c>
      <c r="J428" s="38">
        <v>3</v>
      </c>
      <c r="K428" s="41">
        <v>0.30480000000000002</v>
      </c>
      <c r="L428" s="38" t="s">
        <v>89</v>
      </c>
      <c r="M428" s="42" t="s">
        <v>90</v>
      </c>
    </row>
    <row r="429" spans="1:13" x14ac:dyDescent="0.3">
      <c r="A429" s="37">
        <v>53</v>
      </c>
      <c r="B429" s="38" t="s">
        <v>214</v>
      </c>
      <c r="C429" s="39">
        <v>7896658026904</v>
      </c>
      <c r="D429" s="40" t="s">
        <v>86</v>
      </c>
      <c r="E429" s="40"/>
      <c r="F429" s="38">
        <v>953</v>
      </c>
      <c r="G429" s="38"/>
      <c r="H429" s="38" t="s">
        <v>216</v>
      </c>
      <c r="I429" s="38" t="s">
        <v>217</v>
      </c>
      <c r="J429" s="38">
        <v>3</v>
      </c>
      <c r="K429" s="41">
        <v>0.30480000000000002</v>
      </c>
      <c r="L429" s="38" t="s">
        <v>89</v>
      </c>
      <c r="M429" s="42" t="s">
        <v>90</v>
      </c>
    </row>
    <row r="430" spans="1:13" x14ac:dyDescent="0.3">
      <c r="A430" s="37">
        <v>53</v>
      </c>
      <c r="B430" s="38" t="s">
        <v>218</v>
      </c>
      <c r="C430" s="39">
        <v>7896658026973</v>
      </c>
      <c r="D430" s="40" t="s">
        <v>86</v>
      </c>
      <c r="E430" s="40"/>
      <c r="F430" s="38">
        <v>923</v>
      </c>
      <c r="G430" s="38"/>
      <c r="H430" s="38" t="s">
        <v>219</v>
      </c>
      <c r="I430" s="38" t="s">
        <v>88</v>
      </c>
      <c r="J430" s="38">
        <v>3</v>
      </c>
      <c r="K430" s="41">
        <v>0.1</v>
      </c>
      <c r="L430" s="38" t="s">
        <v>89</v>
      </c>
      <c r="M430" s="42" t="s">
        <v>90</v>
      </c>
    </row>
    <row r="431" spans="1:13" x14ac:dyDescent="0.3">
      <c r="A431" s="37">
        <v>53</v>
      </c>
      <c r="B431" s="38" t="s">
        <v>220</v>
      </c>
      <c r="C431" s="39">
        <v>7896658026980</v>
      </c>
      <c r="D431" s="40" t="s">
        <v>86</v>
      </c>
      <c r="E431" s="40"/>
      <c r="F431" s="38">
        <v>923</v>
      </c>
      <c r="G431" s="38"/>
      <c r="H431" s="38" t="s">
        <v>219</v>
      </c>
      <c r="I431" s="38" t="s">
        <v>88</v>
      </c>
      <c r="J431" s="38">
        <v>3</v>
      </c>
      <c r="K431" s="41">
        <v>0.1</v>
      </c>
      <c r="L431" s="38" t="s">
        <v>89</v>
      </c>
      <c r="M431" s="42" t="s">
        <v>90</v>
      </c>
    </row>
    <row r="432" spans="1:13" x14ac:dyDescent="0.3">
      <c r="A432" s="37">
        <v>53</v>
      </c>
      <c r="B432" s="38" t="s">
        <v>221</v>
      </c>
      <c r="C432" s="39">
        <v>7896658026997</v>
      </c>
      <c r="D432" s="40" t="s">
        <v>86</v>
      </c>
      <c r="E432" s="40"/>
      <c r="F432" s="38">
        <v>923</v>
      </c>
      <c r="G432" s="38"/>
      <c r="H432" s="38" t="s">
        <v>219</v>
      </c>
      <c r="I432" s="38" t="s">
        <v>88</v>
      </c>
      <c r="J432" s="38">
        <v>3</v>
      </c>
      <c r="K432" s="41">
        <v>0.1</v>
      </c>
      <c r="L432" s="38" t="s">
        <v>89</v>
      </c>
      <c r="M432" s="42" t="s">
        <v>90</v>
      </c>
    </row>
    <row r="433" spans="1:13" x14ac:dyDescent="0.3">
      <c r="A433" s="37">
        <v>53</v>
      </c>
      <c r="B433" s="38" t="s">
        <v>222</v>
      </c>
      <c r="C433" s="39">
        <v>7896658027055</v>
      </c>
      <c r="D433" s="40" t="s">
        <v>86</v>
      </c>
      <c r="E433" s="40"/>
      <c r="F433" s="38">
        <v>603</v>
      </c>
      <c r="G433" s="38"/>
      <c r="H433" s="38" t="s">
        <v>223</v>
      </c>
      <c r="I433" s="38" t="s">
        <v>88</v>
      </c>
      <c r="J433" s="38">
        <v>3</v>
      </c>
      <c r="K433" s="41">
        <v>0.3</v>
      </c>
      <c r="L433" s="38" t="s">
        <v>89</v>
      </c>
      <c r="M433" s="42" t="s">
        <v>90</v>
      </c>
    </row>
    <row r="434" spans="1:13" x14ac:dyDescent="0.3">
      <c r="A434" s="37">
        <v>53</v>
      </c>
      <c r="B434" s="38" t="s">
        <v>222</v>
      </c>
      <c r="C434" s="39">
        <v>7896658027055</v>
      </c>
      <c r="D434" s="40" t="s">
        <v>86</v>
      </c>
      <c r="E434" s="40"/>
      <c r="F434" s="38">
        <v>956</v>
      </c>
      <c r="G434" s="38"/>
      <c r="H434" s="38" t="s">
        <v>224</v>
      </c>
      <c r="I434" s="38" t="s">
        <v>217</v>
      </c>
      <c r="J434" s="38">
        <v>3</v>
      </c>
      <c r="K434" s="41">
        <v>0.3</v>
      </c>
      <c r="L434" s="38" t="s">
        <v>89</v>
      </c>
      <c r="M434" s="42" t="s">
        <v>90</v>
      </c>
    </row>
    <row r="435" spans="1:13" x14ac:dyDescent="0.3">
      <c r="A435" s="37">
        <v>53</v>
      </c>
      <c r="B435" s="38" t="s">
        <v>225</v>
      </c>
      <c r="C435" s="39">
        <v>7896658027079</v>
      </c>
      <c r="D435" s="40" t="s">
        <v>86</v>
      </c>
      <c r="E435" s="40"/>
      <c r="F435" s="38">
        <v>603</v>
      </c>
      <c r="G435" s="38"/>
      <c r="H435" s="38" t="s">
        <v>223</v>
      </c>
      <c r="I435" s="38" t="s">
        <v>88</v>
      </c>
      <c r="J435" s="38">
        <v>3</v>
      </c>
      <c r="K435" s="41">
        <v>0.1</v>
      </c>
      <c r="L435" s="38" t="s">
        <v>89</v>
      </c>
      <c r="M435" s="42" t="s">
        <v>90</v>
      </c>
    </row>
    <row r="436" spans="1:13" x14ac:dyDescent="0.3">
      <c r="A436" s="37">
        <v>53</v>
      </c>
      <c r="B436" s="38" t="s">
        <v>225</v>
      </c>
      <c r="C436" s="39">
        <v>7896658027079</v>
      </c>
      <c r="D436" s="40" t="s">
        <v>86</v>
      </c>
      <c r="E436" s="40"/>
      <c r="F436" s="38">
        <v>956</v>
      </c>
      <c r="G436" s="38"/>
      <c r="H436" s="38" t="s">
        <v>224</v>
      </c>
      <c r="I436" s="38" t="s">
        <v>217</v>
      </c>
      <c r="J436" s="38">
        <v>3</v>
      </c>
      <c r="K436" s="41">
        <v>0.1</v>
      </c>
      <c r="L436" s="38" t="s">
        <v>89</v>
      </c>
      <c r="M436" s="42" t="s">
        <v>90</v>
      </c>
    </row>
    <row r="437" spans="1:13" x14ac:dyDescent="0.3">
      <c r="A437" s="37">
        <v>53</v>
      </c>
      <c r="B437" s="38" t="s">
        <v>226</v>
      </c>
      <c r="C437" s="39">
        <v>7896658027222</v>
      </c>
      <c r="D437" s="40" t="s">
        <v>86</v>
      </c>
      <c r="E437" s="40"/>
      <c r="F437" s="38">
        <v>914</v>
      </c>
      <c r="G437" s="38"/>
      <c r="H437" s="38" t="s">
        <v>227</v>
      </c>
      <c r="I437" s="38" t="s">
        <v>88</v>
      </c>
      <c r="J437" s="38">
        <v>3</v>
      </c>
      <c r="K437" s="41">
        <v>0.1</v>
      </c>
      <c r="L437" s="38" t="s">
        <v>89</v>
      </c>
      <c r="M437" s="42" t="s">
        <v>90</v>
      </c>
    </row>
    <row r="438" spans="1:13" x14ac:dyDescent="0.3">
      <c r="A438" s="37">
        <v>53</v>
      </c>
      <c r="B438" s="38" t="s">
        <v>228</v>
      </c>
      <c r="C438" s="39">
        <v>7896658027239</v>
      </c>
      <c r="D438" s="40" t="s">
        <v>86</v>
      </c>
      <c r="E438" s="40"/>
      <c r="F438" s="38">
        <v>914</v>
      </c>
      <c r="G438" s="38"/>
      <c r="H438" s="38" t="s">
        <v>227</v>
      </c>
      <c r="I438" s="38" t="s">
        <v>88</v>
      </c>
      <c r="J438" s="38">
        <v>3</v>
      </c>
      <c r="K438" s="41">
        <v>0.1</v>
      </c>
      <c r="L438" s="38" t="s">
        <v>89</v>
      </c>
      <c r="M438" s="42" t="s">
        <v>90</v>
      </c>
    </row>
    <row r="439" spans="1:13" x14ac:dyDescent="0.3">
      <c r="A439" s="37">
        <v>53</v>
      </c>
      <c r="B439" s="38" t="s">
        <v>229</v>
      </c>
      <c r="C439" s="39">
        <v>7896658027246</v>
      </c>
      <c r="D439" s="40" t="s">
        <v>86</v>
      </c>
      <c r="E439" s="40"/>
      <c r="F439" s="38">
        <v>926</v>
      </c>
      <c r="G439" s="38"/>
      <c r="H439" s="38" t="s">
        <v>185</v>
      </c>
      <c r="I439" s="38" t="s">
        <v>88</v>
      </c>
      <c r="J439" s="38">
        <v>3</v>
      </c>
      <c r="K439" s="41">
        <v>0.1</v>
      </c>
      <c r="L439" s="38" t="s">
        <v>89</v>
      </c>
      <c r="M439" s="42" t="s">
        <v>90</v>
      </c>
    </row>
    <row r="440" spans="1:13" x14ac:dyDescent="0.3">
      <c r="A440" s="37">
        <v>53</v>
      </c>
      <c r="B440" s="38" t="s">
        <v>230</v>
      </c>
      <c r="C440" s="39">
        <v>7896658027703</v>
      </c>
      <c r="D440" s="40" t="s">
        <v>86</v>
      </c>
      <c r="E440" s="40"/>
      <c r="F440" s="38">
        <v>626</v>
      </c>
      <c r="G440" s="38"/>
      <c r="H440" s="38" t="s">
        <v>231</v>
      </c>
      <c r="I440" s="38" t="s">
        <v>88</v>
      </c>
      <c r="J440" s="38">
        <v>3</v>
      </c>
      <c r="K440" s="41">
        <v>0.1</v>
      </c>
      <c r="L440" s="38" t="s">
        <v>89</v>
      </c>
      <c r="M440" s="42" t="s">
        <v>90</v>
      </c>
    </row>
    <row r="441" spans="1:13" x14ac:dyDescent="0.3">
      <c r="A441" s="37">
        <v>53</v>
      </c>
      <c r="B441" s="38" t="s">
        <v>232</v>
      </c>
      <c r="C441" s="39">
        <v>7896658029028</v>
      </c>
      <c r="D441" s="40" t="s">
        <v>86</v>
      </c>
      <c r="E441" s="40"/>
      <c r="F441" s="38">
        <v>30</v>
      </c>
      <c r="G441" s="38"/>
      <c r="H441" s="38" t="s">
        <v>135</v>
      </c>
      <c r="I441" s="38" t="s">
        <v>88</v>
      </c>
      <c r="J441" s="38">
        <v>6</v>
      </c>
      <c r="K441" s="41">
        <v>0.38</v>
      </c>
      <c r="L441" s="38" t="s">
        <v>94</v>
      </c>
      <c r="M441" s="42" t="s">
        <v>90</v>
      </c>
    </row>
    <row r="442" spans="1:13" x14ac:dyDescent="0.3">
      <c r="A442" s="37">
        <v>53</v>
      </c>
      <c r="B442" s="38" t="s">
        <v>232</v>
      </c>
      <c r="C442" s="39">
        <v>7896658029028</v>
      </c>
      <c r="D442" s="40" t="s">
        <v>86</v>
      </c>
      <c r="E442" s="40"/>
      <c r="F442" s="38">
        <v>30</v>
      </c>
      <c r="G442" s="38"/>
      <c r="H442" s="38" t="s">
        <v>135</v>
      </c>
      <c r="I442" s="38" t="s">
        <v>88</v>
      </c>
      <c r="J442" s="38">
        <v>6</v>
      </c>
      <c r="K442" s="41">
        <v>0.37</v>
      </c>
      <c r="L442" s="38" t="s">
        <v>95</v>
      </c>
      <c r="M442" s="42" t="s">
        <v>90</v>
      </c>
    </row>
    <row r="443" spans="1:13" x14ac:dyDescent="0.3">
      <c r="A443" s="37">
        <v>53</v>
      </c>
      <c r="B443" s="38" t="s">
        <v>232</v>
      </c>
      <c r="C443" s="39">
        <v>7896658029028</v>
      </c>
      <c r="D443" s="40" t="s">
        <v>86</v>
      </c>
      <c r="E443" s="40"/>
      <c r="F443" s="38">
        <v>30</v>
      </c>
      <c r="G443" s="38"/>
      <c r="H443" s="38" t="s">
        <v>135</v>
      </c>
      <c r="I443" s="38" t="s">
        <v>88</v>
      </c>
      <c r="J443" s="38">
        <v>6</v>
      </c>
      <c r="K443" s="41">
        <v>0.4</v>
      </c>
      <c r="L443" s="38" t="s">
        <v>89</v>
      </c>
      <c r="M443" s="42" t="s">
        <v>90</v>
      </c>
    </row>
    <row r="444" spans="1:13" x14ac:dyDescent="0.3">
      <c r="A444" s="37">
        <v>53</v>
      </c>
      <c r="B444" s="38" t="s">
        <v>232</v>
      </c>
      <c r="C444" s="39">
        <v>7896658029028</v>
      </c>
      <c r="D444" s="40" t="s">
        <v>86</v>
      </c>
      <c r="E444" s="40"/>
      <c r="F444" s="38">
        <v>207</v>
      </c>
      <c r="G444" s="38"/>
      <c r="H444" s="38" t="s">
        <v>135</v>
      </c>
      <c r="I444" s="38" t="s">
        <v>88</v>
      </c>
      <c r="J444" s="38">
        <v>6</v>
      </c>
      <c r="K444" s="41">
        <v>0.38</v>
      </c>
      <c r="L444" s="38" t="s">
        <v>94</v>
      </c>
      <c r="M444" s="42" t="s">
        <v>90</v>
      </c>
    </row>
    <row r="445" spans="1:13" x14ac:dyDescent="0.3">
      <c r="A445" s="37">
        <v>53</v>
      </c>
      <c r="B445" s="38" t="s">
        <v>232</v>
      </c>
      <c r="C445" s="39">
        <v>7896658029028</v>
      </c>
      <c r="D445" s="40" t="s">
        <v>86</v>
      </c>
      <c r="E445" s="40"/>
      <c r="F445" s="38">
        <v>207</v>
      </c>
      <c r="G445" s="38"/>
      <c r="H445" s="38" t="s">
        <v>135</v>
      </c>
      <c r="I445" s="38" t="s">
        <v>88</v>
      </c>
      <c r="J445" s="38">
        <v>6</v>
      </c>
      <c r="K445" s="41">
        <v>0.37</v>
      </c>
      <c r="L445" s="38" t="s">
        <v>95</v>
      </c>
      <c r="M445" s="42" t="s">
        <v>90</v>
      </c>
    </row>
    <row r="446" spans="1:13" x14ac:dyDescent="0.3">
      <c r="A446" s="37">
        <v>53</v>
      </c>
      <c r="B446" s="38" t="s">
        <v>232</v>
      </c>
      <c r="C446" s="39">
        <v>7896658029028</v>
      </c>
      <c r="D446" s="40" t="s">
        <v>86</v>
      </c>
      <c r="E446" s="40"/>
      <c r="F446" s="38">
        <v>207</v>
      </c>
      <c r="G446" s="38"/>
      <c r="H446" s="38" t="s">
        <v>135</v>
      </c>
      <c r="I446" s="38" t="s">
        <v>88</v>
      </c>
      <c r="J446" s="38">
        <v>6</v>
      </c>
      <c r="K446" s="41">
        <v>0.4</v>
      </c>
      <c r="L446" s="38" t="s">
        <v>89</v>
      </c>
      <c r="M446" s="42" t="s">
        <v>90</v>
      </c>
    </row>
    <row r="447" spans="1:13" x14ac:dyDescent="0.3">
      <c r="A447" s="37">
        <v>53</v>
      </c>
      <c r="B447" s="38" t="s">
        <v>233</v>
      </c>
      <c r="C447" s="39">
        <v>7896658029233</v>
      </c>
      <c r="D447" s="40" t="s">
        <v>86</v>
      </c>
      <c r="E447" s="40"/>
      <c r="F447" s="38">
        <v>106</v>
      </c>
      <c r="G447" s="38"/>
      <c r="H447" s="38" t="s">
        <v>234</v>
      </c>
      <c r="I447" s="38" t="s">
        <v>154</v>
      </c>
      <c r="J447" s="38">
        <v>6</v>
      </c>
      <c r="K447" s="41" t="s">
        <v>235</v>
      </c>
      <c r="L447" s="38" t="s">
        <v>89</v>
      </c>
      <c r="M447" s="42" t="s">
        <v>90</v>
      </c>
    </row>
    <row r="448" spans="1:13" x14ac:dyDescent="0.3">
      <c r="A448" s="37">
        <v>53</v>
      </c>
      <c r="B448" s="38" t="s">
        <v>236</v>
      </c>
      <c r="C448" s="39">
        <v>7896658029240</v>
      </c>
      <c r="D448" s="40" t="s">
        <v>86</v>
      </c>
      <c r="E448" s="40"/>
      <c r="F448" s="38">
        <v>106</v>
      </c>
      <c r="G448" s="38"/>
      <c r="H448" s="38" t="s">
        <v>234</v>
      </c>
      <c r="I448" s="38" t="s">
        <v>154</v>
      </c>
      <c r="J448" s="38">
        <v>6</v>
      </c>
      <c r="K448" s="41" t="s">
        <v>235</v>
      </c>
      <c r="L448" s="38" t="s">
        <v>89</v>
      </c>
      <c r="M448" s="42" t="s">
        <v>90</v>
      </c>
    </row>
    <row r="449" spans="1:13" x14ac:dyDescent="0.3">
      <c r="A449" s="37">
        <v>53</v>
      </c>
      <c r="B449" s="38" t="s">
        <v>237</v>
      </c>
      <c r="C449" s="39">
        <v>7896658029257</v>
      </c>
      <c r="D449" s="40" t="s">
        <v>86</v>
      </c>
      <c r="E449" s="40"/>
      <c r="F449" s="38">
        <v>106</v>
      </c>
      <c r="G449" s="38"/>
      <c r="H449" s="38" t="s">
        <v>234</v>
      </c>
      <c r="I449" s="38" t="s">
        <v>154</v>
      </c>
      <c r="J449" s="38">
        <v>6</v>
      </c>
      <c r="K449" s="41" t="s">
        <v>235</v>
      </c>
      <c r="L449" s="38" t="s">
        <v>89</v>
      </c>
      <c r="M449" s="42" t="s">
        <v>90</v>
      </c>
    </row>
    <row r="450" spans="1:13" x14ac:dyDescent="0.3">
      <c r="A450" s="37">
        <v>53</v>
      </c>
      <c r="B450" s="38" t="s">
        <v>238</v>
      </c>
      <c r="C450" s="39">
        <v>7896658029417</v>
      </c>
      <c r="D450" s="40" t="s">
        <v>86</v>
      </c>
      <c r="E450" s="40"/>
      <c r="F450" s="38">
        <v>922</v>
      </c>
      <c r="G450" s="38"/>
      <c r="H450" s="38" t="s">
        <v>195</v>
      </c>
      <c r="I450" s="38" t="s">
        <v>88</v>
      </c>
      <c r="J450" s="38">
        <v>3</v>
      </c>
      <c r="K450" s="41">
        <v>0.1</v>
      </c>
      <c r="L450" s="38" t="s">
        <v>89</v>
      </c>
      <c r="M450" s="42" t="s">
        <v>90</v>
      </c>
    </row>
    <row r="451" spans="1:13" x14ac:dyDescent="0.3">
      <c r="A451" s="37">
        <v>53</v>
      </c>
      <c r="B451" s="38" t="s">
        <v>239</v>
      </c>
      <c r="C451" s="39">
        <v>7896658029448</v>
      </c>
      <c r="D451" s="40" t="s">
        <v>86</v>
      </c>
      <c r="E451" s="40"/>
      <c r="F451" s="38">
        <v>922</v>
      </c>
      <c r="G451" s="38"/>
      <c r="H451" s="38" t="s">
        <v>195</v>
      </c>
      <c r="I451" s="38" t="s">
        <v>88</v>
      </c>
      <c r="J451" s="38">
        <v>3</v>
      </c>
      <c r="K451" s="41">
        <v>0.1</v>
      </c>
      <c r="L451" s="38" t="s">
        <v>89</v>
      </c>
      <c r="M451" s="42" t="s">
        <v>90</v>
      </c>
    </row>
    <row r="452" spans="1:13" x14ac:dyDescent="0.3">
      <c r="A452" s="37">
        <v>53</v>
      </c>
      <c r="B452" s="38" t="s">
        <v>240</v>
      </c>
      <c r="C452" s="39">
        <v>7896658029462</v>
      </c>
      <c r="D452" s="40" t="s">
        <v>86</v>
      </c>
      <c r="E452" s="40"/>
      <c r="F452" s="38">
        <v>921</v>
      </c>
      <c r="G452" s="38"/>
      <c r="H452" s="38" t="s">
        <v>166</v>
      </c>
      <c r="I452" s="38" t="s">
        <v>88</v>
      </c>
      <c r="J452" s="38">
        <v>3</v>
      </c>
      <c r="K452" s="41">
        <v>0.2</v>
      </c>
      <c r="L452" s="38" t="s">
        <v>89</v>
      </c>
      <c r="M452" s="42" t="s">
        <v>90</v>
      </c>
    </row>
    <row r="453" spans="1:13" x14ac:dyDescent="0.3">
      <c r="A453" s="37">
        <v>53</v>
      </c>
      <c r="B453" s="38" t="s">
        <v>241</v>
      </c>
      <c r="C453" s="39">
        <v>7896658030239</v>
      </c>
      <c r="D453" s="40" t="s">
        <v>86</v>
      </c>
      <c r="E453" s="40"/>
      <c r="F453" s="38">
        <v>920</v>
      </c>
      <c r="G453" s="38"/>
      <c r="H453" s="38" t="s">
        <v>164</v>
      </c>
      <c r="I453" s="38" t="s">
        <v>88</v>
      </c>
      <c r="J453" s="38">
        <v>3</v>
      </c>
      <c r="K453" s="41">
        <v>0.1</v>
      </c>
      <c r="L453" s="38" t="s">
        <v>89</v>
      </c>
      <c r="M453" s="42" t="s">
        <v>90</v>
      </c>
    </row>
    <row r="454" spans="1:13" x14ac:dyDescent="0.3">
      <c r="A454" s="37">
        <v>53</v>
      </c>
      <c r="B454" s="38" t="s">
        <v>242</v>
      </c>
      <c r="C454" s="39">
        <v>7896658030437</v>
      </c>
      <c r="D454" s="40" t="s">
        <v>86</v>
      </c>
      <c r="E454" s="40"/>
      <c r="F454" s="38">
        <v>918</v>
      </c>
      <c r="G454" s="38"/>
      <c r="H454" s="38" t="s">
        <v>243</v>
      </c>
      <c r="I454" s="38" t="s">
        <v>88</v>
      </c>
      <c r="J454" s="38">
        <v>3</v>
      </c>
      <c r="K454" s="41">
        <v>0.1</v>
      </c>
      <c r="L454" s="38" t="s">
        <v>89</v>
      </c>
      <c r="M454" s="42" t="s">
        <v>90</v>
      </c>
    </row>
    <row r="455" spans="1:13" x14ac:dyDescent="0.3">
      <c r="A455" s="37">
        <v>53</v>
      </c>
      <c r="B455" s="38" t="s">
        <v>242</v>
      </c>
      <c r="C455" s="39">
        <v>7896658030437</v>
      </c>
      <c r="D455" s="40" t="s">
        <v>86</v>
      </c>
      <c r="E455" s="40"/>
      <c r="F455" s="38">
        <v>954</v>
      </c>
      <c r="G455" s="38"/>
      <c r="H455" s="38" t="s">
        <v>244</v>
      </c>
      <c r="I455" s="38" t="s">
        <v>217</v>
      </c>
      <c r="J455" s="38">
        <v>3</v>
      </c>
      <c r="K455" s="41">
        <v>0.1</v>
      </c>
      <c r="L455" s="38" t="s">
        <v>89</v>
      </c>
      <c r="M455" s="42" t="s">
        <v>90</v>
      </c>
    </row>
    <row r="456" spans="1:13" x14ac:dyDescent="0.3">
      <c r="A456" s="37">
        <v>53</v>
      </c>
      <c r="B456" s="38" t="s">
        <v>245</v>
      </c>
      <c r="C456" s="39">
        <v>7896658030444</v>
      </c>
      <c r="D456" s="40" t="s">
        <v>86</v>
      </c>
      <c r="E456" s="40"/>
      <c r="F456" s="38">
        <v>918</v>
      </c>
      <c r="G456" s="38"/>
      <c r="H456" s="38" t="s">
        <v>243</v>
      </c>
      <c r="I456" s="38" t="s">
        <v>88</v>
      </c>
      <c r="J456" s="38">
        <v>3</v>
      </c>
      <c r="K456" s="41">
        <v>0.1</v>
      </c>
      <c r="L456" s="38" t="s">
        <v>89</v>
      </c>
      <c r="M456" s="42" t="s">
        <v>90</v>
      </c>
    </row>
    <row r="457" spans="1:13" x14ac:dyDescent="0.3">
      <c r="A457" s="37">
        <v>53</v>
      </c>
      <c r="B457" s="38" t="s">
        <v>245</v>
      </c>
      <c r="C457" s="39">
        <v>7896658030444</v>
      </c>
      <c r="D457" s="40" t="s">
        <v>86</v>
      </c>
      <c r="E457" s="40"/>
      <c r="F457" s="38">
        <v>954</v>
      </c>
      <c r="G457" s="38"/>
      <c r="H457" s="38" t="s">
        <v>244</v>
      </c>
      <c r="I457" s="38" t="s">
        <v>217</v>
      </c>
      <c r="J457" s="38">
        <v>3</v>
      </c>
      <c r="K457" s="41">
        <v>0.1</v>
      </c>
      <c r="L457" s="38" t="s">
        <v>89</v>
      </c>
      <c r="M457" s="42" t="s">
        <v>90</v>
      </c>
    </row>
    <row r="458" spans="1:13" x14ac:dyDescent="0.3">
      <c r="A458" s="37">
        <v>53</v>
      </c>
      <c r="B458" s="38" t="s">
        <v>246</v>
      </c>
      <c r="C458" s="39">
        <v>7896658030451</v>
      </c>
      <c r="D458" s="40" t="s">
        <v>86</v>
      </c>
      <c r="E458" s="40"/>
      <c r="F458" s="38">
        <v>920</v>
      </c>
      <c r="G458" s="38"/>
      <c r="H458" s="38" t="s">
        <v>164</v>
      </c>
      <c r="I458" s="38" t="s">
        <v>88</v>
      </c>
      <c r="J458" s="38">
        <v>3</v>
      </c>
      <c r="K458" s="41">
        <v>0.1</v>
      </c>
      <c r="L458" s="38" t="s">
        <v>89</v>
      </c>
      <c r="M458" s="42" t="s">
        <v>90</v>
      </c>
    </row>
    <row r="459" spans="1:13" x14ac:dyDescent="0.3">
      <c r="A459" s="37">
        <v>53</v>
      </c>
      <c r="B459" s="38" t="s">
        <v>247</v>
      </c>
      <c r="C459" s="39">
        <v>7896658031878</v>
      </c>
      <c r="D459" s="40" t="s">
        <v>86</v>
      </c>
      <c r="E459" s="40"/>
      <c r="F459" s="38">
        <v>921</v>
      </c>
      <c r="G459" s="38"/>
      <c r="H459" s="38" t="s">
        <v>166</v>
      </c>
      <c r="I459" s="38" t="s">
        <v>88</v>
      </c>
      <c r="J459" s="38">
        <v>3</v>
      </c>
      <c r="K459" s="41">
        <v>0.2</v>
      </c>
      <c r="L459" s="38" t="s">
        <v>89</v>
      </c>
      <c r="M459" s="42" t="s">
        <v>90</v>
      </c>
    </row>
    <row r="460" spans="1:13" x14ac:dyDescent="0.3">
      <c r="A460" s="37">
        <v>53</v>
      </c>
      <c r="B460" s="38" t="s">
        <v>248</v>
      </c>
      <c r="C460" s="39">
        <v>7896658032561</v>
      </c>
      <c r="D460" s="40" t="s">
        <v>86</v>
      </c>
      <c r="E460" s="40"/>
      <c r="F460" s="38">
        <v>768</v>
      </c>
      <c r="G460" s="38"/>
      <c r="H460" s="38" t="s">
        <v>249</v>
      </c>
      <c r="I460" s="38" t="s">
        <v>138</v>
      </c>
      <c r="J460" s="38">
        <v>4</v>
      </c>
      <c r="K460" s="41">
        <v>0.45219999999999999</v>
      </c>
      <c r="L460" s="38" t="s">
        <v>139</v>
      </c>
      <c r="M460" s="42" t="s">
        <v>250</v>
      </c>
    </row>
    <row r="461" spans="1:13" x14ac:dyDescent="0.3">
      <c r="A461" s="37">
        <v>53</v>
      </c>
      <c r="B461" s="38" t="s">
        <v>248</v>
      </c>
      <c r="C461" s="39">
        <v>7896658032561</v>
      </c>
      <c r="D461" s="40" t="s">
        <v>86</v>
      </c>
      <c r="E461" s="40"/>
      <c r="F461" s="38">
        <v>768</v>
      </c>
      <c r="G461" s="38"/>
      <c r="H461" s="38" t="s">
        <v>249</v>
      </c>
      <c r="I461" s="38" t="s">
        <v>138</v>
      </c>
      <c r="J461" s="38">
        <v>4</v>
      </c>
      <c r="K461" s="41">
        <v>0.45219999999999999</v>
      </c>
      <c r="L461" s="38" t="s">
        <v>139</v>
      </c>
      <c r="M461" s="42" t="s">
        <v>251</v>
      </c>
    </row>
    <row r="462" spans="1:13" x14ac:dyDescent="0.3">
      <c r="A462" s="37">
        <v>53</v>
      </c>
      <c r="B462" s="38" t="s">
        <v>248</v>
      </c>
      <c r="C462" s="39">
        <v>7896658032561</v>
      </c>
      <c r="D462" s="40" t="s">
        <v>86</v>
      </c>
      <c r="E462" s="40"/>
      <c r="F462" s="38">
        <v>768</v>
      </c>
      <c r="G462" s="38"/>
      <c r="H462" s="38" t="s">
        <v>249</v>
      </c>
      <c r="I462" s="38" t="s">
        <v>138</v>
      </c>
      <c r="J462" s="38">
        <v>4</v>
      </c>
      <c r="K462" s="41">
        <v>0.45219999999999999</v>
      </c>
      <c r="L462" s="38" t="s">
        <v>139</v>
      </c>
      <c r="M462" s="42" t="s">
        <v>252</v>
      </c>
    </row>
    <row r="463" spans="1:13" x14ac:dyDescent="0.3">
      <c r="A463" s="37">
        <v>53</v>
      </c>
      <c r="B463" s="38" t="s">
        <v>248</v>
      </c>
      <c r="C463" s="39">
        <v>7896658032561</v>
      </c>
      <c r="D463" s="40" t="s">
        <v>86</v>
      </c>
      <c r="E463" s="40"/>
      <c r="F463" s="38">
        <v>768</v>
      </c>
      <c r="G463" s="38"/>
      <c r="H463" s="38" t="s">
        <v>249</v>
      </c>
      <c r="I463" s="38" t="s">
        <v>138</v>
      </c>
      <c r="J463" s="38">
        <v>4</v>
      </c>
      <c r="K463" s="41">
        <v>0.50539999999999996</v>
      </c>
      <c r="L463" s="38" t="s">
        <v>139</v>
      </c>
      <c r="M463" s="42" t="s">
        <v>90</v>
      </c>
    </row>
    <row r="464" spans="1:13" x14ac:dyDescent="0.3">
      <c r="A464" s="37">
        <v>53</v>
      </c>
      <c r="B464" s="38" t="s">
        <v>248</v>
      </c>
      <c r="C464" s="39">
        <v>7896658032561</v>
      </c>
      <c r="D464" s="40" t="s">
        <v>86</v>
      </c>
      <c r="E464" s="40"/>
      <c r="F464" s="38">
        <v>768</v>
      </c>
      <c r="G464" s="38"/>
      <c r="H464" s="38" t="s">
        <v>249</v>
      </c>
      <c r="I464" s="38" t="s">
        <v>138</v>
      </c>
      <c r="J464" s="38">
        <v>4</v>
      </c>
      <c r="K464" s="41">
        <v>0.50539999999999996</v>
      </c>
      <c r="L464" s="38" t="s">
        <v>253</v>
      </c>
      <c r="M464" s="42" t="s">
        <v>90</v>
      </c>
    </row>
    <row r="465" spans="1:13" x14ac:dyDescent="0.3">
      <c r="A465" s="37">
        <v>53</v>
      </c>
      <c r="B465" s="38" t="s">
        <v>248</v>
      </c>
      <c r="C465" s="39">
        <v>7896658032561</v>
      </c>
      <c r="D465" s="40" t="s">
        <v>86</v>
      </c>
      <c r="E465" s="40"/>
      <c r="F465" s="38">
        <v>768</v>
      </c>
      <c r="G465" s="38"/>
      <c r="H465" s="38" t="s">
        <v>249</v>
      </c>
      <c r="I465" s="38" t="s">
        <v>138</v>
      </c>
      <c r="J465" s="38">
        <v>4</v>
      </c>
      <c r="K465" s="41">
        <v>0.45879999999999999</v>
      </c>
      <c r="L465" s="38" t="s">
        <v>254</v>
      </c>
      <c r="M465" s="42" t="s">
        <v>255</v>
      </c>
    </row>
    <row r="466" spans="1:13" x14ac:dyDescent="0.3">
      <c r="A466" s="37">
        <v>53</v>
      </c>
      <c r="B466" s="38" t="s">
        <v>248</v>
      </c>
      <c r="C466" s="39">
        <v>7896658032561</v>
      </c>
      <c r="D466" s="40" t="s">
        <v>86</v>
      </c>
      <c r="E466" s="40"/>
      <c r="F466" s="38">
        <v>768</v>
      </c>
      <c r="G466" s="38"/>
      <c r="H466" s="38" t="s">
        <v>249</v>
      </c>
      <c r="I466" s="38" t="s">
        <v>138</v>
      </c>
      <c r="J466" s="38">
        <v>4</v>
      </c>
      <c r="K466" s="41">
        <v>0.45879999999999999</v>
      </c>
      <c r="L466" s="38" t="s">
        <v>254</v>
      </c>
      <c r="M466" s="42" t="s">
        <v>256</v>
      </c>
    </row>
    <row r="467" spans="1:13" x14ac:dyDescent="0.3">
      <c r="A467" s="37">
        <v>53</v>
      </c>
      <c r="B467" s="38" t="s">
        <v>248</v>
      </c>
      <c r="C467" s="39">
        <v>7896658032561</v>
      </c>
      <c r="D467" s="40" t="s">
        <v>86</v>
      </c>
      <c r="E467" s="40"/>
      <c r="F467" s="38">
        <v>768</v>
      </c>
      <c r="G467" s="38"/>
      <c r="H467" s="38" t="s">
        <v>249</v>
      </c>
      <c r="I467" s="38" t="s">
        <v>138</v>
      </c>
      <c r="J467" s="38">
        <v>4</v>
      </c>
      <c r="K467" s="41">
        <v>0.5121</v>
      </c>
      <c r="L467" s="38" t="s">
        <v>254</v>
      </c>
      <c r="M467" s="42" t="s">
        <v>90</v>
      </c>
    </row>
    <row r="468" spans="1:13" x14ac:dyDescent="0.3">
      <c r="A468" s="37">
        <v>53</v>
      </c>
      <c r="B468" s="38" t="s">
        <v>248</v>
      </c>
      <c r="C468" s="39">
        <v>7896658032561</v>
      </c>
      <c r="D468" s="40" t="s">
        <v>86</v>
      </c>
      <c r="E468" s="40"/>
      <c r="F468" s="38">
        <v>768</v>
      </c>
      <c r="G468" s="38"/>
      <c r="H468" s="38" t="s">
        <v>249</v>
      </c>
      <c r="I468" s="38" t="s">
        <v>138</v>
      </c>
      <c r="J468" s="38">
        <v>4</v>
      </c>
      <c r="K468" s="41">
        <v>0.45879999999999999</v>
      </c>
      <c r="L468" s="38" t="s">
        <v>257</v>
      </c>
      <c r="M468" s="42" t="s">
        <v>258</v>
      </c>
    </row>
    <row r="469" spans="1:13" x14ac:dyDescent="0.3">
      <c r="A469" s="37">
        <v>53</v>
      </c>
      <c r="B469" s="38" t="s">
        <v>248</v>
      </c>
      <c r="C469" s="39">
        <v>7896658032561</v>
      </c>
      <c r="D469" s="40" t="s">
        <v>86</v>
      </c>
      <c r="E469" s="40"/>
      <c r="F469" s="38">
        <v>768</v>
      </c>
      <c r="G469" s="38"/>
      <c r="H469" s="38" t="s">
        <v>249</v>
      </c>
      <c r="I469" s="38" t="s">
        <v>138</v>
      </c>
      <c r="J469" s="38">
        <v>4</v>
      </c>
      <c r="K469" s="41">
        <v>0.45879999999999999</v>
      </c>
      <c r="L469" s="38" t="s">
        <v>257</v>
      </c>
      <c r="M469" s="42" t="s">
        <v>259</v>
      </c>
    </row>
    <row r="470" spans="1:13" x14ac:dyDescent="0.3">
      <c r="A470" s="37">
        <v>53</v>
      </c>
      <c r="B470" s="38" t="s">
        <v>248</v>
      </c>
      <c r="C470" s="39">
        <v>7896658032561</v>
      </c>
      <c r="D470" s="40" t="s">
        <v>86</v>
      </c>
      <c r="E470" s="40"/>
      <c r="F470" s="38">
        <v>768</v>
      </c>
      <c r="G470" s="38"/>
      <c r="H470" s="38" t="s">
        <v>249</v>
      </c>
      <c r="I470" s="38" t="s">
        <v>138</v>
      </c>
      <c r="J470" s="38">
        <v>4</v>
      </c>
      <c r="K470" s="41">
        <v>0.5121</v>
      </c>
      <c r="L470" s="38" t="s">
        <v>257</v>
      </c>
      <c r="M470" s="42" t="s">
        <v>90</v>
      </c>
    </row>
    <row r="471" spans="1:13" x14ac:dyDescent="0.3">
      <c r="A471" s="37">
        <v>53</v>
      </c>
      <c r="B471" s="38" t="s">
        <v>248</v>
      </c>
      <c r="C471" s="39">
        <v>7896658032561</v>
      </c>
      <c r="D471" s="40" t="s">
        <v>86</v>
      </c>
      <c r="E471" s="40"/>
      <c r="F471" s="38">
        <v>768</v>
      </c>
      <c r="G471" s="38"/>
      <c r="H471" s="38" t="s">
        <v>249</v>
      </c>
      <c r="I471" s="38" t="s">
        <v>138</v>
      </c>
      <c r="J471" s="38">
        <v>4</v>
      </c>
      <c r="K471" s="41">
        <v>0.5121</v>
      </c>
      <c r="L471" s="38" t="s">
        <v>132</v>
      </c>
      <c r="M471" s="42" t="s">
        <v>90</v>
      </c>
    </row>
    <row r="472" spans="1:13" x14ac:dyDescent="0.3">
      <c r="A472" s="37">
        <v>53</v>
      </c>
      <c r="B472" s="38" t="s">
        <v>248</v>
      </c>
      <c r="C472" s="39">
        <v>7896658032561</v>
      </c>
      <c r="D472" s="40" t="s">
        <v>86</v>
      </c>
      <c r="E472" s="40"/>
      <c r="F472" s="38">
        <v>768</v>
      </c>
      <c r="G472" s="38"/>
      <c r="H472" s="38" t="s">
        <v>249</v>
      </c>
      <c r="I472" s="38" t="s">
        <v>138</v>
      </c>
      <c r="J472" s="38">
        <v>4</v>
      </c>
      <c r="K472" s="41">
        <v>0.5121</v>
      </c>
      <c r="L472" s="38" t="s">
        <v>94</v>
      </c>
      <c r="M472" s="42" t="s">
        <v>90</v>
      </c>
    </row>
    <row r="473" spans="1:13" x14ac:dyDescent="0.3">
      <c r="A473" s="37">
        <v>53</v>
      </c>
      <c r="B473" s="38" t="s">
        <v>248</v>
      </c>
      <c r="C473" s="39">
        <v>7896658032561</v>
      </c>
      <c r="D473" s="40" t="s">
        <v>86</v>
      </c>
      <c r="E473" s="40"/>
      <c r="F473" s="38">
        <v>768</v>
      </c>
      <c r="G473" s="38"/>
      <c r="H473" s="38" t="s">
        <v>249</v>
      </c>
      <c r="I473" s="38" t="s">
        <v>138</v>
      </c>
      <c r="J473" s="38">
        <v>4</v>
      </c>
      <c r="K473" s="41">
        <v>0.50539999999999996</v>
      </c>
      <c r="L473" s="38" t="s">
        <v>260</v>
      </c>
      <c r="M473" s="42" t="s">
        <v>90</v>
      </c>
    </row>
    <row r="474" spans="1:13" x14ac:dyDescent="0.3">
      <c r="A474" s="37">
        <v>53</v>
      </c>
      <c r="B474" s="38" t="s">
        <v>248</v>
      </c>
      <c r="C474" s="39">
        <v>7896658032561</v>
      </c>
      <c r="D474" s="40" t="s">
        <v>86</v>
      </c>
      <c r="E474" s="40"/>
      <c r="F474" s="38">
        <v>768</v>
      </c>
      <c r="G474" s="38"/>
      <c r="H474" s="38" t="s">
        <v>249</v>
      </c>
      <c r="I474" s="38" t="s">
        <v>138</v>
      </c>
      <c r="J474" s="38">
        <v>4</v>
      </c>
      <c r="K474" s="41">
        <v>0.50539999999999996</v>
      </c>
      <c r="L474" s="38" t="s">
        <v>261</v>
      </c>
      <c r="M474" s="42" t="s">
        <v>90</v>
      </c>
    </row>
    <row r="475" spans="1:13" x14ac:dyDescent="0.3">
      <c r="A475" s="37">
        <v>53</v>
      </c>
      <c r="B475" s="38" t="s">
        <v>248</v>
      </c>
      <c r="C475" s="39">
        <v>7896658032561</v>
      </c>
      <c r="D475" s="40" t="s">
        <v>86</v>
      </c>
      <c r="E475" s="40"/>
      <c r="F475" s="38">
        <v>768</v>
      </c>
      <c r="G475" s="38"/>
      <c r="H475" s="38" t="s">
        <v>249</v>
      </c>
      <c r="I475" s="38" t="s">
        <v>138</v>
      </c>
      <c r="J475" s="38">
        <v>4</v>
      </c>
      <c r="K475" s="41">
        <v>0.50539999999999996</v>
      </c>
      <c r="L475" s="38" t="s">
        <v>262</v>
      </c>
      <c r="M475" s="42" t="s">
        <v>90</v>
      </c>
    </row>
    <row r="476" spans="1:13" x14ac:dyDescent="0.3">
      <c r="A476" s="37">
        <v>53</v>
      </c>
      <c r="B476" s="38" t="s">
        <v>248</v>
      </c>
      <c r="C476" s="39">
        <v>7896658032561</v>
      </c>
      <c r="D476" s="40" t="s">
        <v>86</v>
      </c>
      <c r="E476" s="40"/>
      <c r="F476" s="38">
        <v>768</v>
      </c>
      <c r="G476" s="38"/>
      <c r="H476" s="38" t="s">
        <v>249</v>
      </c>
      <c r="I476" s="38" t="s">
        <v>138</v>
      </c>
      <c r="J476" s="38">
        <v>4</v>
      </c>
      <c r="K476" s="41">
        <v>0.5121</v>
      </c>
      <c r="L476" s="38" t="s">
        <v>263</v>
      </c>
      <c r="M476" s="42" t="s">
        <v>90</v>
      </c>
    </row>
    <row r="477" spans="1:13" x14ac:dyDescent="0.3">
      <c r="A477" s="37">
        <v>53</v>
      </c>
      <c r="B477" s="38" t="s">
        <v>248</v>
      </c>
      <c r="C477" s="39">
        <v>7896658032561</v>
      </c>
      <c r="D477" s="40" t="s">
        <v>86</v>
      </c>
      <c r="E477" s="40"/>
      <c r="F477" s="38">
        <v>768</v>
      </c>
      <c r="G477" s="38"/>
      <c r="H477" s="38" t="s">
        <v>249</v>
      </c>
      <c r="I477" s="38" t="s">
        <v>138</v>
      </c>
      <c r="J477" s="38">
        <v>4</v>
      </c>
      <c r="K477" s="41">
        <v>0.5121</v>
      </c>
      <c r="L477" s="38" t="s">
        <v>95</v>
      </c>
      <c r="M477" s="42" t="s">
        <v>90</v>
      </c>
    </row>
    <row r="478" spans="1:13" x14ac:dyDescent="0.3">
      <c r="A478" s="37">
        <v>53</v>
      </c>
      <c r="B478" s="38" t="s">
        <v>248</v>
      </c>
      <c r="C478" s="39">
        <v>7896658032561</v>
      </c>
      <c r="D478" s="40" t="s">
        <v>86</v>
      </c>
      <c r="E478" s="40"/>
      <c r="F478" s="38">
        <v>768</v>
      </c>
      <c r="G478" s="38"/>
      <c r="H478" s="38" t="s">
        <v>249</v>
      </c>
      <c r="I478" s="38" t="s">
        <v>138</v>
      </c>
      <c r="J478" s="38">
        <v>4</v>
      </c>
      <c r="K478" s="41">
        <v>0.50539999999999996</v>
      </c>
      <c r="L478" s="38" t="s">
        <v>264</v>
      </c>
      <c r="M478" s="42" t="s">
        <v>90</v>
      </c>
    </row>
    <row r="479" spans="1:13" x14ac:dyDescent="0.3">
      <c r="A479" s="37">
        <v>53</v>
      </c>
      <c r="B479" s="38" t="s">
        <v>248</v>
      </c>
      <c r="C479" s="39">
        <v>7896658032561</v>
      </c>
      <c r="D479" s="40" t="s">
        <v>86</v>
      </c>
      <c r="E479" s="40"/>
      <c r="F479" s="38">
        <v>768</v>
      </c>
      <c r="G479" s="38"/>
      <c r="H479" s="38" t="s">
        <v>249</v>
      </c>
      <c r="I479" s="38" t="s">
        <v>138</v>
      </c>
      <c r="J479" s="38">
        <v>4</v>
      </c>
      <c r="K479" s="41">
        <v>0.50539999999999996</v>
      </c>
      <c r="L479" s="38" t="s">
        <v>265</v>
      </c>
      <c r="M479" s="42" t="s">
        <v>90</v>
      </c>
    </row>
    <row r="480" spans="1:13" x14ac:dyDescent="0.3">
      <c r="A480" s="37">
        <v>53</v>
      </c>
      <c r="B480" s="38" t="s">
        <v>248</v>
      </c>
      <c r="C480" s="39">
        <v>7896658032561</v>
      </c>
      <c r="D480" s="40" t="s">
        <v>86</v>
      </c>
      <c r="E480" s="40"/>
      <c r="F480" s="38">
        <v>768</v>
      </c>
      <c r="G480" s="38"/>
      <c r="H480" s="38" t="s">
        <v>249</v>
      </c>
      <c r="I480" s="38" t="s">
        <v>138</v>
      </c>
      <c r="J480" s="38">
        <v>4</v>
      </c>
      <c r="K480" s="41">
        <v>0.50539999999999996</v>
      </c>
      <c r="L480" s="38" t="s">
        <v>266</v>
      </c>
      <c r="M480" s="42" t="s">
        <v>90</v>
      </c>
    </row>
    <row r="481" spans="1:13" x14ac:dyDescent="0.3">
      <c r="A481" s="37">
        <v>53</v>
      </c>
      <c r="B481" s="38" t="s">
        <v>248</v>
      </c>
      <c r="C481" s="39">
        <v>7896658032561</v>
      </c>
      <c r="D481" s="40" t="s">
        <v>86</v>
      </c>
      <c r="E481" s="40"/>
      <c r="F481" s="38">
        <v>768</v>
      </c>
      <c r="G481" s="38"/>
      <c r="H481" s="38" t="s">
        <v>249</v>
      </c>
      <c r="I481" s="38" t="s">
        <v>138</v>
      </c>
      <c r="J481" s="38">
        <v>4</v>
      </c>
      <c r="K481" s="41">
        <v>0.5121</v>
      </c>
      <c r="L481" s="38" t="s">
        <v>267</v>
      </c>
      <c r="M481" s="42" t="s">
        <v>90</v>
      </c>
    </row>
    <row r="482" spans="1:13" x14ac:dyDescent="0.3">
      <c r="A482" s="37">
        <v>53</v>
      </c>
      <c r="B482" s="38" t="s">
        <v>248</v>
      </c>
      <c r="C482" s="39">
        <v>7896658032561</v>
      </c>
      <c r="D482" s="40" t="s">
        <v>86</v>
      </c>
      <c r="E482" s="40"/>
      <c r="F482" s="38">
        <v>768</v>
      </c>
      <c r="G482" s="38"/>
      <c r="H482" s="38" t="s">
        <v>249</v>
      </c>
      <c r="I482" s="38" t="s">
        <v>138</v>
      </c>
      <c r="J482" s="38">
        <v>4</v>
      </c>
      <c r="K482" s="41">
        <v>0.5121</v>
      </c>
      <c r="L482" s="38" t="s">
        <v>268</v>
      </c>
      <c r="M482" s="42" t="s">
        <v>90</v>
      </c>
    </row>
    <row r="483" spans="1:13" x14ac:dyDescent="0.3">
      <c r="A483" s="37">
        <v>53</v>
      </c>
      <c r="B483" s="38" t="s">
        <v>248</v>
      </c>
      <c r="C483" s="39">
        <v>7896658032561</v>
      </c>
      <c r="D483" s="40" t="s">
        <v>86</v>
      </c>
      <c r="E483" s="40"/>
      <c r="F483" s="38">
        <v>768</v>
      </c>
      <c r="G483" s="38"/>
      <c r="H483" s="38" t="s">
        <v>249</v>
      </c>
      <c r="I483" s="38" t="s">
        <v>138</v>
      </c>
      <c r="J483" s="38">
        <v>4</v>
      </c>
      <c r="K483" s="41">
        <v>0.5121</v>
      </c>
      <c r="L483" s="38" t="s">
        <v>269</v>
      </c>
      <c r="M483" s="42" t="s">
        <v>90</v>
      </c>
    </row>
    <row r="484" spans="1:13" x14ac:dyDescent="0.3">
      <c r="A484" s="37">
        <v>53</v>
      </c>
      <c r="B484" s="38" t="s">
        <v>248</v>
      </c>
      <c r="C484" s="39">
        <v>7896658032561</v>
      </c>
      <c r="D484" s="40" t="s">
        <v>86</v>
      </c>
      <c r="E484" s="40"/>
      <c r="F484" s="38">
        <v>768</v>
      </c>
      <c r="G484" s="38"/>
      <c r="H484" s="38" t="s">
        <v>249</v>
      </c>
      <c r="I484" s="38" t="s">
        <v>138</v>
      </c>
      <c r="J484" s="38">
        <v>4</v>
      </c>
      <c r="K484" s="41">
        <v>0.5121</v>
      </c>
      <c r="L484" s="38" t="s">
        <v>270</v>
      </c>
      <c r="M484" s="42" t="s">
        <v>90</v>
      </c>
    </row>
    <row r="485" spans="1:13" x14ac:dyDescent="0.3">
      <c r="A485" s="37">
        <v>53</v>
      </c>
      <c r="B485" s="38" t="s">
        <v>248</v>
      </c>
      <c r="C485" s="39">
        <v>7896658032561</v>
      </c>
      <c r="D485" s="40" t="s">
        <v>86</v>
      </c>
      <c r="E485" s="40"/>
      <c r="F485" s="38">
        <v>768</v>
      </c>
      <c r="G485" s="38"/>
      <c r="H485" s="38" t="s">
        <v>249</v>
      </c>
      <c r="I485" s="38" t="s">
        <v>138</v>
      </c>
      <c r="J485" s="38">
        <v>4</v>
      </c>
      <c r="K485" s="41">
        <v>0.52529999999999999</v>
      </c>
      <c r="L485" s="38" t="s">
        <v>114</v>
      </c>
      <c r="M485" s="42" t="s">
        <v>90</v>
      </c>
    </row>
    <row r="486" spans="1:13" x14ac:dyDescent="0.3">
      <c r="A486" s="37">
        <v>53</v>
      </c>
      <c r="B486" s="38" t="s">
        <v>248</v>
      </c>
      <c r="C486" s="39">
        <v>7896658032561</v>
      </c>
      <c r="D486" s="40" t="s">
        <v>86</v>
      </c>
      <c r="E486" s="40"/>
      <c r="F486" s="38">
        <v>768</v>
      </c>
      <c r="G486" s="38"/>
      <c r="H486" s="38" t="s">
        <v>249</v>
      </c>
      <c r="I486" s="38" t="s">
        <v>138</v>
      </c>
      <c r="J486" s="38">
        <v>4</v>
      </c>
      <c r="K486" s="41">
        <v>0.5121</v>
      </c>
      <c r="L486" s="38" t="s">
        <v>271</v>
      </c>
      <c r="M486" s="42" t="s">
        <v>90</v>
      </c>
    </row>
    <row r="487" spans="1:13" x14ac:dyDescent="0.3">
      <c r="A487" s="37">
        <v>53</v>
      </c>
      <c r="B487" s="38" t="s">
        <v>248</v>
      </c>
      <c r="C487" s="39">
        <v>7896658032561</v>
      </c>
      <c r="D487" s="40" t="s">
        <v>86</v>
      </c>
      <c r="E487" s="40"/>
      <c r="F487" s="38">
        <v>768</v>
      </c>
      <c r="G487" s="38"/>
      <c r="H487" s="38" t="s">
        <v>249</v>
      </c>
      <c r="I487" s="38" t="s">
        <v>138</v>
      </c>
      <c r="J487" s="38">
        <v>4</v>
      </c>
      <c r="K487" s="41">
        <v>0.45550000000000002</v>
      </c>
      <c r="L487" s="38" t="s">
        <v>272</v>
      </c>
      <c r="M487" s="42" t="s">
        <v>273</v>
      </c>
    </row>
    <row r="488" spans="1:13" x14ac:dyDescent="0.3">
      <c r="A488" s="37">
        <v>53</v>
      </c>
      <c r="B488" s="38" t="s">
        <v>248</v>
      </c>
      <c r="C488" s="39">
        <v>7896658032561</v>
      </c>
      <c r="D488" s="40" t="s">
        <v>86</v>
      </c>
      <c r="E488" s="40"/>
      <c r="F488" s="38">
        <v>768</v>
      </c>
      <c r="G488" s="38"/>
      <c r="H488" s="38" t="s">
        <v>249</v>
      </c>
      <c r="I488" s="38" t="s">
        <v>138</v>
      </c>
      <c r="J488" s="38">
        <v>4</v>
      </c>
      <c r="K488" s="41">
        <v>0.50870000000000004</v>
      </c>
      <c r="L488" s="38" t="s">
        <v>272</v>
      </c>
      <c r="M488" s="42" t="s">
        <v>90</v>
      </c>
    </row>
    <row r="489" spans="1:13" x14ac:dyDescent="0.3">
      <c r="A489" s="37">
        <v>53</v>
      </c>
      <c r="B489" s="38" t="s">
        <v>248</v>
      </c>
      <c r="C489" s="39">
        <v>7896658032561</v>
      </c>
      <c r="D489" s="40" t="s">
        <v>86</v>
      </c>
      <c r="E489" s="40"/>
      <c r="F489" s="38">
        <v>768</v>
      </c>
      <c r="G489" s="38"/>
      <c r="H489" s="38" t="s">
        <v>249</v>
      </c>
      <c r="I489" s="38" t="s">
        <v>138</v>
      </c>
      <c r="J489" s="38">
        <v>4</v>
      </c>
      <c r="K489" s="41">
        <v>0.45219999999999999</v>
      </c>
      <c r="L489" s="38" t="s">
        <v>274</v>
      </c>
      <c r="M489" s="42" t="s">
        <v>275</v>
      </c>
    </row>
    <row r="490" spans="1:13" x14ac:dyDescent="0.3">
      <c r="A490" s="37">
        <v>53</v>
      </c>
      <c r="B490" s="38" t="s">
        <v>248</v>
      </c>
      <c r="C490" s="39">
        <v>7896658032561</v>
      </c>
      <c r="D490" s="40" t="s">
        <v>86</v>
      </c>
      <c r="E490" s="40"/>
      <c r="F490" s="38">
        <v>768</v>
      </c>
      <c r="G490" s="38"/>
      <c r="H490" s="38" t="s">
        <v>249</v>
      </c>
      <c r="I490" s="38" t="s">
        <v>138</v>
      </c>
      <c r="J490" s="38">
        <v>4</v>
      </c>
      <c r="K490" s="41">
        <v>0.45219999999999999</v>
      </c>
      <c r="L490" s="38" t="s">
        <v>274</v>
      </c>
      <c r="M490" s="42" t="s">
        <v>276</v>
      </c>
    </row>
    <row r="491" spans="1:13" x14ac:dyDescent="0.3">
      <c r="A491" s="37">
        <v>53</v>
      </c>
      <c r="B491" s="38" t="s">
        <v>248</v>
      </c>
      <c r="C491" s="39">
        <v>7896658032561</v>
      </c>
      <c r="D491" s="40" t="s">
        <v>86</v>
      </c>
      <c r="E491" s="40"/>
      <c r="F491" s="38">
        <v>768</v>
      </c>
      <c r="G491" s="38"/>
      <c r="H491" s="38" t="s">
        <v>249</v>
      </c>
      <c r="I491" s="38" t="s">
        <v>138</v>
      </c>
      <c r="J491" s="38">
        <v>4</v>
      </c>
      <c r="K491" s="41">
        <v>0.50539999999999996</v>
      </c>
      <c r="L491" s="38" t="s">
        <v>274</v>
      </c>
      <c r="M491" s="42" t="s">
        <v>90</v>
      </c>
    </row>
    <row r="492" spans="1:13" x14ac:dyDescent="0.3">
      <c r="A492" s="37">
        <v>53</v>
      </c>
      <c r="B492" s="38" t="s">
        <v>248</v>
      </c>
      <c r="C492" s="39">
        <v>7896658032561</v>
      </c>
      <c r="D492" s="40" t="s">
        <v>86</v>
      </c>
      <c r="E492" s="40"/>
      <c r="F492" s="38">
        <v>768</v>
      </c>
      <c r="G492" s="38"/>
      <c r="H492" s="38" t="s">
        <v>249</v>
      </c>
      <c r="I492" s="38" t="s">
        <v>138</v>
      </c>
      <c r="J492" s="38">
        <v>4</v>
      </c>
      <c r="K492" s="41">
        <v>0.5121</v>
      </c>
      <c r="L492" s="38" t="s">
        <v>152</v>
      </c>
      <c r="M492" s="42" t="s">
        <v>90</v>
      </c>
    </row>
    <row r="493" spans="1:13" x14ac:dyDescent="0.3">
      <c r="A493" s="37">
        <v>53</v>
      </c>
      <c r="B493" s="38" t="s">
        <v>248</v>
      </c>
      <c r="C493" s="39">
        <v>7896658032561</v>
      </c>
      <c r="D493" s="40" t="s">
        <v>86</v>
      </c>
      <c r="E493" s="40"/>
      <c r="F493" s="38">
        <v>768</v>
      </c>
      <c r="G493" s="38"/>
      <c r="H493" s="38" t="s">
        <v>249</v>
      </c>
      <c r="I493" s="38" t="s">
        <v>138</v>
      </c>
      <c r="J493" s="38">
        <v>4</v>
      </c>
      <c r="K493" s="41">
        <v>0.50539999999999996</v>
      </c>
      <c r="L493" s="38" t="s">
        <v>127</v>
      </c>
      <c r="M493" s="42" t="s">
        <v>90</v>
      </c>
    </row>
    <row r="494" spans="1:13" x14ac:dyDescent="0.3">
      <c r="A494" s="37">
        <v>53</v>
      </c>
      <c r="B494" s="38" t="s">
        <v>248</v>
      </c>
      <c r="C494" s="39">
        <v>7896658032561</v>
      </c>
      <c r="D494" s="40" t="s">
        <v>86</v>
      </c>
      <c r="E494" s="40"/>
      <c r="F494" s="38">
        <v>768</v>
      </c>
      <c r="G494" s="38"/>
      <c r="H494" s="38" t="s">
        <v>249</v>
      </c>
      <c r="I494" s="38" t="s">
        <v>138</v>
      </c>
      <c r="J494" s="38">
        <v>4</v>
      </c>
      <c r="K494" s="41">
        <v>0.5121</v>
      </c>
      <c r="L494" s="38" t="s">
        <v>277</v>
      </c>
      <c r="M494" s="42" t="s">
        <v>90</v>
      </c>
    </row>
    <row r="495" spans="1:13" x14ac:dyDescent="0.3">
      <c r="A495" s="37">
        <v>53</v>
      </c>
      <c r="B495" s="38" t="s">
        <v>248</v>
      </c>
      <c r="C495" s="39">
        <v>7896658032561</v>
      </c>
      <c r="D495" s="40" t="s">
        <v>86</v>
      </c>
      <c r="E495" s="40"/>
      <c r="F495" s="38">
        <v>768</v>
      </c>
      <c r="G495" s="38"/>
      <c r="H495" s="38" t="s">
        <v>249</v>
      </c>
      <c r="I495" s="38" t="s">
        <v>138</v>
      </c>
      <c r="J495" s="38">
        <v>4</v>
      </c>
      <c r="K495" s="41">
        <v>0.5121</v>
      </c>
      <c r="L495" s="38" t="s">
        <v>278</v>
      </c>
      <c r="M495" s="42" t="s">
        <v>90</v>
      </c>
    </row>
    <row r="496" spans="1:13" x14ac:dyDescent="0.3">
      <c r="A496" s="37">
        <v>53</v>
      </c>
      <c r="B496" s="38" t="s">
        <v>248</v>
      </c>
      <c r="C496" s="39">
        <v>7896658032561</v>
      </c>
      <c r="D496" s="40" t="s">
        <v>86</v>
      </c>
      <c r="E496" s="40"/>
      <c r="F496" s="38">
        <v>768</v>
      </c>
      <c r="G496" s="38"/>
      <c r="H496" s="38" t="s">
        <v>249</v>
      </c>
      <c r="I496" s="38" t="s">
        <v>138</v>
      </c>
      <c r="J496" s="38">
        <v>4</v>
      </c>
      <c r="K496" s="41">
        <v>0.5121</v>
      </c>
      <c r="L496" s="38" t="s">
        <v>279</v>
      </c>
      <c r="M496" s="42" t="s">
        <v>90</v>
      </c>
    </row>
    <row r="497" spans="1:13" x14ac:dyDescent="0.3">
      <c r="A497" s="37">
        <v>53</v>
      </c>
      <c r="B497" s="38" t="s">
        <v>248</v>
      </c>
      <c r="C497" s="39">
        <v>7896658032561</v>
      </c>
      <c r="D497" s="40" t="s">
        <v>86</v>
      </c>
      <c r="E497" s="40"/>
      <c r="F497" s="38">
        <v>768</v>
      </c>
      <c r="G497" s="38"/>
      <c r="H497" s="38" t="s">
        <v>249</v>
      </c>
      <c r="I497" s="38" t="s">
        <v>138</v>
      </c>
      <c r="J497" s="38">
        <v>4</v>
      </c>
      <c r="K497" s="41">
        <v>0</v>
      </c>
      <c r="L497" s="38" t="s">
        <v>89</v>
      </c>
      <c r="M497" s="42" t="s">
        <v>90</v>
      </c>
    </row>
    <row r="498" spans="1:13" x14ac:dyDescent="0.3">
      <c r="A498" s="37">
        <v>53</v>
      </c>
      <c r="B498" s="38" t="s">
        <v>280</v>
      </c>
      <c r="C498" s="39">
        <v>7896658032578</v>
      </c>
      <c r="D498" s="40" t="s">
        <v>86</v>
      </c>
      <c r="E498" s="40"/>
      <c r="F498" s="38">
        <v>768</v>
      </c>
      <c r="G498" s="38"/>
      <c r="H498" s="38" t="s">
        <v>249</v>
      </c>
      <c r="I498" s="38" t="s">
        <v>138</v>
      </c>
      <c r="J498" s="38">
        <v>4</v>
      </c>
      <c r="K498" s="41">
        <v>0.43890000000000001</v>
      </c>
      <c r="L498" s="38" t="s">
        <v>139</v>
      </c>
      <c r="M498" s="42" t="s">
        <v>250</v>
      </c>
    </row>
    <row r="499" spans="1:13" x14ac:dyDescent="0.3">
      <c r="A499" s="37">
        <v>53</v>
      </c>
      <c r="B499" s="38" t="s">
        <v>280</v>
      </c>
      <c r="C499" s="39">
        <v>7896658032578</v>
      </c>
      <c r="D499" s="40" t="s">
        <v>86</v>
      </c>
      <c r="E499" s="40"/>
      <c r="F499" s="38">
        <v>768</v>
      </c>
      <c r="G499" s="38"/>
      <c r="H499" s="38" t="s">
        <v>249</v>
      </c>
      <c r="I499" s="38" t="s">
        <v>138</v>
      </c>
      <c r="J499" s="38">
        <v>4</v>
      </c>
      <c r="K499" s="41">
        <v>0.43890000000000001</v>
      </c>
      <c r="L499" s="38" t="s">
        <v>139</v>
      </c>
      <c r="M499" s="42" t="s">
        <v>251</v>
      </c>
    </row>
    <row r="500" spans="1:13" x14ac:dyDescent="0.3">
      <c r="A500" s="37">
        <v>53</v>
      </c>
      <c r="B500" s="38" t="s">
        <v>280</v>
      </c>
      <c r="C500" s="39">
        <v>7896658032578</v>
      </c>
      <c r="D500" s="40" t="s">
        <v>86</v>
      </c>
      <c r="E500" s="40"/>
      <c r="F500" s="38">
        <v>768</v>
      </c>
      <c r="G500" s="38"/>
      <c r="H500" s="38" t="s">
        <v>249</v>
      </c>
      <c r="I500" s="38" t="s">
        <v>138</v>
      </c>
      <c r="J500" s="38">
        <v>4</v>
      </c>
      <c r="K500" s="41">
        <v>0.43890000000000001</v>
      </c>
      <c r="L500" s="38" t="s">
        <v>139</v>
      </c>
      <c r="M500" s="42" t="s">
        <v>252</v>
      </c>
    </row>
    <row r="501" spans="1:13" x14ac:dyDescent="0.3">
      <c r="A501" s="37">
        <v>53</v>
      </c>
      <c r="B501" s="38" t="s">
        <v>280</v>
      </c>
      <c r="C501" s="39">
        <v>7896658032578</v>
      </c>
      <c r="D501" s="40" t="s">
        <v>86</v>
      </c>
      <c r="E501" s="40"/>
      <c r="F501" s="38">
        <v>768</v>
      </c>
      <c r="G501" s="38"/>
      <c r="H501" s="38" t="s">
        <v>249</v>
      </c>
      <c r="I501" s="38" t="s">
        <v>138</v>
      </c>
      <c r="J501" s="38">
        <v>4</v>
      </c>
      <c r="K501" s="41">
        <v>0.49340000000000001</v>
      </c>
      <c r="L501" s="38" t="s">
        <v>139</v>
      </c>
      <c r="M501" s="42" t="s">
        <v>90</v>
      </c>
    </row>
    <row r="502" spans="1:13" x14ac:dyDescent="0.3">
      <c r="A502" s="37">
        <v>53</v>
      </c>
      <c r="B502" s="38" t="s">
        <v>280</v>
      </c>
      <c r="C502" s="39">
        <v>7896658032578</v>
      </c>
      <c r="D502" s="40" t="s">
        <v>86</v>
      </c>
      <c r="E502" s="40"/>
      <c r="F502" s="38">
        <v>768</v>
      </c>
      <c r="G502" s="38"/>
      <c r="H502" s="38" t="s">
        <v>249</v>
      </c>
      <c r="I502" s="38" t="s">
        <v>138</v>
      </c>
      <c r="J502" s="38">
        <v>4</v>
      </c>
      <c r="K502" s="41">
        <v>0.49340000000000001</v>
      </c>
      <c r="L502" s="38" t="s">
        <v>253</v>
      </c>
      <c r="M502" s="42" t="s">
        <v>90</v>
      </c>
    </row>
    <row r="503" spans="1:13" x14ac:dyDescent="0.3">
      <c r="A503" s="37">
        <v>53</v>
      </c>
      <c r="B503" s="38" t="s">
        <v>280</v>
      </c>
      <c r="C503" s="39">
        <v>7896658032578</v>
      </c>
      <c r="D503" s="40" t="s">
        <v>86</v>
      </c>
      <c r="E503" s="40"/>
      <c r="F503" s="38">
        <v>768</v>
      </c>
      <c r="G503" s="38"/>
      <c r="H503" s="38" t="s">
        <v>249</v>
      </c>
      <c r="I503" s="38" t="s">
        <v>138</v>
      </c>
      <c r="J503" s="38">
        <v>4</v>
      </c>
      <c r="K503" s="41">
        <v>0.4456</v>
      </c>
      <c r="L503" s="38" t="s">
        <v>254</v>
      </c>
      <c r="M503" s="42" t="s">
        <v>255</v>
      </c>
    </row>
    <row r="504" spans="1:13" x14ac:dyDescent="0.3">
      <c r="A504" s="37">
        <v>53</v>
      </c>
      <c r="B504" s="38" t="s">
        <v>280</v>
      </c>
      <c r="C504" s="39">
        <v>7896658032578</v>
      </c>
      <c r="D504" s="40" t="s">
        <v>86</v>
      </c>
      <c r="E504" s="40"/>
      <c r="F504" s="38">
        <v>768</v>
      </c>
      <c r="G504" s="38"/>
      <c r="H504" s="38" t="s">
        <v>249</v>
      </c>
      <c r="I504" s="38" t="s">
        <v>138</v>
      </c>
      <c r="J504" s="38">
        <v>4</v>
      </c>
      <c r="K504" s="41">
        <v>0.4456</v>
      </c>
      <c r="L504" s="38" t="s">
        <v>254</v>
      </c>
      <c r="M504" s="42" t="s">
        <v>256</v>
      </c>
    </row>
    <row r="505" spans="1:13" x14ac:dyDescent="0.3">
      <c r="A505" s="37">
        <v>53</v>
      </c>
      <c r="B505" s="38" t="s">
        <v>280</v>
      </c>
      <c r="C505" s="39">
        <v>7896658032578</v>
      </c>
      <c r="D505" s="40" t="s">
        <v>86</v>
      </c>
      <c r="E505" s="40"/>
      <c r="F505" s="38">
        <v>768</v>
      </c>
      <c r="G505" s="38"/>
      <c r="H505" s="38" t="s">
        <v>249</v>
      </c>
      <c r="I505" s="38" t="s">
        <v>138</v>
      </c>
      <c r="J505" s="38">
        <v>4</v>
      </c>
      <c r="K505" s="41">
        <v>0.50019999999999998</v>
      </c>
      <c r="L505" s="38" t="s">
        <v>254</v>
      </c>
      <c r="M505" s="42" t="s">
        <v>90</v>
      </c>
    </row>
    <row r="506" spans="1:13" x14ac:dyDescent="0.3">
      <c r="A506" s="37">
        <v>53</v>
      </c>
      <c r="B506" s="38" t="s">
        <v>280</v>
      </c>
      <c r="C506" s="39">
        <v>7896658032578</v>
      </c>
      <c r="D506" s="40" t="s">
        <v>86</v>
      </c>
      <c r="E506" s="40"/>
      <c r="F506" s="38">
        <v>768</v>
      </c>
      <c r="G506" s="38"/>
      <c r="H506" s="38" t="s">
        <v>249</v>
      </c>
      <c r="I506" s="38" t="s">
        <v>138</v>
      </c>
      <c r="J506" s="38">
        <v>4</v>
      </c>
      <c r="K506" s="41">
        <v>0.4456</v>
      </c>
      <c r="L506" s="38" t="s">
        <v>257</v>
      </c>
      <c r="M506" s="42" t="s">
        <v>258</v>
      </c>
    </row>
    <row r="507" spans="1:13" x14ac:dyDescent="0.3">
      <c r="A507" s="37">
        <v>53</v>
      </c>
      <c r="B507" s="38" t="s">
        <v>280</v>
      </c>
      <c r="C507" s="39">
        <v>7896658032578</v>
      </c>
      <c r="D507" s="40" t="s">
        <v>86</v>
      </c>
      <c r="E507" s="40"/>
      <c r="F507" s="38">
        <v>768</v>
      </c>
      <c r="G507" s="38"/>
      <c r="H507" s="38" t="s">
        <v>249</v>
      </c>
      <c r="I507" s="38" t="s">
        <v>138</v>
      </c>
      <c r="J507" s="38">
        <v>4</v>
      </c>
      <c r="K507" s="41">
        <v>0.4456</v>
      </c>
      <c r="L507" s="38" t="s">
        <v>257</v>
      </c>
      <c r="M507" s="42" t="s">
        <v>259</v>
      </c>
    </row>
    <row r="508" spans="1:13" x14ac:dyDescent="0.3">
      <c r="A508" s="37">
        <v>53</v>
      </c>
      <c r="B508" s="38" t="s">
        <v>280</v>
      </c>
      <c r="C508" s="39">
        <v>7896658032578</v>
      </c>
      <c r="D508" s="40" t="s">
        <v>86</v>
      </c>
      <c r="E508" s="40"/>
      <c r="F508" s="38">
        <v>768</v>
      </c>
      <c r="G508" s="38"/>
      <c r="H508" s="38" t="s">
        <v>249</v>
      </c>
      <c r="I508" s="38" t="s">
        <v>138</v>
      </c>
      <c r="J508" s="38">
        <v>4</v>
      </c>
      <c r="K508" s="41">
        <v>0.50019999999999998</v>
      </c>
      <c r="L508" s="38" t="s">
        <v>257</v>
      </c>
      <c r="M508" s="42" t="s">
        <v>90</v>
      </c>
    </row>
    <row r="509" spans="1:13" x14ac:dyDescent="0.3">
      <c r="A509" s="37">
        <v>53</v>
      </c>
      <c r="B509" s="38" t="s">
        <v>280</v>
      </c>
      <c r="C509" s="39">
        <v>7896658032578</v>
      </c>
      <c r="D509" s="40" t="s">
        <v>86</v>
      </c>
      <c r="E509" s="40"/>
      <c r="F509" s="38">
        <v>768</v>
      </c>
      <c r="G509" s="38"/>
      <c r="H509" s="38" t="s">
        <v>249</v>
      </c>
      <c r="I509" s="38" t="s">
        <v>138</v>
      </c>
      <c r="J509" s="38">
        <v>4</v>
      </c>
      <c r="K509" s="41">
        <v>0.50019999999999998</v>
      </c>
      <c r="L509" s="38" t="s">
        <v>132</v>
      </c>
      <c r="M509" s="42" t="s">
        <v>90</v>
      </c>
    </row>
    <row r="510" spans="1:13" x14ac:dyDescent="0.3">
      <c r="A510" s="37">
        <v>53</v>
      </c>
      <c r="B510" s="38" t="s">
        <v>280</v>
      </c>
      <c r="C510" s="39">
        <v>7896658032578</v>
      </c>
      <c r="D510" s="40" t="s">
        <v>86</v>
      </c>
      <c r="E510" s="40"/>
      <c r="F510" s="38">
        <v>768</v>
      </c>
      <c r="G510" s="38"/>
      <c r="H510" s="38" t="s">
        <v>249</v>
      </c>
      <c r="I510" s="38" t="s">
        <v>138</v>
      </c>
      <c r="J510" s="38">
        <v>4</v>
      </c>
      <c r="K510" s="41">
        <v>0.50019999999999998</v>
      </c>
      <c r="L510" s="38" t="s">
        <v>94</v>
      </c>
      <c r="M510" s="42" t="s">
        <v>90</v>
      </c>
    </row>
    <row r="511" spans="1:13" x14ac:dyDescent="0.3">
      <c r="A511" s="37">
        <v>53</v>
      </c>
      <c r="B511" s="38" t="s">
        <v>280</v>
      </c>
      <c r="C511" s="39">
        <v>7896658032578</v>
      </c>
      <c r="D511" s="40" t="s">
        <v>86</v>
      </c>
      <c r="E511" s="40"/>
      <c r="F511" s="38">
        <v>768</v>
      </c>
      <c r="G511" s="38"/>
      <c r="H511" s="38" t="s">
        <v>249</v>
      </c>
      <c r="I511" s="38" t="s">
        <v>138</v>
      </c>
      <c r="J511" s="38">
        <v>4</v>
      </c>
      <c r="K511" s="41">
        <v>0.49340000000000001</v>
      </c>
      <c r="L511" s="38" t="s">
        <v>260</v>
      </c>
      <c r="M511" s="42" t="s">
        <v>90</v>
      </c>
    </row>
    <row r="512" spans="1:13" x14ac:dyDescent="0.3">
      <c r="A512" s="37">
        <v>53</v>
      </c>
      <c r="B512" s="38" t="s">
        <v>280</v>
      </c>
      <c r="C512" s="39">
        <v>7896658032578</v>
      </c>
      <c r="D512" s="40" t="s">
        <v>86</v>
      </c>
      <c r="E512" s="40"/>
      <c r="F512" s="38">
        <v>768</v>
      </c>
      <c r="G512" s="38"/>
      <c r="H512" s="38" t="s">
        <v>249</v>
      </c>
      <c r="I512" s="38" t="s">
        <v>138</v>
      </c>
      <c r="J512" s="38">
        <v>4</v>
      </c>
      <c r="K512" s="41">
        <v>0.49340000000000001</v>
      </c>
      <c r="L512" s="38" t="s">
        <v>261</v>
      </c>
      <c r="M512" s="42" t="s">
        <v>90</v>
      </c>
    </row>
    <row r="513" spans="1:13" x14ac:dyDescent="0.3">
      <c r="A513" s="37">
        <v>53</v>
      </c>
      <c r="B513" s="38" t="s">
        <v>280</v>
      </c>
      <c r="C513" s="39">
        <v>7896658032578</v>
      </c>
      <c r="D513" s="40" t="s">
        <v>86</v>
      </c>
      <c r="E513" s="40"/>
      <c r="F513" s="38">
        <v>768</v>
      </c>
      <c r="G513" s="38"/>
      <c r="H513" s="38" t="s">
        <v>249</v>
      </c>
      <c r="I513" s="38" t="s">
        <v>138</v>
      </c>
      <c r="J513" s="38">
        <v>4</v>
      </c>
      <c r="K513" s="41">
        <v>0.49340000000000001</v>
      </c>
      <c r="L513" s="38" t="s">
        <v>262</v>
      </c>
      <c r="M513" s="42" t="s">
        <v>90</v>
      </c>
    </row>
    <row r="514" spans="1:13" x14ac:dyDescent="0.3">
      <c r="A514" s="37">
        <v>53</v>
      </c>
      <c r="B514" s="38" t="s">
        <v>280</v>
      </c>
      <c r="C514" s="39">
        <v>7896658032578</v>
      </c>
      <c r="D514" s="40" t="s">
        <v>86</v>
      </c>
      <c r="E514" s="40"/>
      <c r="F514" s="38">
        <v>768</v>
      </c>
      <c r="G514" s="38"/>
      <c r="H514" s="38" t="s">
        <v>249</v>
      </c>
      <c r="I514" s="38" t="s">
        <v>138</v>
      </c>
      <c r="J514" s="38">
        <v>4</v>
      </c>
      <c r="K514" s="41">
        <v>0.50019999999999998</v>
      </c>
      <c r="L514" s="38" t="s">
        <v>263</v>
      </c>
      <c r="M514" s="42" t="s">
        <v>90</v>
      </c>
    </row>
    <row r="515" spans="1:13" x14ac:dyDescent="0.3">
      <c r="A515" s="37">
        <v>53</v>
      </c>
      <c r="B515" s="38" t="s">
        <v>280</v>
      </c>
      <c r="C515" s="39">
        <v>7896658032578</v>
      </c>
      <c r="D515" s="40" t="s">
        <v>86</v>
      </c>
      <c r="E515" s="40"/>
      <c r="F515" s="38">
        <v>768</v>
      </c>
      <c r="G515" s="38"/>
      <c r="H515" s="38" t="s">
        <v>249</v>
      </c>
      <c r="I515" s="38" t="s">
        <v>138</v>
      </c>
      <c r="J515" s="38">
        <v>4</v>
      </c>
      <c r="K515" s="41">
        <v>0.50019999999999998</v>
      </c>
      <c r="L515" s="38" t="s">
        <v>95</v>
      </c>
      <c r="M515" s="42" t="s">
        <v>90</v>
      </c>
    </row>
    <row r="516" spans="1:13" x14ac:dyDescent="0.3">
      <c r="A516" s="37">
        <v>53</v>
      </c>
      <c r="B516" s="38" t="s">
        <v>280</v>
      </c>
      <c r="C516" s="39">
        <v>7896658032578</v>
      </c>
      <c r="D516" s="40" t="s">
        <v>86</v>
      </c>
      <c r="E516" s="40"/>
      <c r="F516" s="38">
        <v>768</v>
      </c>
      <c r="G516" s="38"/>
      <c r="H516" s="38" t="s">
        <v>249</v>
      </c>
      <c r="I516" s="38" t="s">
        <v>138</v>
      </c>
      <c r="J516" s="38">
        <v>4</v>
      </c>
      <c r="K516" s="41">
        <v>0.49340000000000001</v>
      </c>
      <c r="L516" s="38" t="s">
        <v>264</v>
      </c>
      <c r="M516" s="42" t="s">
        <v>90</v>
      </c>
    </row>
    <row r="517" spans="1:13" x14ac:dyDescent="0.3">
      <c r="A517" s="37">
        <v>53</v>
      </c>
      <c r="B517" s="38" t="s">
        <v>280</v>
      </c>
      <c r="C517" s="39">
        <v>7896658032578</v>
      </c>
      <c r="D517" s="40" t="s">
        <v>86</v>
      </c>
      <c r="E517" s="40"/>
      <c r="F517" s="38">
        <v>768</v>
      </c>
      <c r="G517" s="38"/>
      <c r="H517" s="38" t="s">
        <v>249</v>
      </c>
      <c r="I517" s="38" t="s">
        <v>138</v>
      </c>
      <c r="J517" s="38">
        <v>4</v>
      </c>
      <c r="K517" s="41">
        <v>0.49340000000000001</v>
      </c>
      <c r="L517" s="38" t="s">
        <v>265</v>
      </c>
      <c r="M517" s="42" t="s">
        <v>90</v>
      </c>
    </row>
    <row r="518" spans="1:13" x14ac:dyDescent="0.3">
      <c r="A518" s="37">
        <v>53</v>
      </c>
      <c r="B518" s="38" t="s">
        <v>280</v>
      </c>
      <c r="C518" s="39">
        <v>7896658032578</v>
      </c>
      <c r="D518" s="40" t="s">
        <v>86</v>
      </c>
      <c r="E518" s="40"/>
      <c r="F518" s="38">
        <v>768</v>
      </c>
      <c r="G518" s="38"/>
      <c r="H518" s="38" t="s">
        <v>249</v>
      </c>
      <c r="I518" s="38" t="s">
        <v>138</v>
      </c>
      <c r="J518" s="38">
        <v>4</v>
      </c>
      <c r="K518" s="41">
        <v>0.49340000000000001</v>
      </c>
      <c r="L518" s="38" t="s">
        <v>266</v>
      </c>
      <c r="M518" s="42" t="s">
        <v>90</v>
      </c>
    </row>
    <row r="519" spans="1:13" x14ac:dyDescent="0.3">
      <c r="A519" s="37">
        <v>53</v>
      </c>
      <c r="B519" s="38" t="s">
        <v>280</v>
      </c>
      <c r="C519" s="39">
        <v>7896658032578</v>
      </c>
      <c r="D519" s="40" t="s">
        <v>86</v>
      </c>
      <c r="E519" s="40"/>
      <c r="F519" s="38">
        <v>768</v>
      </c>
      <c r="G519" s="38"/>
      <c r="H519" s="38" t="s">
        <v>249</v>
      </c>
      <c r="I519" s="38" t="s">
        <v>138</v>
      </c>
      <c r="J519" s="38">
        <v>4</v>
      </c>
      <c r="K519" s="41">
        <v>0.50019999999999998</v>
      </c>
      <c r="L519" s="38" t="s">
        <v>267</v>
      </c>
      <c r="M519" s="42" t="s">
        <v>90</v>
      </c>
    </row>
    <row r="520" spans="1:13" x14ac:dyDescent="0.3">
      <c r="A520" s="37">
        <v>53</v>
      </c>
      <c r="B520" s="38" t="s">
        <v>280</v>
      </c>
      <c r="C520" s="39">
        <v>7896658032578</v>
      </c>
      <c r="D520" s="40" t="s">
        <v>86</v>
      </c>
      <c r="E520" s="40"/>
      <c r="F520" s="38">
        <v>768</v>
      </c>
      <c r="G520" s="38"/>
      <c r="H520" s="38" t="s">
        <v>249</v>
      </c>
      <c r="I520" s="38" t="s">
        <v>138</v>
      </c>
      <c r="J520" s="38">
        <v>4</v>
      </c>
      <c r="K520" s="41">
        <v>0.50019999999999998</v>
      </c>
      <c r="L520" s="38" t="s">
        <v>268</v>
      </c>
      <c r="M520" s="42" t="s">
        <v>90</v>
      </c>
    </row>
    <row r="521" spans="1:13" x14ac:dyDescent="0.3">
      <c r="A521" s="37">
        <v>53</v>
      </c>
      <c r="B521" s="38" t="s">
        <v>280</v>
      </c>
      <c r="C521" s="39">
        <v>7896658032578</v>
      </c>
      <c r="D521" s="40" t="s">
        <v>86</v>
      </c>
      <c r="E521" s="40"/>
      <c r="F521" s="38">
        <v>768</v>
      </c>
      <c r="G521" s="38"/>
      <c r="H521" s="38" t="s">
        <v>249</v>
      </c>
      <c r="I521" s="38" t="s">
        <v>138</v>
      </c>
      <c r="J521" s="38">
        <v>4</v>
      </c>
      <c r="K521" s="41">
        <v>0.50019999999999998</v>
      </c>
      <c r="L521" s="38" t="s">
        <v>269</v>
      </c>
      <c r="M521" s="42" t="s">
        <v>90</v>
      </c>
    </row>
    <row r="522" spans="1:13" x14ac:dyDescent="0.3">
      <c r="A522" s="37">
        <v>53</v>
      </c>
      <c r="B522" s="38" t="s">
        <v>280</v>
      </c>
      <c r="C522" s="39">
        <v>7896658032578</v>
      </c>
      <c r="D522" s="40" t="s">
        <v>86</v>
      </c>
      <c r="E522" s="40"/>
      <c r="F522" s="38">
        <v>768</v>
      </c>
      <c r="G522" s="38"/>
      <c r="H522" s="38" t="s">
        <v>249</v>
      </c>
      <c r="I522" s="38" t="s">
        <v>138</v>
      </c>
      <c r="J522" s="38">
        <v>4</v>
      </c>
      <c r="K522" s="41">
        <v>0.50019999999999998</v>
      </c>
      <c r="L522" s="38" t="s">
        <v>270</v>
      </c>
      <c r="M522" s="42" t="s">
        <v>90</v>
      </c>
    </row>
    <row r="523" spans="1:13" x14ac:dyDescent="0.3">
      <c r="A523" s="37">
        <v>53</v>
      </c>
      <c r="B523" s="38" t="s">
        <v>280</v>
      </c>
      <c r="C523" s="39">
        <v>7896658032578</v>
      </c>
      <c r="D523" s="40" t="s">
        <v>86</v>
      </c>
      <c r="E523" s="40"/>
      <c r="F523" s="38">
        <v>768</v>
      </c>
      <c r="G523" s="38"/>
      <c r="H523" s="38" t="s">
        <v>249</v>
      </c>
      <c r="I523" s="38" t="s">
        <v>138</v>
      </c>
      <c r="J523" s="38">
        <v>4</v>
      </c>
      <c r="K523" s="41">
        <v>0.51380000000000003</v>
      </c>
      <c r="L523" s="38" t="s">
        <v>114</v>
      </c>
      <c r="M523" s="42" t="s">
        <v>90</v>
      </c>
    </row>
    <row r="524" spans="1:13" x14ac:dyDescent="0.3">
      <c r="A524" s="37">
        <v>53</v>
      </c>
      <c r="B524" s="38" t="s">
        <v>280</v>
      </c>
      <c r="C524" s="39">
        <v>7896658032578</v>
      </c>
      <c r="D524" s="40" t="s">
        <v>86</v>
      </c>
      <c r="E524" s="40"/>
      <c r="F524" s="38">
        <v>768</v>
      </c>
      <c r="G524" s="38"/>
      <c r="H524" s="38" t="s">
        <v>249</v>
      </c>
      <c r="I524" s="38" t="s">
        <v>138</v>
      </c>
      <c r="J524" s="38">
        <v>4</v>
      </c>
      <c r="K524" s="41">
        <v>0.50019999999999998</v>
      </c>
      <c r="L524" s="38" t="s">
        <v>271</v>
      </c>
      <c r="M524" s="42" t="s">
        <v>90</v>
      </c>
    </row>
    <row r="525" spans="1:13" x14ac:dyDescent="0.3">
      <c r="A525" s="37">
        <v>53</v>
      </c>
      <c r="B525" s="38" t="s">
        <v>280</v>
      </c>
      <c r="C525" s="39">
        <v>7896658032578</v>
      </c>
      <c r="D525" s="40" t="s">
        <v>86</v>
      </c>
      <c r="E525" s="40"/>
      <c r="F525" s="38">
        <v>768</v>
      </c>
      <c r="G525" s="38"/>
      <c r="H525" s="38" t="s">
        <v>249</v>
      </c>
      <c r="I525" s="38" t="s">
        <v>138</v>
      </c>
      <c r="J525" s="38">
        <v>4</v>
      </c>
      <c r="K525" s="41">
        <v>0.44230000000000003</v>
      </c>
      <c r="L525" s="38" t="s">
        <v>272</v>
      </c>
      <c r="M525" s="42" t="s">
        <v>273</v>
      </c>
    </row>
    <row r="526" spans="1:13" x14ac:dyDescent="0.3">
      <c r="A526" s="37">
        <v>53</v>
      </c>
      <c r="B526" s="38" t="s">
        <v>280</v>
      </c>
      <c r="C526" s="39">
        <v>7896658032578</v>
      </c>
      <c r="D526" s="40" t="s">
        <v>86</v>
      </c>
      <c r="E526" s="40"/>
      <c r="F526" s="38">
        <v>768</v>
      </c>
      <c r="G526" s="38"/>
      <c r="H526" s="38" t="s">
        <v>249</v>
      </c>
      <c r="I526" s="38" t="s">
        <v>138</v>
      </c>
      <c r="J526" s="38">
        <v>4</v>
      </c>
      <c r="K526" s="41">
        <v>0.49669999999999997</v>
      </c>
      <c r="L526" s="38" t="s">
        <v>272</v>
      </c>
      <c r="M526" s="42" t="s">
        <v>90</v>
      </c>
    </row>
    <row r="527" spans="1:13" x14ac:dyDescent="0.3">
      <c r="A527" s="37">
        <v>53</v>
      </c>
      <c r="B527" s="38" t="s">
        <v>280</v>
      </c>
      <c r="C527" s="39">
        <v>7896658032578</v>
      </c>
      <c r="D527" s="40" t="s">
        <v>86</v>
      </c>
      <c r="E527" s="40"/>
      <c r="F527" s="38">
        <v>768</v>
      </c>
      <c r="G527" s="38"/>
      <c r="H527" s="38" t="s">
        <v>249</v>
      </c>
      <c r="I527" s="38" t="s">
        <v>138</v>
      </c>
      <c r="J527" s="38">
        <v>4</v>
      </c>
      <c r="K527" s="41">
        <v>0.43890000000000001</v>
      </c>
      <c r="L527" s="38" t="s">
        <v>274</v>
      </c>
      <c r="M527" s="42" t="s">
        <v>275</v>
      </c>
    </row>
    <row r="528" spans="1:13" x14ac:dyDescent="0.3">
      <c r="A528" s="37">
        <v>53</v>
      </c>
      <c r="B528" s="38" t="s">
        <v>280</v>
      </c>
      <c r="C528" s="39">
        <v>7896658032578</v>
      </c>
      <c r="D528" s="40" t="s">
        <v>86</v>
      </c>
      <c r="E528" s="40"/>
      <c r="F528" s="38">
        <v>768</v>
      </c>
      <c r="G528" s="38"/>
      <c r="H528" s="38" t="s">
        <v>249</v>
      </c>
      <c r="I528" s="38" t="s">
        <v>138</v>
      </c>
      <c r="J528" s="38">
        <v>4</v>
      </c>
      <c r="K528" s="41">
        <v>0.43890000000000001</v>
      </c>
      <c r="L528" s="38" t="s">
        <v>274</v>
      </c>
      <c r="M528" s="42" t="s">
        <v>276</v>
      </c>
    </row>
    <row r="529" spans="1:13" x14ac:dyDescent="0.3">
      <c r="A529" s="37">
        <v>53</v>
      </c>
      <c r="B529" s="38" t="s">
        <v>280</v>
      </c>
      <c r="C529" s="39">
        <v>7896658032578</v>
      </c>
      <c r="D529" s="40" t="s">
        <v>86</v>
      </c>
      <c r="E529" s="40"/>
      <c r="F529" s="38">
        <v>768</v>
      </c>
      <c r="G529" s="38"/>
      <c r="H529" s="38" t="s">
        <v>249</v>
      </c>
      <c r="I529" s="38" t="s">
        <v>138</v>
      </c>
      <c r="J529" s="38">
        <v>4</v>
      </c>
      <c r="K529" s="41">
        <v>0.49340000000000001</v>
      </c>
      <c r="L529" s="38" t="s">
        <v>274</v>
      </c>
      <c r="M529" s="42" t="s">
        <v>90</v>
      </c>
    </row>
    <row r="530" spans="1:13" x14ac:dyDescent="0.3">
      <c r="A530" s="37">
        <v>53</v>
      </c>
      <c r="B530" s="38" t="s">
        <v>280</v>
      </c>
      <c r="C530" s="39">
        <v>7896658032578</v>
      </c>
      <c r="D530" s="40" t="s">
        <v>86</v>
      </c>
      <c r="E530" s="40"/>
      <c r="F530" s="38">
        <v>768</v>
      </c>
      <c r="G530" s="38"/>
      <c r="H530" s="38" t="s">
        <v>249</v>
      </c>
      <c r="I530" s="38" t="s">
        <v>138</v>
      </c>
      <c r="J530" s="38">
        <v>4</v>
      </c>
      <c r="K530" s="41">
        <v>0.50019999999999998</v>
      </c>
      <c r="L530" s="38" t="s">
        <v>152</v>
      </c>
      <c r="M530" s="42" t="s">
        <v>90</v>
      </c>
    </row>
    <row r="531" spans="1:13" x14ac:dyDescent="0.3">
      <c r="A531" s="37">
        <v>53</v>
      </c>
      <c r="B531" s="38" t="s">
        <v>280</v>
      </c>
      <c r="C531" s="39">
        <v>7896658032578</v>
      </c>
      <c r="D531" s="40" t="s">
        <v>86</v>
      </c>
      <c r="E531" s="40"/>
      <c r="F531" s="38">
        <v>768</v>
      </c>
      <c r="G531" s="38"/>
      <c r="H531" s="38" t="s">
        <v>249</v>
      </c>
      <c r="I531" s="38" t="s">
        <v>138</v>
      </c>
      <c r="J531" s="38">
        <v>4</v>
      </c>
      <c r="K531" s="41">
        <v>0.49340000000000001</v>
      </c>
      <c r="L531" s="38" t="s">
        <v>127</v>
      </c>
      <c r="M531" s="42" t="s">
        <v>90</v>
      </c>
    </row>
    <row r="532" spans="1:13" x14ac:dyDescent="0.3">
      <c r="A532" s="37">
        <v>53</v>
      </c>
      <c r="B532" s="38" t="s">
        <v>280</v>
      </c>
      <c r="C532" s="39">
        <v>7896658032578</v>
      </c>
      <c r="D532" s="40" t="s">
        <v>86</v>
      </c>
      <c r="E532" s="40"/>
      <c r="F532" s="38">
        <v>768</v>
      </c>
      <c r="G532" s="38"/>
      <c r="H532" s="38" t="s">
        <v>249</v>
      </c>
      <c r="I532" s="38" t="s">
        <v>138</v>
      </c>
      <c r="J532" s="38">
        <v>4</v>
      </c>
      <c r="K532" s="41">
        <v>0.50019999999999998</v>
      </c>
      <c r="L532" s="38" t="s">
        <v>277</v>
      </c>
      <c r="M532" s="42" t="s">
        <v>90</v>
      </c>
    </row>
    <row r="533" spans="1:13" x14ac:dyDescent="0.3">
      <c r="A533" s="37">
        <v>53</v>
      </c>
      <c r="B533" s="38" t="s">
        <v>280</v>
      </c>
      <c r="C533" s="39">
        <v>7896658032578</v>
      </c>
      <c r="D533" s="40" t="s">
        <v>86</v>
      </c>
      <c r="E533" s="40"/>
      <c r="F533" s="38">
        <v>768</v>
      </c>
      <c r="G533" s="38"/>
      <c r="H533" s="38" t="s">
        <v>249</v>
      </c>
      <c r="I533" s="38" t="s">
        <v>138</v>
      </c>
      <c r="J533" s="38">
        <v>4</v>
      </c>
      <c r="K533" s="41">
        <v>0.50019999999999998</v>
      </c>
      <c r="L533" s="38" t="s">
        <v>278</v>
      </c>
      <c r="M533" s="42" t="s">
        <v>90</v>
      </c>
    </row>
    <row r="534" spans="1:13" x14ac:dyDescent="0.3">
      <c r="A534" s="37">
        <v>53</v>
      </c>
      <c r="B534" s="38" t="s">
        <v>280</v>
      </c>
      <c r="C534" s="39">
        <v>7896658032578</v>
      </c>
      <c r="D534" s="40" t="s">
        <v>86</v>
      </c>
      <c r="E534" s="40"/>
      <c r="F534" s="38">
        <v>768</v>
      </c>
      <c r="G534" s="38"/>
      <c r="H534" s="38" t="s">
        <v>249</v>
      </c>
      <c r="I534" s="38" t="s">
        <v>138</v>
      </c>
      <c r="J534" s="38">
        <v>4</v>
      </c>
      <c r="K534" s="41">
        <v>0.50019999999999998</v>
      </c>
      <c r="L534" s="38" t="s">
        <v>279</v>
      </c>
      <c r="M534" s="42" t="s">
        <v>90</v>
      </c>
    </row>
    <row r="535" spans="1:13" x14ac:dyDescent="0.3">
      <c r="A535" s="37">
        <v>53</v>
      </c>
      <c r="B535" s="38" t="s">
        <v>280</v>
      </c>
      <c r="C535" s="39">
        <v>7896658032578</v>
      </c>
      <c r="D535" s="40" t="s">
        <v>86</v>
      </c>
      <c r="E535" s="40"/>
      <c r="F535" s="38">
        <v>768</v>
      </c>
      <c r="G535" s="38"/>
      <c r="H535" s="38" t="s">
        <v>249</v>
      </c>
      <c r="I535" s="38" t="s">
        <v>138</v>
      </c>
      <c r="J535" s="38">
        <v>4</v>
      </c>
      <c r="K535" s="41">
        <v>0</v>
      </c>
      <c r="L535" s="38" t="s">
        <v>89</v>
      </c>
      <c r="M535" s="42" t="s">
        <v>90</v>
      </c>
    </row>
    <row r="536" spans="1:13" x14ac:dyDescent="0.3">
      <c r="A536" s="37">
        <v>53</v>
      </c>
      <c r="B536" s="38" t="s">
        <v>281</v>
      </c>
      <c r="C536" s="39">
        <v>7896658032585</v>
      </c>
      <c r="D536" s="40" t="s">
        <v>86</v>
      </c>
      <c r="E536" s="40"/>
      <c r="F536" s="38">
        <v>768</v>
      </c>
      <c r="G536" s="38"/>
      <c r="H536" s="38" t="s">
        <v>249</v>
      </c>
      <c r="I536" s="38" t="s">
        <v>138</v>
      </c>
      <c r="J536" s="38">
        <v>4</v>
      </c>
      <c r="K536" s="41">
        <v>0.39839999999999998</v>
      </c>
      <c r="L536" s="38" t="s">
        <v>139</v>
      </c>
      <c r="M536" s="42" t="s">
        <v>250</v>
      </c>
    </row>
    <row r="537" spans="1:13" x14ac:dyDescent="0.3">
      <c r="A537" s="37">
        <v>53</v>
      </c>
      <c r="B537" s="38" t="s">
        <v>281</v>
      </c>
      <c r="C537" s="39">
        <v>7896658032585</v>
      </c>
      <c r="D537" s="40" t="s">
        <v>86</v>
      </c>
      <c r="E537" s="40"/>
      <c r="F537" s="38">
        <v>768</v>
      </c>
      <c r="G537" s="38"/>
      <c r="H537" s="38" t="s">
        <v>249</v>
      </c>
      <c r="I537" s="38" t="s">
        <v>138</v>
      </c>
      <c r="J537" s="38">
        <v>4</v>
      </c>
      <c r="K537" s="41">
        <v>0.39839999999999998</v>
      </c>
      <c r="L537" s="38" t="s">
        <v>139</v>
      </c>
      <c r="M537" s="42" t="s">
        <v>251</v>
      </c>
    </row>
    <row r="538" spans="1:13" x14ac:dyDescent="0.3">
      <c r="A538" s="37">
        <v>53</v>
      </c>
      <c r="B538" s="38" t="s">
        <v>281</v>
      </c>
      <c r="C538" s="39">
        <v>7896658032585</v>
      </c>
      <c r="D538" s="40" t="s">
        <v>86</v>
      </c>
      <c r="E538" s="40"/>
      <c r="F538" s="38">
        <v>768</v>
      </c>
      <c r="G538" s="38"/>
      <c r="H538" s="38" t="s">
        <v>249</v>
      </c>
      <c r="I538" s="38" t="s">
        <v>138</v>
      </c>
      <c r="J538" s="38">
        <v>4</v>
      </c>
      <c r="K538" s="41">
        <v>0.39839999999999998</v>
      </c>
      <c r="L538" s="38" t="s">
        <v>139</v>
      </c>
      <c r="M538" s="42" t="s">
        <v>252</v>
      </c>
    </row>
    <row r="539" spans="1:13" x14ac:dyDescent="0.3">
      <c r="A539" s="37">
        <v>53</v>
      </c>
      <c r="B539" s="38" t="s">
        <v>281</v>
      </c>
      <c r="C539" s="39">
        <v>7896658032585</v>
      </c>
      <c r="D539" s="40" t="s">
        <v>86</v>
      </c>
      <c r="E539" s="40"/>
      <c r="F539" s="38">
        <v>768</v>
      </c>
      <c r="G539" s="38"/>
      <c r="H539" s="38" t="s">
        <v>249</v>
      </c>
      <c r="I539" s="38" t="s">
        <v>138</v>
      </c>
      <c r="J539" s="38">
        <v>4</v>
      </c>
      <c r="K539" s="41">
        <v>0.45679999999999998</v>
      </c>
      <c r="L539" s="38" t="s">
        <v>139</v>
      </c>
      <c r="M539" s="42" t="s">
        <v>90</v>
      </c>
    </row>
    <row r="540" spans="1:13" x14ac:dyDescent="0.3">
      <c r="A540" s="37">
        <v>53</v>
      </c>
      <c r="B540" s="38" t="s">
        <v>281</v>
      </c>
      <c r="C540" s="39">
        <v>7896658032585</v>
      </c>
      <c r="D540" s="40" t="s">
        <v>86</v>
      </c>
      <c r="E540" s="40"/>
      <c r="F540" s="38">
        <v>768</v>
      </c>
      <c r="G540" s="38"/>
      <c r="H540" s="38" t="s">
        <v>249</v>
      </c>
      <c r="I540" s="38" t="s">
        <v>138</v>
      </c>
      <c r="J540" s="38">
        <v>4</v>
      </c>
      <c r="K540" s="41">
        <v>0.45679999999999998</v>
      </c>
      <c r="L540" s="38" t="s">
        <v>253</v>
      </c>
      <c r="M540" s="42" t="s">
        <v>90</v>
      </c>
    </row>
    <row r="541" spans="1:13" x14ac:dyDescent="0.3">
      <c r="A541" s="37">
        <v>53</v>
      </c>
      <c r="B541" s="38" t="s">
        <v>281</v>
      </c>
      <c r="C541" s="39">
        <v>7896658032585</v>
      </c>
      <c r="D541" s="40" t="s">
        <v>86</v>
      </c>
      <c r="E541" s="40"/>
      <c r="F541" s="38">
        <v>768</v>
      </c>
      <c r="G541" s="38"/>
      <c r="H541" s="38" t="s">
        <v>249</v>
      </c>
      <c r="I541" s="38" t="s">
        <v>138</v>
      </c>
      <c r="J541" s="38">
        <v>4</v>
      </c>
      <c r="K541" s="41">
        <v>0.40550000000000003</v>
      </c>
      <c r="L541" s="38" t="s">
        <v>254</v>
      </c>
      <c r="M541" s="42" t="s">
        <v>255</v>
      </c>
    </row>
    <row r="542" spans="1:13" x14ac:dyDescent="0.3">
      <c r="A542" s="37">
        <v>53</v>
      </c>
      <c r="B542" s="38" t="s">
        <v>281</v>
      </c>
      <c r="C542" s="39">
        <v>7896658032585</v>
      </c>
      <c r="D542" s="40" t="s">
        <v>86</v>
      </c>
      <c r="E542" s="40"/>
      <c r="F542" s="38">
        <v>768</v>
      </c>
      <c r="G542" s="38"/>
      <c r="H542" s="38" t="s">
        <v>249</v>
      </c>
      <c r="I542" s="38" t="s">
        <v>138</v>
      </c>
      <c r="J542" s="38">
        <v>4</v>
      </c>
      <c r="K542" s="41">
        <v>0.40550000000000003</v>
      </c>
      <c r="L542" s="38" t="s">
        <v>254</v>
      </c>
      <c r="M542" s="42" t="s">
        <v>256</v>
      </c>
    </row>
    <row r="543" spans="1:13" x14ac:dyDescent="0.3">
      <c r="A543" s="37">
        <v>53</v>
      </c>
      <c r="B543" s="38" t="s">
        <v>281</v>
      </c>
      <c r="C543" s="39">
        <v>7896658032585</v>
      </c>
      <c r="D543" s="40" t="s">
        <v>86</v>
      </c>
      <c r="E543" s="40"/>
      <c r="F543" s="38">
        <v>768</v>
      </c>
      <c r="G543" s="38"/>
      <c r="H543" s="38" t="s">
        <v>249</v>
      </c>
      <c r="I543" s="38" t="s">
        <v>138</v>
      </c>
      <c r="J543" s="38">
        <v>4</v>
      </c>
      <c r="K543" s="41">
        <v>0.46400000000000002</v>
      </c>
      <c r="L543" s="38" t="s">
        <v>254</v>
      </c>
      <c r="M543" s="42" t="s">
        <v>90</v>
      </c>
    </row>
    <row r="544" spans="1:13" x14ac:dyDescent="0.3">
      <c r="A544" s="37">
        <v>53</v>
      </c>
      <c r="B544" s="38" t="s">
        <v>281</v>
      </c>
      <c r="C544" s="39">
        <v>7896658032585</v>
      </c>
      <c r="D544" s="40" t="s">
        <v>86</v>
      </c>
      <c r="E544" s="40"/>
      <c r="F544" s="38">
        <v>768</v>
      </c>
      <c r="G544" s="38"/>
      <c r="H544" s="38" t="s">
        <v>249</v>
      </c>
      <c r="I544" s="38" t="s">
        <v>138</v>
      </c>
      <c r="J544" s="38">
        <v>4</v>
      </c>
      <c r="K544" s="41">
        <v>0.40550000000000003</v>
      </c>
      <c r="L544" s="38" t="s">
        <v>257</v>
      </c>
      <c r="M544" s="42" t="s">
        <v>258</v>
      </c>
    </row>
    <row r="545" spans="1:13" x14ac:dyDescent="0.3">
      <c r="A545" s="37">
        <v>53</v>
      </c>
      <c r="B545" s="38" t="s">
        <v>281</v>
      </c>
      <c r="C545" s="39">
        <v>7896658032585</v>
      </c>
      <c r="D545" s="40" t="s">
        <v>86</v>
      </c>
      <c r="E545" s="40"/>
      <c r="F545" s="38">
        <v>768</v>
      </c>
      <c r="G545" s="38"/>
      <c r="H545" s="38" t="s">
        <v>249</v>
      </c>
      <c r="I545" s="38" t="s">
        <v>138</v>
      </c>
      <c r="J545" s="38">
        <v>4</v>
      </c>
      <c r="K545" s="41">
        <v>0.40550000000000003</v>
      </c>
      <c r="L545" s="38" t="s">
        <v>257</v>
      </c>
      <c r="M545" s="42" t="s">
        <v>259</v>
      </c>
    </row>
    <row r="546" spans="1:13" x14ac:dyDescent="0.3">
      <c r="A546" s="37">
        <v>53</v>
      </c>
      <c r="B546" s="38" t="s">
        <v>281</v>
      </c>
      <c r="C546" s="39">
        <v>7896658032585</v>
      </c>
      <c r="D546" s="40" t="s">
        <v>86</v>
      </c>
      <c r="E546" s="40"/>
      <c r="F546" s="38">
        <v>768</v>
      </c>
      <c r="G546" s="38"/>
      <c r="H546" s="38" t="s">
        <v>249</v>
      </c>
      <c r="I546" s="38" t="s">
        <v>138</v>
      </c>
      <c r="J546" s="38">
        <v>4</v>
      </c>
      <c r="K546" s="41">
        <v>0.46400000000000002</v>
      </c>
      <c r="L546" s="38" t="s">
        <v>257</v>
      </c>
      <c r="M546" s="42" t="s">
        <v>90</v>
      </c>
    </row>
    <row r="547" spans="1:13" x14ac:dyDescent="0.3">
      <c r="A547" s="37">
        <v>53</v>
      </c>
      <c r="B547" s="38" t="s">
        <v>281</v>
      </c>
      <c r="C547" s="39">
        <v>7896658032585</v>
      </c>
      <c r="D547" s="40" t="s">
        <v>86</v>
      </c>
      <c r="E547" s="40"/>
      <c r="F547" s="38">
        <v>768</v>
      </c>
      <c r="G547" s="38"/>
      <c r="H547" s="38" t="s">
        <v>249</v>
      </c>
      <c r="I547" s="38" t="s">
        <v>138</v>
      </c>
      <c r="J547" s="38">
        <v>4</v>
      </c>
      <c r="K547" s="41">
        <v>0.46400000000000002</v>
      </c>
      <c r="L547" s="38" t="s">
        <v>132</v>
      </c>
      <c r="M547" s="42" t="s">
        <v>90</v>
      </c>
    </row>
    <row r="548" spans="1:13" x14ac:dyDescent="0.3">
      <c r="A548" s="37">
        <v>53</v>
      </c>
      <c r="B548" s="38" t="s">
        <v>281</v>
      </c>
      <c r="C548" s="39">
        <v>7896658032585</v>
      </c>
      <c r="D548" s="40" t="s">
        <v>86</v>
      </c>
      <c r="E548" s="40"/>
      <c r="F548" s="38">
        <v>768</v>
      </c>
      <c r="G548" s="38"/>
      <c r="H548" s="38" t="s">
        <v>249</v>
      </c>
      <c r="I548" s="38" t="s">
        <v>138</v>
      </c>
      <c r="J548" s="38">
        <v>4</v>
      </c>
      <c r="K548" s="41">
        <v>0.46400000000000002</v>
      </c>
      <c r="L548" s="38" t="s">
        <v>94</v>
      </c>
      <c r="M548" s="42" t="s">
        <v>90</v>
      </c>
    </row>
    <row r="549" spans="1:13" x14ac:dyDescent="0.3">
      <c r="A549" s="37">
        <v>53</v>
      </c>
      <c r="B549" s="38" t="s">
        <v>281</v>
      </c>
      <c r="C549" s="39">
        <v>7896658032585</v>
      </c>
      <c r="D549" s="40" t="s">
        <v>86</v>
      </c>
      <c r="E549" s="40"/>
      <c r="F549" s="38">
        <v>768</v>
      </c>
      <c r="G549" s="38"/>
      <c r="H549" s="38" t="s">
        <v>249</v>
      </c>
      <c r="I549" s="38" t="s">
        <v>138</v>
      </c>
      <c r="J549" s="38">
        <v>4</v>
      </c>
      <c r="K549" s="41">
        <v>0.45679999999999998</v>
      </c>
      <c r="L549" s="38" t="s">
        <v>260</v>
      </c>
      <c r="M549" s="42" t="s">
        <v>90</v>
      </c>
    </row>
    <row r="550" spans="1:13" x14ac:dyDescent="0.3">
      <c r="A550" s="37">
        <v>53</v>
      </c>
      <c r="B550" s="38" t="s">
        <v>281</v>
      </c>
      <c r="C550" s="39">
        <v>7896658032585</v>
      </c>
      <c r="D550" s="40" t="s">
        <v>86</v>
      </c>
      <c r="E550" s="40"/>
      <c r="F550" s="38">
        <v>768</v>
      </c>
      <c r="G550" s="38"/>
      <c r="H550" s="38" t="s">
        <v>249</v>
      </c>
      <c r="I550" s="38" t="s">
        <v>138</v>
      </c>
      <c r="J550" s="38">
        <v>4</v>
      </c>
      <c r="K550" s="41">
        <v>0.45679999999999998</v>
      </c>
      <c r="L550" s="38" t="s">
        <v>261</v>
      </c>
      <c r="M550" s="42" t="s">
        <v>90</v>
      </c>
    </row>
    <row r="551" spans="1:13" x14ac:dyDescent="0.3">
      <c r="A551" s="37">
        <v>53</v>
      </c>
      <c r="B551" s="38" t="s">
        <v>281</v>
      </c>
      <c r="C551" s="39">
        <v>7896658032585</v>
      </c>
      <c r="D551" s="40" t="s">
        <v>86</v>
      </c>
      <c r="E551" s="40"/>
      <c r="F551" s="38">
        <v>768</v>
      </c>
      <c r="G551" s="38"/>
      <c r="H551" s="38" t="s">
        <v>249</v>
      </c>
      <c r="I551" s="38" t="s">
        <v>138</v>
      </c>
      <c r="J551" s="38">
        <v>4</v>
      </c>
      <c r="K551" s="41">
        <v>0.45679999999999998</v>
      </c>
      <c r="L551" s="38" t="s">
        <v>262</v>
      </c>
      <c r="M551" s="42" t="s">
        <v>90</v>
      </c>
    </row>
    <row r="552" spans="1:13" x14ac:dyDescent="0.3">
      <c r="A552" s="37">
        <v>53</v>
      </c>
      <c r="B552" s="38" t="s">
        <v>281</v>
      </c>
      <c r="C552" s="39">
        <v>7896658032585</v>
      </c>
      <c r="D552" s="40" t="s">
        <v>86</v>
      </c>
      <c r="E552" s="40"/>
      <c r="F552" s="38">
        <v>768</v>
      </c>
      <c r="G552" s="38"/>
      <c r="H552" s="38" t="s">
        <v>249</v>
      </c>
      <c r="I552" s="38" t="s">
        <v>138</v>
      </c>
      <c r="J552" s="38">
        <v>4</v>
      </c>
      <c r="K552" s="41">
        <v>0.46400000000000002</v>
      </c>
      <c r="L552" s="38" t="s">
        <v>263</v>
      </c>
      <c r="M552" s="42" t="s">
        <v>90</v>
      </c>
    </row>
    <row r="553" spans="1:13" x14ac:dyDescent="0.3">
      <c r="A553" s="37">
        <v>53</v>
      </c>
      <c r="B553" s="38" t="s">
        <v>281</v>
      </c>
      <c r="C553" s="39">
        <v>7896658032585</v>
      </c>
      <c r="D553" s="40" t="s">
        <v>86</v>
      </c>
      <c r="E553" s="40"/>
      <c r="F553" s="38">
        <v>768</v>
      </c>
      <c r="G553" s="38"/>
      <c r="H553" s="38" t="s">
        <v>249</v>
      </c>
      <c r="I553" s="38" t="s">
        <v>138</v>
      </c>
      <c r="J553" s="38">
        <v>4</v>
      </c>
      <c r="K553" s="41">
        <v>0.46400000000000002</v>
      </c>
      <c r="L553" s="38" t="s">
        <v>95</v>
      </c>
      <c r="M553" s="42" t="s">
        <v>90</v>
      </c>
    </row>
    <row r="554" spans="1:13" x14ac:dyDescent="0.3">
      <c r="A554" s="37">
        <v>53</v>
      </c>
      <c r="B554" s="38" t="s">
        <v>281</v>
      </c>
      <c r="C554" s="39">
        <v>7896658032585</v>
      </c>
      <c r="D554" s="40" t="s">
        <v>86</v>
      </c>
      <c r="E554" s="40"/>
      <c r="F554" s="38">
        <v>768</v>
      </c>
      <c r="G554" s="38"/>
      <c r="H554" s="38" t="s">
        <v>249</v>
      </c>
      <c r="I554" s="38" t="s">
        <v>138</v>
      </c>
      <c r="J554" s="38">
        <v>4</v>
      </c>
      <c r="K554" s="41">
        <v>0.45679999999999998</v>
      </c>
      <c r="L554" s="38" t="s">
        <v>264</v>
      </c>
      <c r="M554" s="42" t="s">
        <v>90</v>
      </c>
    </row>
    <row r="555" spans="1:13" x14ac:dyDescent="0.3">
      <c r="A555" s="37">
        <v>53</v>
      </c>
      <c r="B555" s="38" t="s">
        <v>281</v>
      </c>
      <c r="C555" s="39">
        <v>7896658032585</v>
      </c>
      <c r="D555" s="40" t="s">
        <v>86</v>
      </c>
      <c r="E555" s="40"/>
      <c r="F555" s="38">
        <v>768</v>
      </c>
      <c r="G555" s="38"/>
      <c r="H555" s="38" t="s">
        <v>249</v>
      </c>
      <c r="I555" s="38" t="s">
        <v>138</v>
      </c>
      <c r="J555" s="38">
        <v>4</v>
      </c>
      <c r="K555" s="41">
        <v>0.45679999999999998</v>
      </c>
      <c r="L555" s="38" t="s">
        <v>265</v>
      </c>
      <c r="M555" s="42" t="s">
        <v>90</v>
      </c>
    </row>
    <row r="556" spans="1:13" x14ac:dyDescent="0.3">
      <c r="A556" s="37">
        <v>53</v>
      </c>
      <c r="B556" s="38" t="s">
        <v>281</v>
      </c>
      <c r="C556" s="39">
        <v>7896658032585</v>
      </c>
      <c r="D556" s="40" t="s">
        <v>86</v>
      </c>
      <c r="E556" s="40"/>
      <c r="F556" s="38">
        <v>768</v>
      </c>
      <c r="G556" s="38"/>
      <c r="H556" s="38" t="s">
        <v>249</v>
      </c>
      <c r="I556" s="38" t="s">
        <v>138</v>
      </c>
      <c r="J556" s="38">
        <v>4</v>
      </c>
      <c r="K556" s="41">
        <v>0.45679999999999998</v>
      </c>
      <c r="L556" s="38" t="s">
        <v>266</v>
      </c>
      <c r="M556" s="42" t="s">
        <v>90</v>
      </c>
    </row>
    <row r="557" spans="1:13" x14ac:dyDescent="0.3">
      <c r="A557" s="37">
        <v>53</v>
      </c>
      <c r="B557" s="38" t="s">
        <v>281</v>
      </c>
      <c r="C557" s="39">
        <v>7896658032585</v>
      </c>
      <c r="D557" s="40" t="s">
        <v>86</v>
      </c>
      <c r="E557" s="40"/>
      <c r="F557" s="38">
        <v>768</v>
      </c>
      <c r="G557" s="38"/>
      <c r="H557" s="38" t="s">
        <v>249</v>
      </c>
      <c r="I557" s="38" t="s">
        <v>138</v>
      </c>
      <c r="J557" s="38">
        <v>4</v>
      </c>
      <c r="K557" s="41">
        <v>0.46400000000000002</v>
      </c>
      <c r="L557" s="38" t="s">
        <v>267</v>
      </c>
      <c r="M557" s="42" t="s">
        <v>90</v>
      </c>
    </row>
    <row r="558" spans="1:13" x14ac:dyDescent="0.3">
      <c r="A558" s="37">
        <v>53</v>
      </c>
      <c r="B558" s="38" t="s">
        <v>281</v>
      </c>
      <c r="C558" s="39">
        <v>7896658032585</v>
      </c>
      <c r="D558" s="40" t="s">
        <v>86</v>
      </c>
      <c r="E558" s="40"/>
      <c r="F558" s="38">
        <v>768</v>
      </c>
      <c r="G558" s="38"/>
      <c r="H558" s="38" t="s">
        <v>249</v>
      </c>
      <c r="I558" s="38" t="s">
        <v>138</v>
      </c>
      <c r="J558" s="38">
        <v>4</v>
      </c>
      <c r="K558" s="41">
        <v>0.46400000000000002</v>
      </c>
      <c r="L558" s="38" t="s">
        <v>268</v>
      </c>
      <c r="M558" s="42" t="s">
        <v>90</v>
      </c>
    </row>
    <row r="559" spans="1:13" x14ac:dyDescent="0.3">
      <c r="A559" s="37">
        <v>53</v>
      </c>
      <c r="B559" s="38" t="s">
        <v>281</v>
      </c>
      <c r="C559" s="39">
        <v>7896658032585</v>
      </c>
      <c r="D559" s="40" t="s">
        <v>86</v>
      </c>
      <c r="E559" s="40"/>
      <c r="F559" s="38">
        <v>768</v>
      </c>
      <c r="G559" s="38"/>
      <c r="H559" s="38" t="s">
        <v>249</v>
      </c>
      <c r="I559" s="38" t="s">
        <v>138</v>
      </c>
      <c r="J559" s="38">
        <v>4</v>
      </c>
      <c r="K559" s="41">
        <v>0.46400000000000002</v>
      </c>
      <c r="L559" s="38" t="s">
        <v>269</v>
      </c>
      <c r="M559" s="42" t="s">
        <v>90</v>
      </c>
    </row>
    <row r="560" spans="1:13" x14ac:dyDescent="0.3">
      <c r="A560" s="37">
        <v>53</v>
      </c>
      <c r="B560" s="38" t="s">
        <v>281</v>
      </c>
      <c r="C560" s="39">
        <v>7896658032585</v>
      </c>
      <c r="D560" s="40" t="s">
        <v>86</v>
      </c>
      <c r="E560" s="40"/>
      <c r="F560" s="38">
        <v>768</v>
      </c>
      <c r="G560" s="38"/>
      <c r="H560" s="38" t="s">
        <v>249</v>
      </c>
      <c r="I560" s="38" t="s">
        <v>138</v>
      </c>
      <c r="J560" s="38">
        <v>4</v>
      </c>
      <c r="K560" s="41">
        <v>0.46400000000000002</v>
      </c>
      <c r="L560" s="38" t="s">
        <v>270</v>
      </c>
      <c r="M560" s="42" t="s">
        <v>90</v>
      </c>
    </row>
    <row r="561" spans="1:13" x14ac:dyDescent="0.3">
      <c r="A561" s="37">
        <v>53</v>
      </c>
      <c r="B561" s="38" t="s">
        <v>281</v>
      </c>
      <c r="C561" s="39">
        <v>7896658032585</v>
      </c>
      <c r="D561" s="40" t="s">
        <v>86</v>
      </c>
      <c r="E561" s="40"/>
      <c r="F561" s="38">
        <v>768</v>
      </c>
      <c r="G561" s="38"/>
      <c r="H561" s="38" t="s">
        <v>249</v>
      </c>
      <c r="I561" s="38" t="s">
        <v>138</v>
      </c>
      <c r="J561" s="38">
        <v>4</v>
      </c>
      <c r="K561" s="41">
        <v>0.47860000000000003</v>
      </c>
      <c r="L561" s="38" t="s">
        <v>114</v>
      </c>
      <c r="M561" s="42" t="s">
        <v>90</v>
      </c>
    </row>
    <row r="562" spans="1:13" x14ac:dyDescent="0.3">
      <c r="A562" s="37">
        <v>53</v>
      </c>
      <c r="B562" s="38" t="s">
        <v>281</v>
      </c>
      <c r="C562" s="39">
        <v>7896658032585</v>
      </c>
      <c r="D562" s="40" t="s">
        <v>86</v>
      </c>
      <c r="E562" s="40"/>
      <c r="F562" s="38">
        <v>768</v>
      </c>
      <c r="G562" s="38"/>
      <c r="H562" s="38" t="s">
        <v>249</v>
      </c>
      <c r="I562" s="38" t="s">
        <v>138</v>
      </c>
      <c r="J562" s="38">
        <v>4</v>
      </c>
      <c r="K562" s="41">
        <v>0.46400000000000002</v>
      </c>
      <c r="L562" s="38" t="s">
        <v>271</v>
      </c>
      <c r="M562" s="42" t="s">
        <v>90</v>
      </c>
    </row>
    <row r="563" spans="1:13" x14ac:dyDescent="0.3">
      <c r="A563" s="37">
        <v>53</v>
      </c>
      <c r="B563" s="38" t="s">
        <v>281</v>
      </c>
      <c r="C563" s="39">
        <v>7896658032585</v>
      </c>
      <c r="D563" s="40" t="s">
        <v>86</v>
      </c>
      <c r="E563" s="40"/>
      <c r="F563" s="38">
        <v>768</v>
      </c>
      <c r="G563" s="38"/>
      <c r="H563" s="38" t="s">
        <v>249</v>
      </c>
      <c r="I563" s="38" t="s">
        <v>138</v>
      </c>
      <c r="J563" s="38">
        <v>4</v>
      </c>
      <c r="K563" s="41">
        <v>0.40179999999999999</v>
      </c>
      <c r="L563" s="38" t="s">
        <v>272</v>
      </c>
      <c r="M563" s="42" t="s">
        <v>273</v>
      </c>
    </row>
    <row r="564" spans="1:13" x14ac:dyDescent="0.3">
      <c r="A564" s="37">
        <v>53</v>
      </c>
      <c r="B564" s="38" t="s">
        <v>281</v>
      </c>
      <c r="C564" s="39">
        <v>7896658032585</v>
      </c>
      <c r="D564" s="40" t="s">
        <v>86</v>
      </c>
      <c r="E564" s="40"/>
      <c r="F564" s="38">
        <v>768</v>
      </c>
      <c r="G564" s="38"/>
      <c r="H564" s="38" t="s">
        <v>249</v>
      </c>
      <c r="I564" s="38" t="s">
        <v>138</v>
      </c>
      <c r="J564" s="38">
        <v>4</v>
      </c>
      <c r="K564" s="41">
        <v>0.46029999999999999</v>
      </c>
      <c r="L564" s="38" t="s">
        <v>272</v>
      </c>
      <c r="M564" s="42" t="s">
        <v>90</v>
      </c>
    </row>
    <row r="565" spans="1:13" x14ac:dyDescent="0.3">
      <c r="A565" s="37">
        <v>53</v>
      </c>
      <c r="B565" s="38" t="s">
        <v>281</v>
      </c>
      <c r="C565" s="39">
        <v>7896658032585</v>
      </c>
      <c r="D565" s="40" t="s">
        <v>86</v>
      </c>
      <c r="E565" s="40"/>
      <c r="F565" s="38">
        <v>768</v>
      </c>
      <c r="G565" s="38"/>
      <c r="H565" s="38" t="s">
        <v>249</v>
      </c>
      <c r="I565" s="38" t="s">
        <v>138</v>
      </c>
      <c r="J565" s="38">
        <v>4</v>
      </c>
      <c r="K565" s="41">
        <v>0.39839999999999998</v>
      </c>
      <c r="L565" s="38" t="s">
        <v>274</v>
      </c>
      <c r="M565" s="42" t="s">
        <v>275</v>
      </c>
    </row>
    <row r="566" spans="1:13" x14ac:dyDescent="0.3">
      <c r="A566" s="37">
        <v>53</v>
      </c>
      <c r="B566" s="38" t="s">
        <v>281</v>
      </c>
      <c r="C566" s="39">
        <v>7896658032585</v>
      </c>
      <c r="D566" s="40" t="s">
        <v>86</v>
      </c>
      <c r="E566" s="40"/>
      <c r="F566" s="38">
        <v>768</v>
      </c>
      <c r="G566" s="38"/>
      <c r="H566" s="38" t="s">
        <v>249</v>
      </c>
      <c r="I566" s="38" t="s">
        <v>138</v>
      </c>
      <c r="J566" s="38">
        <v>4</v>
      </c>
      <c r="K566" s="41">
        <v>0.39839999999999998</v>
      </c>
      <c r="L566" s="38" t="s">
        <v>274</v>
      </c>
      <c r="M566" s="42" t="s">
        <v>276</v>
      </c>
    </row>
    <row r="567" spans="1:13" x14ac:dyDescent="0.3">
      <c r="A567" s="37">
        <v>53</v>
      </c>
      <c r="B567" s="38" t="s">
        <v>281</v>
      </c>
      <c r="C567" s="39">
        <v>7896658032585</v>
      </c>
      <c r="D567" s="40" t="s">
        <v>86</v>
      </c>
      <c r="E567" s="40"/>
      <c r="F567" s="38">
        <v>768</v>
      </c>
      <c r="G567" s="38"/>
      <c r="H567" s="38" t="s">
        <v>249</v>
      </c>
      <c r="I567" s="38" t="s">
        <v>138</v>
      </c>
      <c r="J567" s="38">
        <v>4</v>
      </c>
      <c r="K567" s="41">
        <v>0.45679999999999998</v>
      </c>
      <c r="L567" s="38" t="s">
        <v>274</v>
      </c>
      <c r="M567" s="42" t="s">
        <v>90</v>
      </c>
    </row>
    <row r="568" spans="1:13" x14ac:dyDescent="0.3">
      <c r="A568" s="37">
        <v>53</v>
      </c>
      <c r="B568" s="38" t="s">
        <v>281</v>
      </c>
      <c r="C568" s="39">
        <v>7896658032585</v>
      </c>
      <c r="D568" s="40" t="s">
        <v>86</v>
      </c>
      <c r="E568" s="40"/>
      <c r="F568" s="38">
        <v>768</v>
      </c>
      <c r="G568" s="38"/>
      <c r="H568" s="38" t="s">
        <v>249</v>
      </c>
      <c r="I568" s="38" t="s">
        <v>138</v>
      </c>
      <c r="J568" s="38">
        <v>4</v>
      </c>
      <c r="K568" s="41">
        <v>0.46400000000000002</v>
      </c>
      <c r="L568" s="38" t="s">
        <v>152</v>
      </c>
      <c r="M568" s="42" t="s">
        <v>90</v>
      </c>
    </row>
    <row r="569" spans="1:13" x14ac:dyDescent="0.3">
      <c r="A569" s="37">
        <v>53</v>
      </c>
      <c r="B569" s="38" t="s">
        <v>281</v>
      </c>
      <c r="C569" s="39">
        <v>7896658032585</v>
      </c>
      <c r="D569" s="40" t="s">
        <v>86</v>
      </c>
      <c r="E569" s="40"/>
      <c r="F569" s="38">
        <v>768</v>
      </c>
      <c r="G569" s="38"/>
      <c r="H569" s="38" t="s">
        <v>249</v>
      </c>
      <c r="I569" s="38" t="s">
        <v>138</v>
      </c>
      <c r="J569" s="38">
        <v>4</v>
      </c>
      <c r="K569" s="41">
        <v>0.45679999999999998</v>
      </c>
      <c r="L569" s="38" t="s">
        <v>127</v>
      </c>
      <c r="M569" s="42" t="s">
        <v>90</v>
      </c>
    </row>
    <row r="570" spans="1:13" x14ac:dyDescent="0.3">
      <c r="A570" s="37">
        <v>53</v>
      </c>
      <c r="B570" s="38" t="s">
        <v>281</v>
      </c>
      <c r="C570" s="39">
        <v>7896658032585</v>
      </c>
      <c r="D570" s="40" t="s">
        <v>86</v>
      </c>
      <c r="E570" s="40"/>
      <c r="F570" s="38">
        <v>768</v>
      </c>
      <c r="G570" s="38"/>
      <c r="H570" s="38" t="s">
        <v>249</v>
      </c>
      <c r="I570" s="38" t="s">
        <v>138</v>
      </c>
      <c r="J570" s="38">
        <v>4</v>
      </c>
      <c r="K570" s="41">
        <v>0.46400000000000002</v>
      </c>
      <c r="L570" s="38" t="s">
        <v>277</v>
      </c>
      <c r="M570" s="42" t="s">
        <v>90</v>
      </c>
    </row>
    <row r="571" spans="1:13" x14ac:dyDescent="0.3">
      <c r="A571" s="37">
        <v>53</v>
      </c>
      <c r="B571" s="38" t="s">
        <v>281</v>
      </c>
      <c r="C571" s="39">
        <v>7896658032585</v>
      </c>
      <c r="D571" s="40" t="s">
        <v>86</v>
      </c>
      <c r="E571" s="40"/>
      <c r="F571" s="38">
        <v>768</v>
      </c>
      <c r="G571" s="38"/>
      <c r="H571" s="38" t="s">
        <v>249</v>
      </c>
      <c r="I571" s="38" t="s">
        <v>138</v>
      </c>
      <c r="J571" s="38">
        <v>4</v>
      </c>
      <c r="K571" s="41">
        <v>0.46400000000000002</v>
      </c>
      <c r="L571" s="38" t="s">
        <v>278</v>
      </c>
      <c r="M571" s="42" t="s">
        <v>90</v>
      </c>
    </row>
    <row r="572" spans="1:13" x14ac:dyDescent="0.3">
      <c r="A572" s="37">
        <v>53</v>
      </c>
      <c r="B572" s="38" t="s">
        <v>281</v>
      </c>
      <c r="C572" s="39">
        <v>7896658032585</v>
      </c>
      <c r="D572" s="40" t="s">
        <v>86</v>
      </c>
      <c r="E572" s="40"/>
      <c r="F572" s="38">
        <v>768</v>
      </c>
      <c r="G572" s="38"/>
      <c r="H572" s="38" t="s">
        <v>249</v>
      </c>
      <c r="I572" s="38" t="s">
        <v>138</v>
      </c>
      <c r="J572" s="38">
        <v>4</v>
      </c>
      <c r="K572" s="41">
        <v>0.46400000000000002</v>
      </c>
      <c r="L572" s="38" t="s">
        <v>279</v>
      </c>
      <c r="M572" s="42" t="s">
        <v>90</v>
      </c>
    </row>
    <row r="573" spans="1:13" x14ac:dyDescent="0.3">
      <c r="A573" s="37">
        <v>53</v>
      </c>
      <c r="B573" s="38" t="s">
        <v>281</v>
      </c>
      <c r="C573" s="39">
        <v>7896658032585</v>
      </c>
      <c r="D573" s="40" t="s">
        <v>86</v>
      </c>
      <c r="E573" s="40"/>
      <c r="F573" s="38">
        <v>768</v>
      </c>
      <c r="G573" s="38"/>
      <c r="H573" s="38" t="s">
        <v>249</v>
      </c>
      <c r="I573" s="38" t="s">
        <v>138</v>
      </c>
      <c r="J573" s="38">
        <v>4</v>
      </c>
      <c r="K573" s="41">
        <v>0</v>
      </c>
      <c r="L573" s="38" t="s">
        <v>89</v>
      </c>
      <c r="M573" s="42" t="s">
        <v>90</v>
      </c>
    </row>
    <row r="574" spans="1:13" x14ac:dyDescent="0.3">
      <c r="A574" s="37">
        <v>53</v>
      </c>
      <c r="B574" s="38" t="s">
        <v>282</v>
      </c>
      <c r="C574" s="39">
        <v>7896658032639</v>
      </c>
      <c r="D574" s="40" t="s">
        <v>86</v>
      </c>
      <c r="E574" s="40"/>
      <c r="F574" s="38">
        <v>920</v>
      </c>
      <c r="G574" s="38"/>
      <c r="H574" s="38" t="s">
        <v>164</v>
      </c>
      <c r="I574" s="38" t="s">
        <v>88</v>
      </c>
      <c r="J574" s="38">
        <v>3</v>
      </c>
      <c r="K574" s="41">
        <v>0.1</v>
      </c>
      <c r="L574" s="38" t="s">
        <v>89</v>
      </c>
      <c r="M574" s="42" t="s">
        <v>90</v>
      </c>
    </row>
    <row r="575" spans="1:13" x14ac:dyDescent="0.3">
      <c r="A575" s="37">
        <v>53</v>
      </c>
      <c r="B575" s="38" t="s">
        <v>283</v>
      </c>
      <c r="C575" s="39">
        <v>7896658032714</v>
      </c>
      <c r="D575" s="40" t="s">
        <v>86</v>
      </c>
      <c r="E575" s="40"/>
      <c r="F575" s="38">
        <v>920</v>
      </c>
      <c r="G575" s="38"/>
      <c r="H575" s="38" t="s">
        <v>164</v>
      </c>
      <c r="I575" s="38" t="s">
        <v>88</v>
      </c>
      <c r="J575" s="38">
        <v>3</v>
      </c>
      <c r="K575" s="41">
        <v>0.1</v>
      </c>
      <c r="L575" s="38" t="s">
        <v>89</v>
      </c>
      <c r="M575" s="42" t="s">
        <v>90</v>
      </c>
    </row>
    <row r="576" spans="1:13" x14ac:dyDescent="0.3">
      <c r="A576" s="37">
        <v>53</v>
      </c>
      <c r="B576" s="38" t="s">
        <v>284</v>
      </c>
      <c r="C576" s="39">
        <v>7896658033278</v>
      </c>
      <c r="D576" s="40" t="s">
        <v>86</v>
      </c>
      <c r="E576" s="40"/>
      <c r="F576" s="38">
        <v>637</v>
      </c>
      <c r="G576" s="38"/>
      <c r="H576" s="38" t="s">
        <v>285</v>
      </c>
      <c r="I576" s="38" t="s">
        <v>286</v>
      </c>
      <c r="J576" s="38">
        <v>5</v>
      </c>
      <c r="K576" s="41" t="s">
        <v>287</v>
      </c>
      <c r="L576" s="38" t="s">
        <v>89</v>
      </c>
      <c r="M576" s="42" t="s">
        <v>90</v>
      </c>
    </row>
    <row r="577" spans="1:13" x14ac:dyDescent="0.3">
      <c r="A577" s="37">
        <v>53</v>
      </c>
      <c r="B577" s="38" t="s">
        <v>288</v>
      </c>
      <c r="C577" s="39">
        <v>7896658033360</v>
      </c>
      <c r="D577" s="40" t="s">
        <v>86</v>
      </c>
      <c r="E577" s="40"/>
      <c r="F577" s="38">
        <v>925</v>
      </c>
      <c r="G577" s="38"/>
      <c r="H577" s="38" t="s">
        <v>168</v>
      </c>
      <c r="I577" s="38" t="s">
        <v>88</v>
      </c>
      <c r="J577" s="38">
        <v>3</v>
      </c>
      <c r="K577" s="41">
        <v>0.1</v>
      </c>
      <c r="L577" s="38" t="s">
        <v>89</v>
      </c>
      <c r="M577" s="42" t="s">
        <v>90</v>
      </c>
    </row>
    <row r="578" spans="1:13" x14ac:dyDescent="0.3">
      <c r="A578" s="37">
        <v>53</v>
      </c>
      <c r="B578" s="38" t="s">
        <v>289</v>
      </c>
      <c r="C578" s="39">
        <v>7896658033377</v>
      </c>
      <c r="D578" s="40" t="s">
        <v>86</v>
      </c>
      <c r="E578" s="40"/>
      <c r="F578" s="38">
        <v>925</v>
      </c>
      <c r="G578" s="38"/>
      <c r="H578" s="38" t="s">
        <v>168</v>
      </c>
      <c r="I578" s="38" t="s">
        <v>88</v>
      </c>
      <c r="J578" s="38">
        <v>3</v>
      </c>
      <c r="K578" s="41">
        <v>0.1</v>
      </c>
      <c r="L578" s="38" t="s">
        <v>89</v>
      </c>
      <c r="M578" s="42" t="s">
        <v>90</v>
      </c>
    </row>
    <row r="579" spans="1:13" x14ac:dyDescent="0.3">
      <c r="A579" s="37">
        <v>53</v>
      </c>
      <c r="B579" s="38" t="s">
        <v>290</v>
      </c>
      <c r="C579" s="39">
        <v>7896658033384</v>
      </c>
      <c r="D579" s="40" t="s">
        <v>86</v>
      </c>
      <c r="E579" s="40"/>
      <c r="F579" s="38">
        <v>925</v>
      </c>
      <c r="G579" s="38"/>
      <c r="H579" s="38" t="s">
        <v>168</v>
      </c>
      <c r="I579" s="38" t="s">
        <v>88</v>
      </c>
      <c r="J579" s="38">
        <v>3</v>
      </c>
      <c r="K579" s="41">
        <v>0.1</v>
      </c>
      <c r="L579" s="38" t="s">
        <v>89</v>
      </c>
      <c r="M579" s="42" t="s">
        <v>90</v>
      </c>
    </row>
    <row r="580" spans="1:13" x14ac:dyDescent="0.3">
      <c r="A580" s="37">
        <v>53</v>
      </c>
      <c r="B580" s="38" t="s">
        <v>291</v>
      </c>
      <c r="C580" s="39">
        <v>7896658033391</v>
      </c>
      <c r="D580" s="40" t="s">
        <v>86</v>
      </c>
      <c r="E580" s="40"/>
      <c r="F580" s="38">
        <v>925</v>
      </c>
      <c r="G580" s="38"/>
      <c r="H580" s="38" t="s">
        <v>168</v>
      </c>
      <c r="I580" s="38" t="s">
        <v>88</v>
      </c>
      <c r="J580" s="38">
        <v>3</v>
      </c>
      <c r="K580" s="41">
        <v>0.1</v>
      </c>
      <c r="L580" s="38" t="s">
        <v>89</v>
      </c>
      <c r="M580" s="42" t="s">
        <v>90</v>
      </c>
    </row>
    <row r="581" spans="1:13" x14ac:dyDescent="0.3">
      <c r="A581" s="37">
        <v>53</v>
      </c>
      <c r="B581" s="38" t="s">
        <v>292</v>
      </c>
      <c r="C581" s="39">
        <v>7896658033407</v>
      </c>
      <c r="D581" s="40" t="s">
        <v>86</v>
      </c>
      <c r="E581" s="40"/>
      <c r="F581" s="38">
        <v>925</v>
      </c>
      <c r="G581" s="38"/>
      <c r="H581" s="38" t="s">
        <v>168</v>
      </c>
      <c r="I581" s="38" t="s">
        <v>88</v>
      </c>
      <c r="J581" s="38">
        <v>3</v>
      </c>
      <c r="K581" s="41">
        <v>0.1</v>
      </c>
      <c r="L581" s="38" t="s">
        <v>89</v>
      </c>
      <c r="M581" s="42" t="s">
        <v>90</v>
      </c>
    </row>
    <row r="582" spans="1:13" x14ac:dyDescent="0.3">
      <c r="A582" s="37">
        <v>53</v>
      </c>
      <c r="B582" s="38" t="s">
        <v>293</v>
      </c>
      <c r="C582" s="39">
        <v>7896658033438</v>
      </c>
      <c r="D582" s="40" t="s">
        <v>86</v>
      </c>
      <c r="E582" s="40"/>
      <c r="F582" s="38">
        <v>925</v>
      </c>
      <c r="G582" s="38"/>
      <c r="H582" s="38" t="s">
        <v>168</v>
      </c>
      <c r="I582" s="38" t="s">
        <v>88</v>
      </c>
      <c r="J582" s="38">
        <v>3</v>
      </c>
      <c r="K582" s="41">
        <v>0.1</v>
      </c>
      <c r="L582" s="38" t="s">
        <v>89</v>
      </c>
      <c r="M582" s="42" t="s">
        <v>90</v>
      </c>
    </row>
    <row r="583" spans="1:13" x14ac:dyDescent="0.3">
      <c r="A583" s="37">
        <v>53</v>
      </c>
      <c r="B583" s="38" t="s">
        <v>294</v>
      </c>
      <c r="C583" s="39">
        <v>7896658033469</v>
      </c>
      <c r="D583" s="40" t="s">
        <v>86</v>
      </c>
      <c r="E583" s="40"/>
      <c r="F583" s="38">
        <v>920</v>
      </c>
      <c r="G583" s="38"/>
      <c r="H583" s="38" t="s">
        <v>164</v>
      </c>
      <c r="I583" s="38" t="s">
        <v>88</v>
      </c>
      <c r="J583" s="38">
        <v>3</v>
      </c>
      <c r="K583" s="41">
        <v>0.1</v>
      </c>
      <c r="L583" s="38" t="s">
        <v>89</v>
      </c>
      <c r="M583" s="42" t="s">
        <v>90</v>
      </c>
    </row>
    <row r="584" spans="1:13" x14ac:dyDescent="0.3">
      <c r="A584" s="37">
        <v>53</v>
      </c>
      <c r="B584" s="38" t="s">
        <v>295</v>
      </c>
      <c r="C584" s="39">
        <v>7896658033605</v>
      </c>
      <c r="D584" s="40" t="s">
        <v>86</v>
      </c>
      <c r="E584" s="40"/>
      <c r="F584" s="38">
        <v>921</v>
      </c>
      <c r="G584" s="38"/>
      <c r="H584" s="38" t="s">
        <v>166</v>
      </c>
      <c r="I584" s="38" t="s">
        <v>88</v>
      </c>
      <c r="J584" s="38">
        <v>3</v>
      </c>
      <c r="K584" s="41">
        <v>0.2</v>
      </c>
      <c r="L584" s="38" t="s">
        <v>89</v>
      </c>
      <c r="M584" s="42" t="s">
        <v>90</v>
      </c>
    </row>
    <row r="585" spans="1:13" x14ac:dyDescent="0.3">
      <c r="A585" s="37">
        <v>53</v>
      </c>
      <c r="B585" s="38" t="s">
        <v>296</v>
      </c>
      <c r="C585" s="39">
        <v>7896658033971</v>
      </c>
      <c r="D585" s="40" t="s">
        <v>86</v>
      </c>
      <c r="E585" s="40"/>
      <c r="F585" s="38">
        <v>919</v>
      </c>
      <c r="G585" s="38"/>
      <c r="H585" s="38" t="s">
        <v>297</v>
      </c>
      <c r="I585" s="38" t="s">
        <v>88</v>
      </c>
      <c r="J585" s="38">
        <v>3</v>
      </c>
      <c r="K585" s="41">
        <v>0.1</v>
      </c>
      <c r="L585" s="38" t="s">
        <v>89</v>
      </c>
      <c r="M585" s="42" t="s">
        <v>90</v>
      </c>
    </row>
    <row r="586" spans="1:13" x14ac:dyDescent="0.3">
      <c r="A586" s="37">
        <v>53</v>
      </c>
      <c r="B586" s="38" t="s">
        <v>296</v>
      </c>
      <c r="C586" s="39">
        <v>7896658033971</v>
      </c>
      <c r="D586" s="40" t="s">
        <v>86</v>
      </c>
      <c r="E586" s="40"/>
      <c r="F586" s="38">
        <v>955</v>
      </c>
      <c r="G586" s="38"/>
      <c r="H586" s="38" t="s">
        <v>298</v>
      </c>
      <c r="I586" s="38" t="s">
        <v>217</v>
      </c>
      <c r="J586" s="38">
        <v>3</v>
      </c>
      <c r="K586" s="41">
        <v>0.1</v>
      </c>
      <c r="L586" s="38" t="s">
        <v>89</v>
      </c>
      <c r="M586" s="42" t="s">
        <v>90</v>
      </c>
    </row>
    <row r="587" spans="1:13" x14ac:dyDescent="0.3">
      <c r="A587" s="37">
        <v>53</v>
      </c>
      <c r="B587" s="38" t="s">
        <v>299</v>
      </c>
      <c r="C587" s="39">
        <v>7896658034138</v>
      </c>
      <c r="D587" s="40" t="s">
        <v>86</v>
      </c>
      <c r="E587" s="40"/>
      <c r="F587" s="38">
        <v>919</v>
      </c>
      <c r="G587" s="38"/>
      <c r="H587" s="38" t="s">
        <v>297</v>
      </c>
      <c r="I587" s="38" t="s">
        <v>88</v>
      </c>
      <c r="J587" s="38">
        <v>3</v>
      </c>
      <c r="K587" s="41">
        <v>0.1</v>
      </c>
      <c r="L587" s="38" t="s">
        <v>89</v>
      </c>
      <c r="M587" s="42" t="s">
        <v>90</v>
      </c>
    </row>
    <row r="588" spans="1:13" x14ac:dyDescent="0.3">
      <c r="A588" s="37">
        <v>53</v>
      </c>
      <c r="B588" s="38" t="s">
        <v>299</v>
      </c>
      <c r="C588" s="39">
        <v>7896658034138</v>
      </c>
      <c r="D588" s="40" t="s">
        <v>86</v>
      </c>
      <c r="E588" s="40"/>
      <c r="F588" s="38">
        <v>955</v>
      </c>
      <c r="G588" s="38"/>
      <c r="H588" s="38" t="s">
        <v>298</v>
      </c>
      <c r="I588" s="38" t="s">
        <v>217</v>
      </c>
      <c r="J588" s="38">
        <v>3</v>
      </c>
      <c r="K588" s="41">
        <v>0.1</v>
      </c>
      <c r="L588" s="38" t="s">
        <v>89</v>
      </c>
      <c r="M588" s="42" t="s">
        <v>90</v>
      </c>
    </row>
    <row r="589" spans="1:13" x14ac:dyDescent="0.3">
      <c r="A589" s="37">
        <v>53</v>
      </c>
      <c r="B589" s="38" t="s">
        <v>300</v>
      </c>
      <c r="C589" s="39">
        <v>7896658034206</v>
      </c>
      <c r="D589" s="40" t="s">
        <v>86</v>
      </c>
      <c r="E589" s="40"/>
      <c r="F589" s="38">
        <v>919</v>
      </c>
      <c r="G589" s="38"/>
      <c r="H589" s="38" t="s">
        <v>297</v>
      </c>
      <c r="I589" s="38" t="s">
        <v>88</v>
      </c>
      <c r="J589" s="38">
        <v>3</v>
      </c>
      <c r="K589" s="41">
        <v>0.1</v>
      </c>
      <c r="L589" s="38" t="s">
        <v>89</v>
      </c>
      <c r="M589" s="42" t="s">
        <v>90</v>
      </c>
    </row>
    <row r="590" spans="1:13" x14ac:dyDescent="0.3">
      <c r="A590" s="37">
        <v>53</v>
      </c>
      <c r="B590" s="38" t="s">
        <v>300</v>
      </c>
      <c r="C590" s="39">
        <v>7896658034206</v>
      </c>
      <c r="D590" s="40" t="s">
        <v>86</v>
      </c>
      <c r="E590" s="40"/>
      <c r="F590" s="38">
        <v>955</v>
      </c>
      <c r="G590" s="38"/>
      <c r="H590" s="38" t="s">
        <v>298</v>
      </c>
      <c r="I590" s="38" t="s">
        <v>217</v>
      </c>
      <c r="J590" s="38">
        <v>3</v>
      </c>
      <c r="K590" s="41">
        <v>0.1</v>
      </c>
      <c r="L590" s="38" t="s">
        <v>89</v>
      </c>
      <c r="M590" s="42" t="s">
        <v>90</v>
      </c>
    </row>
    <row r="591" spans="1:13" x14ac:dyDescent="0.3">
      <c r="A591" s="37">
        <v>53</v>
      </c>
      <c r="B591" s="38" t="s">
        <v>301</v>
      </c>
      <c r="C591" s="39">
        <v>7896658034213</v>
      </c>
      <c r="D591" s="40" t="s">
        <v>86</v>
      </c>
      <c r="E591" s="40"/>
      <c r="F591" s="38">
        <v>926</v>
      </c>
      <c r="G591" s="38"/>
      <c r="H591" s="38" t="s">
        <v>185</v>
      </c>
      <c r="I591" s="38" t="s">
        <v>88</v>
      </c>
      <c r="J591" s="38">
        <v>3</v>
      </c>
      <c r="K591" s="41">
        <v>0.1</v>
      </c>
      <c r="L591" s="38" t="s">
        <v>89</v>
      </c>
      <c r="M591" s="42" t="s">
        <v>90</v>
      </c>
    </row>
    <row r="592" spans="1:13" x14ac:dyDescent="0.3">
      <c r="A592" s="37">
        <v>53</v>
      </c>
      <c r="B592" s="38" t="s">
        <v>302</v>
      </c>
      <c r="C592" s="39">
        <v>7896658034329</v>
      </c>
      <c r="D592" s="40" t="s">
        <v>86</v>
      </c>
      <c r="E592" s="40"/>
      <c r="F592" s="38">
        <v>923</v>
      </c>
      <c r="G592" s="38"/>
      <c r="H592" s="38" t="s">
        <v>219</v>
      </c>
      <c r="I592" s="38" t="s">
        <v>88</v>
      </c>
      <c r="J592" s="38">
        <v>3</v>
      </c>
      <c r="K592" s="41">
        <v>0.1</v>
      </c>
      <c r="L592" s="38" t="s">
        <v>89</v>
      </c>
      <c r="M592" s="42" t="s">
        <v>90</v>
      </c>
    </row>
    <row r="593" spans="1:13" x14ac:dyDescent="0.3">
      <c r="A593" s="37">
        <v>53</v>
      </c>
      <c r="B593" s="38" t="s">
        <v>303</v>
      </c>
      <c r="C593" s="39">
        <v>7896658034367</v>
      </c>
      <c r="D593" s="40" t="s">
        <v>86</v>
      </c>
      <c r="E593" s="40"/>
      <c r="F593" s="38">
        <v>923</v>
      </c>
      <c r="G593" s="38"/>
      <c r="H593" s="38" t="s">
        <v>219</v>
      </c>
      <c r="I593" s="38" t="s">
        <v>88</v>
      </c>
      <c r="J593" s="38">
        <v>3</v>
      </c>
      <c r="K593" s="41">
        <v>0.1</v>
      </c>
      <c r="L593" s="38" t="s">
        <v>89</v>
      </c>
      <c r="M593" s="42" t="s">
        <v>90</v>
      </c>
    </row>
    <row r="594" spans="1:13" x14ac:dyDescent="0.3">
      <c r="A594" s="37">
        <v>53</v>
      </c>
      <c r="B594" s="38" t="s">
        <v>304</v>
      </c>
      <c r="C594" s="39">
        <v>7896658034985</v>
      </c>
      <c r="D594" s="40" t="s">
        <v>86</v>
      </c>
      <c r="E594" s="40"/>
      <c r="F594" s="38">
        <v>285</v>
      </c>
      <c r="G594" s="38"/>
      <c r="H594" s="38" t="s">
        <v>170</v>
      </c>
      <c r="I594" s="38" t="s">
        <v>102</v>
      </c>
      <c r="J594" s="38">
        <v>1</v>
      </c>
      <c r="K594" s="41">
        <v>0.56000000000000005</v>
      </c>
      <c r="L594" s="38" t="s">
        <v>89</v>
      </c>
      <c r="M594" s="42" t="s">
        <v>90</v>
      </c>
    </row>
    <row r="595" spans="1:13" x14ac:dyDescent="0.3">
      <c r="A595" s="37">
        <v>53</v>
      </c>
      <c r="B595" s="38" t="s">
        <v>304</v>
      </c>
      <c r="C595" s="39">
        <v>7896658034985</v>
      </c>
      <c r="D595" s="40" t="s">
        <v>86</v>
      </c>
      <c r="E595" s="40"/>
      <c r="F595" s="38">
        <v>966</v>
      </c>
      <c r="G595" s="38"/>
      <c r="H595" s="38" t="s">
        <v>171</v>
      </c>
      <c r="I595" s="38" t="s">
        <v>102</v>
      </c>
      <c r="J595" s="38">
        <v>1</v>
      </c>
      <c r="K595" s="41">
        <v>0.56000000000000005</v>
      </c>
      <c r="L595" s="38" t="s">
        <v>89</v>
      </c>
      <c r="M595" s="42" t="s">
        <v>90</v>
      </c>
    </row>
    <row r="596" spans="1:13" x14ac:dyDescent="0.3">
      <c r="A596" s="37">
        <v>53</v>
      </c>
      <c r="B596" s="38" t="s">
        <v>305</v>
      </c>
      <c r="C596" s="39">
        <v>7896658035388</v>
      </c>
      <c r="D596" s="40" t="s">
        <v>86</v>
      </c>
      <c r="E596" s="40"/>
      <c r="F596" s="38">
        <v>806</v>
      </c>
      <c r="G596" s="38"/>
      <c r="H596" s="38" t="s">
        <v>215</v>
      </c>
      <c r="I596" s="38" t="s">
        <v>88</v>
      </c>
      <c r="J596" s="38">
        <v>3</v>
      </c>
      <c r="K596" s="41">
        <v>0.25</v>
      </c>
      <c r="L596" s="38" t="s">
        <v>89</v>
      </c>
      <c r="M596" s="42" t="s">
        <v>90</v>
      </c>
    </row>
    <row r="597" spans="1:13" x14ac:dyDescent="0.3">
      <c r="A597" s="37">
        <v>53</v>
      </c>
      <c r="B597" s="38" t="s">
        <v>306</v>
      </c>
      <c r="C597" s="39">
        <v>7896658035586</v>
      </c>
      <c r="D597" s="40" t="s">
        <v>86</v>
      </c>
      <c r="E597" s="40"/>
      <c r="F597" s="38">
        <v>921</v>
      </c>
      <c r="G597" s="38"/>
      <c r="H597" s="38" t="s">
        <v>166</v>
      </c>
      <c r="I597" s="38" t="s">
        <v>88</v>
      </c>
      <c r="J597" s="38">
        <v>3</v>
      </c>
      <c r="K597" s="41">
        <v>0.2</v>
      </c>
      <c r="L597" s="38" t="s">
        <v>89</v>
      </c>
      <c r="M597" s="42" t="s">
        <v>90</v>
      </c>
    </row>
    <row r="598" spans="1:13" x14ac:dyDescent="0.3">
      <c r="A598" s="37">
        <v>53</v>
      </c>
      <c r="B598" s="38" t="s">
        <v>307</v>
      </c>
      <c r="C598" s="39">
        <v>7896658035838</v>
      </c>
      <c r="D598" s="40" t="s">
        <v>86</v>
      </c>
      <c r="E598" s="40"/>
      <c r="F598" s="38">
        <v>920</v>
      </c>
      <c r="G598" s="38"/>
      <c r="H598" s="38" t="s">
        <v>164</v>
      </c>
      <c r="I598" s="38" t="s">
        <v>88</v>
      </c>
      <c r="J598" s="38">
        <v>3</v>
      </c>
      <c r="K598" s="41">
        <v>0.1</v>
      </c>
      <c r="L598" s="38" t="s">
        <v>89</v>
      </c>
      <c r="M598" s="42" t="s">
        <v>90</v>
      </c>
    </row>
    <row r="599" spans="1:13" x14ac:dyDescent="0.3">
      <c r="A599" s="37">
        <v>53</v>
      </c>
      <c r="B599" s="38" t="s">
        <v>308</v>
      </c>
      <c r="C599" s="39">
        <v>7896658035845</v>
      </c>
      <c r="D599" s="40" t="s">
        <v>86</v>
      </c>
      <c r="E599" s="40"/>
      <c r="F599" s="38">
        <v>920</v>
      </c>
      <c r="G599" s="38"/>
      <c r="H599" s="38" t="s">
        <v>164</v>
      </c>
      <c r="I599" s="38" t="s">
        <v>88</v>
      </c>
      <c r="J599" s="38">
        <v>3</v>
      </c>
      <c r="K599" s="41">
        <v>0.1</v>
      </c>
      <c r="L599" s="38" t="s">
        <v>89</v>
      </c>
      <c r="M599" s="42" t="s">
        <v>90</v>
      </c>
    </row>
    <row r="600" spans="1:13" x14ac:dyDescent="0.3">
      <c r="A600" s="37">
        <v>53</v>
      </c>
      <c r="B600" s="38" t="s">
        <v>309</v>
      </c>
      <c r="C600" s="39">
        <v>7896658036972</v>
      </c>
      <c r="D600" s="40" t="s">
        <v>86</v>
      </c>
      <c r="E600" s="40"/>
      <c r="F600" s="38">
        <v>603</v>
      </c>
      <c r="G600" s="38"/>
      <c r="H600" s="38" t="s">
        <v>223</v>
      </c>
      <c r="I600" s="38" t="s">
        <v>88</v>
      </c>
      <c r="J600" s="38">
        <v>3</v>
      </c>
      <c r="K600" s="41">
        <v>0.1</v>
      </c>
      <c r="L600" s="38" t="s">
        <v>89</v>
      </c>
      <c r="M600" s="42" t="s">
        <v>90</v>
      </c>
    </row>
    <row r="601" spans="1:13" x14ac:dyDescent="0.3">
      <c r="A601" s="37">
        <v>53</v>
      </c>
      <c r="B601" s="38" t="s">
        <v>309</v>
      </c>
      <c r="C601" s="39">
        <v>7896658036972</v>
      </c>
      <c r="D601" s="40" t="s">
        <v>86</v>
      </c>
      <c r="E601" s="40"/>
      <c r="F601" s="38">
        <v>956</v>
      </c>
      <c r="G601" s="38"/>
      <c r="H601" s="38" t="s">
        <v>224</v>
      </c>
      <c r="I601" s="38" t="s">
        <v>217</v>
      </c>
      <c r="J601" s="38">
        <v>3</v>
      </c>
      <c r="K601" s="41">
        <v>0.1</v>
      </c>
      <c r="L601" s="38" t="s">
        <v>89</v>
      </c>
      <c r="M601" s="42" t="s">
        <v>90</v>
      </c>
    </row>
    <row r="602" spans="1:13" x14ac:dyDescent="0.3">
      <c r="A602" s="37">
        <v>86</v>
      </c>
      <c r="B602" s="38" t="s">
        <v>24</v>
      </c>
      <c r="C602" s="51">
        <v>300658950123</v>
      </c>
      <c r="D602" s="40" t="s">
        <v>65</v>
      </c>
      <c r="E602" s="40"/>
      <c r="F602" s="40">
        <v>312</v>
      </c>
      <c r="G602" s="38"/>
      <c r="H602" s="38" t="s">
        <v>310</v>
      </c>
      <c r="I602" s="38" t="s">
        <v>311</v>
      </c>
      <c r="J602" s="38">
        <v>9</v>
      </c>
      <c r="K602" s="38" t="s">
        <v>312</v>
      </c>
      <c r="L602" s="52" t="s">
        <v>213</v>
      </c>
      <c r="M602" s="53" t="s">
        <v>213</v>
      </c>
    </row>
    <row r="603" spans="1:13" x14ac:dyDescent="0.3">
      <c r="A603" s="37">
        <v>86</v>
      </c>
      <c r="B603" s="38" t="s">
        <v>313</v>
      </c>
      <c r="C603" s="51">
        <v>7896548197738</v>
      </c>
      <c r="D603" s="40" t="s">
        <v>65</v>
      </c>
      <c r="E603" s="40"/>
      <c r="F603" s="40">
        <v>414</v>
      </c>
      <c r="G603" s="38"/>
      <c r="H603" s="38" t="s">
        <v>314</v>
      </c>
      <c r="I603" s="38" t="s">
        <v>311</v>
      </c>
      <c r="J603" s="38">
        <v>6</v>
      </c>
      <c r="K603" s="38" t="s">
        <v>315</v>
      </c>
      <c r="L603" s="52" t="s">
        <v>213</v>
      </c>
      <c r="M603" s="53" t="s">
        <v>213</v>
      </c>
    </row>
    <row r="604" spans="1:13" x14ac:dyDescent="0.3">
      <c r="A604" s="37">
        <v>86</v>
      </c>
      <c r="B604" s="38" t="s">
        <v>316</v>
      </c>
      <c r="C604" s="51">
        <v>7896548197738</v>
      </c>
      <c r="D604" s="40" t="s">
        <v>65</v>
      </c>
      <c r="E604" s="40"/>
      <c r="F604" s="40">
        <v>414</v>
      </c>
      <c r="G604" s="38"/>
      <c r="H604" s="38" t="s">
        <v>314</v>
      </c>
      <c r="I604" s="38" t="s">
        <v>311</v>
      </c>
      <c r="J604" s="38">
        <v>6</v>
      </c>
      <c r="K604" s="38" t="s">
        <v>315</v>
      </c>
      <c r="L604" s="52" t="s">
        <v>213</v>
      </c>
      <c r="M604" s="53" t="s">
        <v>213</v>
      </c>
    </row>
    <row r="605" spans="1:13" x14ac:dyDescent="0.3">
      <c r="A605" s="37">
        <v>86</v>
      </c>
      <c r="B605" s="38" t="s">
        <v>317</v>
      </c>
      <c r="C605" s="51">
        <v>7896548198247</v>
      </c>
      <c r="D605" s="40" t="s">
        <v>65</v>
      </c>
      <c r="E605" s="40"/>
      <c r="F605" s="40">
        <v>414</v>
      </c>
      <c r="G605" s="38"/>
      <c r="H605" s="38" t="s">
        <v>314</v>
      </c>
      <c r="I605" s="38" t="s">
        <v>311</v>
      </c>
      <c r="J605" s="38">
        <v>6</v>
      </c>
      <c r="K605" s="38" t="s">
        <v>315</v>
      </c>
      <c r="L605" s="52" t="s">
        <v>213</v>
      </c>
      <c r="M605" s="53" t="s">
        <v>213</v>
      </c>
    </row>
    <row r="606" spans="1:13" x14ac:dyDescent="0.3">
      <c r="A606" s="37">
        <v>86</v>
      </c>
      <c r="B606" s="38" t="s">
        <v>24</v>
      </c>
      <c r="C606" s="51">
        <v>7896548198902</v>
      </c>
      <c r="D606" s="40" t="s">
        <v>65</v>
      </c>
      <c r="E606" s="40"/>
      <c r="F606" s="40">
        <v>312</v>
      </c>
      <c r="G606" s="38"/>
      <c r="H606" s="38" t="s">
        <v>310</v>
      </c>
      <c r="I606" s="38" t="s">
        <v>311</v>
      </c>
      <c r="J606" s="38">
        <v>9</v>
      </c>
      <c r="K606" s="38" t="s">
        <v>312</v>
      </c>
      <c r="L606" s="52" t="s">
        <v>213</v>
      </c>
      <c r="M606" s="53" t="s">
        <v>213</v>
      </c>
    </row>
    <row r="607" spans="1:13" x14ac:dyDescent="0.3">
      <c r="A607" s="37">
        <v>86</v>
      </c>
      <c r="B607" s="38" t="s">
        <v>318</v>
      </c>
      <c r="C607" s="51">
        <v>7896548198957</v>
      </c>
      <c r="D607" s="40" t="s">
        <v>65</v>
      </c>
      <c r="E607" s="40"/>
      <c r="F607" s="40">
        <v>414</v>
      </c>
      <c r="G607" s="38"/>
      <c r="H607" s="38" t="s">
        <v>314</v>
      </c>
      <c r="I607" s="38" t="s">
        <v>311</v>
      </c>
      <c r="J607" s="38">
        <v>6</v>
      </c>
      <c r="K607" s="38" t="s">
        <v>315</v>
      </c>
      <c r="L607" s="52" t="s">
        <v>213</v>
      </c>
      <c r="M607" s="53" t="s">
        <v>213</v>
      </c>
    </row>
    <row r="608" spans="1:13" x14ac:dyDescent="0.3">
      <c r="A608" s="37">
        <v>71</v>
      </c>
      <c r="B608" s="38" t="s">
        <v>319</v>
      </c>
      <c r="C608" s="51">
        <v>7898609960138</v>
      </c>
      <c r="D608" s="40" t="s">
        <v>320</v>
      </c>
      <c r="E608" s="40"/>
      <c r="F608" s="40">
        <v>965</v>
      </c>
      <c r="G608" s="38"/>
      <c r="H608" s="38" t="s">
        <v>321</v>
      </c>
      <c r="I608" s="38" t="s">
        <v>322</v>
      </c>
      <c r="J608" s="38" t="s">
        <v>323</v>
      </c>
      <c r="K608" s="38" t="s">
        <v>324</v>
      </c>
      <c r="L608" s="52" t="s">
        <v>213</v>
      </c>
      <c r="M608" s="53" t="s">
        <v>213</v>
      </c>
    </row>
    <row r="609" spans="1:13" x14ac:dyDescent="0.3">
      <c r="A609" s="37">
        <v>71</v>
      </c>
      <c r="B609" s="38" t="s">
        <v>325</v>
      </c>
      <c r="C609" s="51">
        <v>7898609960893</v>
      </c>
      <c r="D609" s="40" t="s">
        <v>320</v>
      </c>
      <c r="E609" s="40"/>
      <c r="F609" s="40">
        <v>902</v>
      </c>
      <c r="G609" s="38"/>
      <c r="H609" s="38" t="s">
        <v>326</v>
      </c>
      <c r="I609" s="38" t="s">
        <v>322</v>
      </c>
      <c r="J609" s="38" t="s">
        <v>327</v>
      </c>
      <c r="K609" s="38" t="s">
        <v>328</v>
      </c>
      <c r="L609" s="52" t="s">
        <v>213</v>
      </c>
      <c r="M609" s="53" t="s">
        <v>213</v>
      </c>
    </row>
    <row r="610" spans="1:13" x14ac:dyDescent="0.3">
      <c r="A610" s="37">
        <v>71</v>
      </c>
      <c r="B610" s="38" t="s">
        <v>329</v>
      </c>
      <c r="C610" s="51">
        <v>7898609960565</v>
      </c>
      <c r="D610" s="40" t="s">
        <v>320</v>
      </c>
      <c r="E610" s="40"/>
      <c r="F610" s="40">
        <v>794</v>
      </c>
      <c r="G610" s="38"/>
      <c r="H610" s="38" t="s">
        <v>330</v>
      </c>
      <c r="I610" s="38" t="s">
        <v>331</v>
      </c>
      <c r="J610" s="38" t="s">
        <v>323</v>
      </c>
      <c r="K610" s="38" t="s">
        <v>332</v>
      </c>
      <c r="L610" s="52" t="s">
        <v>213</v>
      </c>
      <c r="M610" s="53" t="s">
        <v>213</v>
      </c>
    </row>
    <row r="611" spans="1:13" x14ac:dyDescent="0.3">
      <c r="A611" s="37">
        <v>42</v>
      </c>
      <c r="B611" s="38" t="s">
        <v>333</v>
      </c>
      <c r="C611" s="51">
        <v>7896206401146</v>
      </c>
      <c r="D611" s="40" t="s">
        <v>67</v>
      </c>
      <c r="E611" s="40"/>
      <c r="F611" s="40">
        <v>360</v>
      </c>
      <c r="G611" s="38"/>
      <c r="H611" s="38" t="s">
        <v>334</v>
      </c>
      <c r="I611" s="38" t="s">
        <v>335</v>
      </c>
      <c r="J611" s="38" t="s">
        <v>336</v>
      </c>
      <c r="K611" s="38" t="s">
        <v>337</v>
      </c>
      <c r="L611" s="52" t="s">
        <v>213</v>
      </c>
      <c r="M611" s="53" t="s">
        <v>213</v>
      </c>
    </row>
    <row r="612" spans="1:13" x14ac:dyDescent="0.3">
      <c r="A612" s="37">
        <v>42</v>
      </c>
      <c r="B612" s="38" t="s">
        <v>338</v>
      </c>
      <c r="C612" s="51">
        <v>7896206401160</v>
      </c>
      <c r="D612" s="40" t="s">
        <v>67</v>
      </c>
      <c r="E612" s="40"/>
      <c r="F612" s="40">
        <v>360</v>
      </c>
      <c r="G612" s="38"/>
      <c r="H612" s="38" t="s">
        <v>334</v>
      </c>
      <c r="I612" s="38" t="s">
        <v>335</v>
      </c>
      <c r="J612" s="38" t="s">
        <v>336</v>
      </c>
      <c r="K612" s="38" t="s">
        <v>337</v>
      </c>
      <c r="L612" s="52" t="s">
        <v>213</v>
      </c>
      <c r="M612" s="53" t="s">
        <v>213</v>
      </c>
    </row>
    <row r="613" spans="1:13" x14ac:dyDescent="0.3">
      <c r="A613" s="37">
        <v>42</v>
      </c>
      <c r="B613" s="38" t="s">
        <v>339</v>
      </c>
      <c r="C613" s="51">
        <v>7896206402082</v>
      </c>
      <c r="D613" s="40" t="s">
        <v>67</v>
      </c>
      <c r="E613" s="40"/>
      <c r="F613" s="40">
        <v>360</v>
      </c>
      <c r="G613" s="38"/>
      <c r="H613" s="38" t="s">
        <v>334</v>
      </c>
      <c r="I613" s="38" t="s">
        <v>335</v>
      </c>
      <c r="J613" s="38" t="s">
        <v>336</v>
      </c>
      <c r="K613" s="38" t="s">
        <v>337</v>
      </c>
      <c r="L613" s="52" t="s">
        <v>213</v>
      </c>
      <c r="M613" s="53" t="s">
        <v>213</v>
      </c>
    </row>
    <row r="614" spans="1:13" x14ac:dyDescent="0.3">
      <c r="A614" s="37">
        <v>42</v>
      </c>
      <c r="B614" s="38" t="s">
        <v>340</v>
      </c>
      <c r="C614" s="51">
        <v>7896206402204</v>
      </c>
      <c r="D614" s="40" t="s">
        <v>67</v>
      </c>
      <c r="E614" s="40"/>
      <c r="F614" s="40">
        <v>369</v>
      </c>
      <c r="G614" s="38"/>
      <c r="H614" s="38" t="s">
        <v>341</v>
      </c>
      <c r="I614" s="38" t="s">
        <v>342</v>
      </c>
      <c r="J614" s="38" t="s">
        <v>336</v>
      </c>
      <c r="K614" s="38" t="s">
        <v>343</v>
      </c>
      <c r="L614" s="52" t="s">
        <v>213</v>
      </c>
      <c r="M614" s="53" t="s">
        <v>213</v>
      </c>
    </row>
    <row r="615" spans="1:13" x14ac:dyDescent="0.3">
      <c r="A615" s="37">
        <v>42</v>
      </c>
      <c r="B615" s="38" t="s">
        <v>340</v>
      </c>
      <c r="C615" s="51">
        <v>7896206402204</v>
      </c>
      <c r="D615" s="40" t="s">
        <v>67</v>
      </c>
      <c r="E615" s="40"/>
      <c r="F615" s="40">
        <v>941</v>
      </c>
      <c r="G615" s="38"/>
      <c r="H615" s="38" t="s">
        <v>344</v>
      </c>
      <c r="I615" s="38" t="s">
        <v>342</v>
      </c>
      <c r="J615" s="38" t="s">
        <v>336</v>
      </c>
      <c r="K615" s="38" t="s">
        <v>345</v>
      </c>
      <c r="L615" s="52" t="s">
        <v>213</v>
      </c>
      <c r="M615" s="53" t="s">
        <v>213</v>
      </c>
    </row>
    <row r="616" spans="1:13" x14ac:dyDescent="0.3">
      <c r="A616" s="37">
        <v>42</v>
      </c>
      <c r="B616" s="38" t="s">
        <v>346</v>
      </c>
      <c r="C616" s="51">
        <v>7896206402211</v>
      </c>
      <c r="D616" s="40" t="s">
        <v>67</v>
      </c>
      <c r="E616" s="40"/>
      <c r="F616" s="40">
        <v>369</v>
      </c>
      <c r="G616" s="38"/>
      <c r="H616" s="38" t="s">
        <v>341</v>
      </c>
      <c r="I616" s="38" t="s">
        <v>342</v>
      </c>
      <c r="J616" s="38" t="s">
        <v>336</v>
      </c>
      <c r="K616" s="38" t="s">
        <v>343</v>
      </c>
      <c r="L616" s="52" t="s">
        <v>213</v>
      </c>
      <c r="M616" s="53" t="s">
        <v>213</v>
      </c>
    </row>
    <row r="617" spans="1:13" x14ac:dyDescent="0.3">
      <c r="A617" s="37">
        <v>42</v>
      </c>
      <c r="B617" s="38" t="s">
        <v>346</v>
      </c>
      <c r="C617" s="51">
        <v>7896206402211</v>
      </c>
      <c r="D617" s="40" t="s">
        <v>67</v>
      </c>
      <c r="E617" s="40"/>
      <c r="F617" s="40">
        <v>941</v>
      </c>
      <c r="G617" s="38"/>
      <c r="H617" s="38" t="s">
        <v>344</v>
      </c>
      <c r="I617" s="38" t="s">
        <v>342</v>
      </c>
      <c r="J617" s="38" t="s">
        <v>336</v>
      </c>
      <c r="K617" s="38" t="s">
        <v>345</v>
      </c>
      <c r="L617" s="52" t="s">
        <v>213</v>
      </c>
      <c r="M617" s="53" t="s">
        <v>213</v>
      </c>
    </row>
    <row r="618" spans="1:13" x14ac:dyDescent="0.3">
      <c r="A618" s="37">
        <v>42</v>
      </c>
      <c r="B618" s="38" t="s">
        <v>347</v>
      </c>
      <c r="C618" s="51">
        <v>7896206402372</v>
      </c>
      <c r="D618" s="40" t="s">
        <v>67</v>
      </c>
      <c r="E618" s="40"/>
      <c r="F618" s="40">
        <v>363</v>
      </c>
      <c r="G618" s="38"/>
      <c r="H618" s="38" t="s">
        <v>348</v>
      </c>
      <c r="I618" s="38" t="s">
        <v>349</v>
      </c>
      <c r="J618" s="38" t="s">
        <v>336</v>
      </c>
      <c r="K618" s="38" t="s">
        <v>350</v>
      </c>
      <c r="L618" s="52" t="s">
        <v>213</v>
      </c>
      <c r="M618" s="53" t="s">
        <v>213</v>
      </c>
    </row>
    <row r="619" spans="1:13" x14ac:dyDescent="0.3">
      <c r="A619" s="37">
        <v>42</v>
      </c>
      <c r="B619" s="38" t="s">
        <v>347</v>
      </c>
      <c r="C619" s="51">
        <v>7896206402372</v>
      </c>
      <c r="D619" s="40" t="s">
        <v>67</v>
      </c>
      <c r="E619" s="40"/>
      <c r="F619" s="40">
        <v>995</v>
      </c>
      <c r="G619" s="38"/>
      <c r="H619" s="38" t="s">
        <v>348</v>
      </c>
      <c r="I619" s="38" t="s">
        <v>351</v>
      </c>
      <c r="J619" s="38" t="s">
        <v>352</v>
      </c>
      <c r="K619" s="38" t="s">
        <v>353</v>
      </c>
      <c r="L619" s="52" t="s">
        <v>213</v>
      </c>
      <c r="M619" s="53" t="s">
        <v>213</v>
      </c>
    </row>
    <row r="620" spans="1:13" x14ac:dyDescent="0.3">
      <c r="A620" s="37">
        <v>42</v>
      </c>
      <c r="B620" s="38" t="s">
        <v>354</v>
      </c>
      <c r="C620" s="51">
        <v>7896206402396</v>
      </c>
      <c r="D620" s="40" t="s">
        <v>67</v>
      </c>
      <c r="E620" s="40"/>
      <c r="F620" s="40">
        <v>363</v>
      </c>
      <c r="G620" s="38"/>
      <c r="H620" s="38" t="s">
        <v>348</v>
      </c>
      <c r="I620" s="38" t="s">
        <v>349</v>
      </c>
      <c r="J620" s="38" t="s">
        <v>336</v>
      </c>
      <c r="K620" s="38" t="s">
        <v>350</v>
      </c>
      <c r="L620" s="52" t="s">
        <v>213</v>
      </c>
      <c r="M620" s="53" t="s">
        <v>213</v>
      </c>
    </row>
    <row r="621" spans="1:13" x14ac:dyDescent="0.3">
      <c r="A621" s="37">
        <v>42</v>
      </c>
      <c r="B621" s="38" t="s">
        <v>354</v>
      </c>
      <c r="C621" s="51">
        <v>7896206402396</v>
      </c>
      <c r="D621" s="40" t="s">
        <v>67</v>
      </c>
      <c r="E621" s="40"/>
      <c r="F621" s="40">
        <v>995</v>
      </c>
      <c r="G621" s="38"/>
      <c r="H621" s="38" t="s">
        <v>348</v>
      </c>
      <c r="I621" s="38" t="s">
        <v>351</v>
      </c>
      <c r="J621" s="38" t="s">
        <v>352</v>
      </c>
      <c r="K621" s="38" t="s">
        <v>353</v>
      </c>
      <c r="L621" s="52" t="s">
        <v>213</v>
      </c>
      <c r="M621" s="53" t="s">
        <v>213</v>
      </c>
    </row>
    <row r="622" spans="1:13" x14ac:dyDescent="0.3">
      <c r="A622" s="37">
        <v>42</v>
      </c>
      <c r="B622" s="38" t="s">
        <v>355</v>
      </c>
      <c r="C622" s="51">
        <v>7896206402426</v>
      </c>
      <c r="D622" s="40" t="s">
        <v>67</v>
      </c>
      <c r="E622" s="40"/>
      <c r="F622" s="40">
        <v>360</v>
      </c>
      <c r="G622" s="38"/>
      <c r="H622" s="38" t="s">
        <v>334</v>
      </c>
      <c r="I622" s="38" t="s">
        <v>335</v>
      </c>
      <c r="J622" s="38" t="s">
        <v>336</v>
      </c>
      <c r="K622" s="38" t="s">
        <v>337</v>
      </c>
      <c r="L622" s="52" t="s">
        <v>213</v>
      </c>
      <c r="M622" s="53" t="s">
        <v>213</v>
      </c>
    </row>
    <row r="623" spans="1:13" x14ac:dyDescent="0.3">
      <c r="A623" s="37">
        <v>42</v>
      </c>
      <c r="B623" s="38" t="s">
        <v>356</v>
      </c>
      <c r="C623" s="51">
        <v>7896206402433</v>
      </c>
      <c r="D623" s="40" t="s">
        <v>67</v>
      </c>
      <c r="E623" s="40"/>
      <c r="F623" s="40">
        <v>369</v>
      </c>
      <c r="G623" s="38"/>
      <c r="H623" s="38" t="s">
        <v>341</v>
      </c>
      <c r="I623" s="38" t="s">
        <v>342</v>
      </c>
      <c r="J623" s="38" t="s">
        <v>336</v>
      </c>
      <c r="K623" s="38" t="s">
        <v>343</v>
      </c>
      <c r="L623" s="52" t="s">
        <v>213</v>
      </c>
      <c r="M623" s="53" t="s">
        <v>213</v>
      </c>
    </row>
    <row r="624" spans="1:13" x14ac:dyDescent="0.3">
      <c r="A624" s="37">
        <v>42</v>
      </c>
      <c r="B624" s="38" t="s">
        <v>356</v>
      </c>
      <c r="C624" s="51">
        <v>7896206402433</v>
      </c>
      <c r="D624" s="40" t="s">
        <v>67</v>
      </c>
      <c r="E624" s="40"/>
      <c r="F624" s="40">
        <v>941</v>
      </c>
      <c r="G624" s="38"/>
      <c r="H624" s="38" t="s">
        <v>344</v>
      </c>
      <c r="I624" s="38" t="s">
        <v>342</v>
      </c>
      <c r="J624" s="38" t="s">
        <v>336</v>
      </c>
      <c r="K624" s="38" t="s">
        <v>345</v>
      </c>
      <c r="L624" s="52" t="s">
        <v>213</v>
      </c>
      <c r="M624" s="53" t="s">
        <v>213</v>
      </c>
    </row>
    <row r="625" spans="1:13" x14ac:dyDescent="0.3">
      <c r="A625" s="37">
        <v>42</v>
      </c>
      <c r="B625" s="38" t="s">
        <v>29</v>
      </c>
      <c r="C625" s="51">
        <v>7896206402853</v>
      </c>
      <c r="D625" s="40" t="s">
        <v>67</v>
      </c>
      <c r="E625" s="40"/>
      <c r="F625" s="40">
        <v>795</v>
      </c>
      <c r="G625" s="38"/>
      <c r="H625" s="38" t="s">
        <v>357</v>
      </c>
      <c r="I625" s="38" t="s">
        <v>358</v>
      </c>
      <c r="J625" s="38" t="s">
        <v>359</v>
      </c>
      <c r="K625" s="38" t="s">
        <v>360</v>
      </c>
      <c r="L625" s="52" t="s">
        <v>213</v>
      </c>
      <c r="M625" s="53" t="s">
        <v>213</v>
      </c>
    </row>
    <row r="626" spans="1:13" x14ac:dyDescent="0.3">
      <c r="A626" s="37">
        <v>42</v>
      </c>
      <c r="B626" s="38" t="s">
        <v>361</v>
      </c>
      <c r="C626" s="51">
        <v>7896206402860</v>
      </c>
      <c r="D626" s="40" t="s">
        <v>67</v>
      </c>
      <c r="E626" s="40"/>
      <c r="F626" s="40">
        <v>795</v>
      </c>
      <c r="G626" s="38"/>
      <c r="H626" s="38" t="s">
        <v>357</v>
      </c>
      <c r="I626" s="38" t="s">
        <v>358</v>
      </c>
      <c r="J626" s="38" t="s">
        <v>359</v>
      </c>
      <c r="K626" s="38" t="s">
        <v>360</v>
      </c>
      <c r="L626" s="52" t="s">
        <v>213</v>
      </c>
      <c r="M626" s="53" t="s">
        <v>213</v>
      </c>
    </row>
    <row r="627" spans="1:13" x14ac:dyDescent="0.3">
      <c r="A627" s="37">
        <v>42</v>
      </c>
      <c r="B627" s="38" t="s">
        <v>362</v>
      </c>
      <c r="C627" s="51">
        <v>7896206402877</v>
      </c>
      <c r="D627" s="40" t="s">
        <v>67</v>
      </c>
      <c r="E627" s="40"/>
      <c r="F627" s="40">
        <v>795</v>
      </c>
      <c r="G627" s="38"/>
      <c r="H627" s="38" t="s">
        <v>357</v>
      </c>
      <c r="I627" s="38" t="s">
        <v>358</v>
      </c>
      <c r="J627" s="38" t="s">
        <v>359</v>
      </c>
      <c r="K627" s="38" t="s">
        <v>360</v>
      </c>
      <c r="L627" s="52" t="s">
        <v>213</v>
      </c>
      <c r="M627" s="53" t="s">
        <v>213</v>
      </c>
    </row>
    <row r="628" spans="1:13" x14ac:dyDescent="0.3">
      <c r="A628" s="37">
        <v>42</v>
      </c>
      <c r="B628" s="38" t="s">
        <v>363</v>
      </c>
      <c r="C628" s="51">
        <v>7896206402969</v>
      </c>
      <c r="D628" s="40" t="s">
        <v>67</v>
      </c>
      <c r="E628" s="40"/>
      <c r="F628" s="40">
        <v>366</v>
      </c>
      <c r="G628" s="38"/>
      <c r="H628" s="38" t="s">
        <v>364</v>
      </c>
      <c r="I628" s="38" t="s">
        <v>349</v>
      </c>
      <c r="J628" s="38" t="s">
        <v>336</v>
      </c>
      <c r="K628" s="38" t="s">
        <v>350</v>
      </c>
      <c r="L628" s="52" t="s">
        <v>213</v>
      </c>
      <c r="M628" s="53" t="s">
        <v>213</v>
      </c>
    </row>
    <row r="629" spans="1:13" x14ac:dyDescent="0.3">
      <c r="A629" s="37">
        <v>42</v>
      </c>
      <c r="B629" s="38" t="s">
        <v>363</v>
      </c>
      <c r="C629" s="51">
        <v>7896206402969</v>
      </c>
      <c r="D629" s="40" t="s">
        <v>67</v>
      </c>
      <c r="E629" s="40"/>
      <c r="F629" s="40">
        <v>996</v>
      </c>
      <c r="G629" s="38"/>
      <c r="H629" s="38" t="s">
        <v>364</v>
      </c>
      <c r="I629" s="38" t="s">
        <v>351</v>
      </c>
      <c r="J629" s="38" t="s">
        <v>352</v>
      </c>
      <c r="K629" s="38" t="s">
        <v>353</v>
      </c>
      <c r="L629" s="52" t="s">
        <v>213</v>
      </c>
      <c r="M629" s="53" t="s">
        <v>213</v>
      </c>
    </row>
    <row r="630" spans="1:13" x14ac:dyDescent="0.3">
      <c r="A630" s="37">
        <v>42</v>
      </c>
      <c r="B630" s="38" t="s">
        <v>365</v>
      </c>
      <c r="C630" s="51">
        <v>7896206402976</v>
      </c>
      <c r="D630" s="40" t="s">
        <v>67</v>
      </c>
      <c r="E630" s="40"/>
      <c r="F630" s="40">
        <v>366</v>
      </c>
      <c r="G630" s="38"/>
      <c r="H630" s="38" t="s">
        <v>364</v>
      </c>
      <c r="I630" s="38" t="s">
        <v>349</v>
      </c>
      <c r="J630" s="38" t="s">
        <v>336</v>
      </c>
      <c r="K630" s="38" t="s">
        <v>350</v>
      </c>
      <c r="L630" s="52" t="s">
        <v>213</v>
      </c>
      <c r="M630" s="53" t="s">
        <v>213</v>
      </c>
    </row>
    <row r="631" spans="1:13" x14ac:dyDescent="0.3">
      <c r="A631" s="37">
        <v>42</v>
      </c>
      <c r="B631" s="38" t="s">
        <v>365</v>
      </c>
      <c r="C631" s="51">
        <v>7896206402976</v>
      </c>
      <c r="D631" s="40" t="s">
        <v>67</v>
      </c>
      <c r="E631" s="40"/>
      <c r="F631" s="40">
        <v>996</v>
      </c>
      <c r="G631" s="38"/>
      <c r="H631" s="38" t="s">
        <v>364</v>
      </c>
      <c r="I631" s="38" t="s">
        <v>351</v>
      </c>
      <c r="J631" s="38" t="s">
        <v>352</v>
      </c>
      <c r="K631" s="38" t="s">
        <v>353</v>
      </c>
      <c r="L631" s="52" t="s">
        <v>213</v>
      </c>
      <c r="M631" s="53" t="s">
        <v>213</v>
      </c>
    </row>
    <row r="632" spans="1:13" x14ac:dyDescent="0.3">
      <c r="A632" s="37">
        <v>42</v>
      </c>
      <c r="B632" s="38" t="s">
        <v>366</v>
      </c>
      <c r="C632" s="51">
        <v>7896206402983</v>
      </c>
      <c r="D632" s="40" t="s">
        <v>67</v>
      </c>
      <c r="E632" s="40"/>
      <c r="F632" s="40">
        <v>363</v>
      </c>
      <c r="G632" s="38"/>
      <c r="H632" s="38" t="s">
        <v>348</v>
      </c>
      <c r="I632" s="38" t="s">
        <v>349</v>
      </c>
      <c r="J632" s="38" t="s">
        <v>336</v>
      </c>
      <c r="K632" s="38" t="s">
        <v>350</v>
      </c>
      <c r="L632" s="52" t="s">
        <v>213</v>
      </c>
      <c r="M632" s="53" t="s">
        <v>213</v>
      </c>
    </row>
    <row r="633" spans="1:13" x14ac:dyDescent="0.3">
      <c r="A633" s="37">
        <v>42</v>
      </c>
      <c r="B633" s="38" t="s">
        <v>366</v>
      </c>
      <c r="C633" s="51">
        <v>7896206402983</v>
      </c>
      <c r="D633" s="40" t="s">
        <v>67</v>
      </c>
      <c r="E633" s="40"/>
      <c r="F633" s="40">
        <v>995</v>
      </c>
      <c r="G633" s="38"/>
      <c r="H633" s="38" t="s">
        <v>348</v>
      </c>
      <c r="I633" s="38" t="s">
        <v>351</v>
      </c>
      <c r="J633" s="38" t="s">
        <v>352</v>
      </c>
      <c r="K633" s="38" t="s">
        <v>353</v>
      </c>
      <c r="L633" s="52" t="s">
        <v>213</v>
      </c>
      <c r="M633" s="53" t="s">
        <v>213</v>
      </c>
    </row>
    <row r="634" spans="1:13" x14ac:dyDescent="0.3">
      <c r="A634" s="37">
        <v>42</v>
      </c>
      <c r="B634" s="38" t="s">
        <v>367</v>
      </c>
      <c r="C634" s="51">
        <v>7896206402990</v>
      </c>
      <c r="D634" s="40" t="s">
        <v>67</v>
      </c>
      <c r="E634" s="40"/>
      <c r="F634" s="40">
        <v>368</v>
      </c>
      <c r="G634" s="38"/>
      <c r="H634" s="38" t="s">
        <v>368</v>
      </c>
      <c r="I634" s="38" t="s">
        <v>342</v>
      </c>
      <c r="J634" s="38" t="s">
        <v>369</v>
      </c>
      <c r="K634" s="38" t="s">
        <v>370</v>
      </c>
      <c r="L634" s="52" t="s">
        <v>213</v>
      </c>
      <c r="M634" s="53" t="s">
        <v>213</v>
      </c>
    </row>
    <row r="635" spans="1:13" x14ac:dyDescent="0.3">
      <c r="A635" s="37">
        <v>42</v>
      </c>
      <c r="B635" s="38" t="s">
        <v>371</v>
      </c>
      <c r="C635" s="51">
        <v>7896206403003</v>
      </c>
      <c r="D635" s="40" t="s">
        <v>67</v>
      </c>
      <c r="E635" s="40"/>
      <c r="F635" s="40">
        <v>368</v>
      </c>
      <c r="G635" s="38"/>
      <c r="H635" s="38" t="s">
        <v>368</v>
      </c>
      <c r="I635" s="38" t="s">
        <v>342</v>
      </c>
      <c r="J635" s="38" t="s">
        <v>369</v>
      </c>
      <c r="K635" s="38" t="s">
        <v>370</v>
      </c>
      <c r="L635" s="52" t="s">
        <v>213</v>
      </c>
      <c r="M635" s="53" t="s">
        <v>213</v>
      </c>
    </row>
    <row r="636" spans="1:13" x14ac:dyDescent="0.3">
      <c r="A636" s="37">
        <v>42</v>
      </c>
      <c r="B636" s="38" t="s">
        <v>372</v>
      </c>
      <c r="C636" s="51">
        <v>7896206403010</v>
      </c>
      <c r="D636" s="40" t="s">
        <v>67</v>
      </c>
      <c r="E636" s="40"/>
      <c r="F636" s="40">
        <v>368</v>
      </c>
      <c r="G636" s="38"/>
      <c r="H636" s="38" t="s">
        <v>368</v>
      </c>
      <c r="I636" s="38" t="s">
        <v>342</v>
      </c>
      <c r="J636" s="38" t="s">
        <v>369</v>
      </c>
      <c r="K636" s="38" t="s">
        <v>370</v>
      </c>
      <c r="L636" s="52" t="s">
        <v>213</v>
      </c>
      <c r="M636" s="53" t="s">
        <v>213</v>
      </c>
    </row>
    <row r="637" spans="1:13" x14ac:dyDescent="0.3">
      <c r="A637" s="37">
        <v>42</v>
      </c>
      <c r="B637" s="38" t="s">
        <v>373</v>
      </c>
      <c r="C637" s="51">
        <v>7896206403126</v>
      </c>
      <c r="D637" s="40" t="s">
        <v>67</v>
      </c>
      <c r="E637" s="40"/>
      <c r="F637" s="40">
        <v>360</v>
      </c>
      <c r="G637" s="38"/>
      <c r="H637" s="38" t="s">
        <v>334</v>
      </c>
      <c r="I637" s="38" t="s">
        <v>335</v>
      </c>
      <c r="J637" s="38" t="s">
        <v>336</v>
      </c>
      <c r="K637" s="38" t="s">
        <v>337</v>
      </c>
      <c r="L637" s="52" t="s">
        <v>213</v>
      </c>
      <c r="M637" s="53" t="s">
        <v>213</v>
      </c>
    </row>
    <row r="638" spans="1:13" x14ac:dyDescent="0.3">
      <c r="A638" s="37">
        <v>42</v>
      </c>
      <c r="B638" s="38" t="s">
        <v>374</v>
      </c>
      <c r="C638" s="51">
        <v>7896206403140</v>
      </c>
      <c r="D638" s="40" t="s">
        <v>67</v>
      </c>
      <c r="E638" s="40"/>
      <c r="F638" s="40">
        <v>360</v>
      </c>
      <c r="G638" s="38"/>
      <c r="H638" s="38" t="s">
        <v>334</v>
      </c>
      <c r="I638" s="38" t="s">
        <v>335</v>
      </c>
      <c r="J638" s="38" t="s">
        <v>336</v>
      </c>
      <c r="K638" s="38" t="s">
        <v>337</v>
      </c>
      <c r="L638" s="52" t="s">
        <v>213</v>
      </c>
      <c r="M638" s="53" t="s">
        <v>213</v>
      </c>
    </row>
    <row r="639" spans="1:13" x14ac:dyDescent="0.3">
      <c r="A639" s="37">
        <v>42</v>
      </c>
      <c r="B639" s="38" t="s">
        <v>375</v>
      </c>
      <c r="C639" s="51">
        <v>7896206403645</v>
      </c>
      <c r="D639" s="40" t="s">
        <v>67</v>
      </c>
      <c r="E639" s="40"/>
      <c r="F639" s="40">
        <v>363</v>
      </c>
      <c r="G639" s="38"/>
      <c r="H639" s="38" t="s">
        <v>348</v>
      </c>
      <c r="I639" s="38" t="s">
        <v>349</v>
      </c>
      <c r="J639" s="38" t="s">
        <v>336</v>
      </c>
      <c r="K639" s="38" t="s">
        <v>350</v>
      </c>
      <c r="L639" s="52" t="s">
        <v>213</v>
      </c>
      <c r="M639" s="53" t="s">
        <v>213</v>
      </c>
    </row>
    <row r="640" spans="1:13" x14ac:dyDescent="0.3">
      <c r="A640" s="37">
        <v>42</v>
      </c>
      <c r="B640" s="38" t="s">
        <v>375</v>
      </c>
      <c r="C640" s="51">
        <v>7896206403645</v>
      </c>
      <c r="D640" s="40" t="s">
        <v>67</v>
      </c>
      <c r="E640" s="40"/>
      <c r="F640" s="40">
        <v>995</v>
      </c>
      <c r="G640" s="38"/>
      <c r="H640" s="38" t="s">
        <v>348</v>
      </c>
      <c r="I640" s="38" t="s">
        <v>351</v>
      </c>
      <c r="J640" s="38" t="s">
        <v>352</v>
      </c>
      <c r="K640" s="38" t="s">
        <v>353</v>
      </c>
      <c r="L640" s="52" t="s">
        <v>213</v>
      </c>
      <c r="M640" s="53" t="s">
        <v>213</v>
      </c>
    </row>
    <row r="641" spans="1:13" x14ac:dyDescent="0.3">
      <c r="A641" s="37">
        <v>42</v>
      </c>
      <c r="B641" s="38" t="s">
        <v>376</v>
      </c>
      <c r="C641" s="51">
        <v>7896206403652</v>
      </c>
      <c r="D641" s="40" t="s">
        <v>67</v>
      </c>
      <c r="E641" s="40"/>
      <c r="F641" s="40">
        <v>363</v>
      </c>
      <c r="G641" s="38"/>
      <c r="H641" s="38" t="s">
        <v>348</v>
      </c>
      <c r="I641" s="38" t="s">
        <v>349</v>
      </c>
      <c r="J641" s="38" t="s">
        <v>336</v>
      </c>
      <c r="K641" s="38" t="s">
        <v>350</v>
      </c>
      <c r="L641" s="52" t="s">
        <v>213</v>
      </c>
      <c r="M641" s="53" t="s">
        <v>213</v>
      </c>
    </row>
    <row r="642" spans="1:13" x14ac:dyDescent="0.3">
      <c r="A642" s="37">
        <v>42</v>
      </c>
      <c r="B642" s="38" t="s">
        <v>376</v>
      </c>
      <c r="C642" s="51">
        <v>7896206403652</v>
      </c>
      <c r="D642" s="40" t="s">
        <v>67</v>
      </c>
      <c r="E642" s="40"/>
      <c r="F642" s="40">
        <v>995</v>
      </c>
      <c r="G642" s="38"/>
      <c r="H642" s="38" t="s">
        <v>348</v>
      </c>
      <c r="I642" s="38" t="s">
        <v>351</v>
      </c>
      <c r="J642" s="38" t="s">
        <v>352</v>
      </c>
      <c r="K642" s="38" t="s">
        <v>353</v>
      </c>
      <c r="L642" s="52" t="s">
        <v>213</v>
      </c>
      <c r="M642" s="53" t="s">
        <v>213</v>
      </c>
    </row>
    <row r="643" spans="1:13" x14ac:dyDescent="0.3">
      <c r="A643" s="37">
        <v>42</v>
      </c>
      <c r="B643" s="38" t="s">
        <v>377</v>
      </c>
      <c r="C643" s="51">
        <v>7896206406707</v>
      </c>
      <c r="D643" s="40" t="s">
        <v>67</v>
      </c>
      <c r="E643" s="40"/>
      <c r="F643" s="40">
        <v>795</v>
      </c>
      <c r="G643" s="38"/>
      <c r="H643" s="38" t="s">
        <v>357</v>
      </c>
      <c r="I643" s="38" t="s">
        <v>358</v>
      </c>
      <c r="J643" s="38" t="s">
        <v>359</v>
      </c>
      <c r="K643" s="38" t="s">
        <v>360</v>
      </c>
      <c r="L643" s="52" t="s">
        <v>213</v>
      </c>
      <c r="M643" s="53" t="s">
        <v>213</v>
      </c>
    </row>
    <row r="644" spans="1:13" x14ac:dyDescent="0.3">
      <c r="A644" s="37">
        <v>42</v>
      </c>
      <c r="B644" s="38" t="s">
        <v>378</v>
      </c>
      <c r="C644" s="51">
        <v>7896206406738</v>
      </c>
      <c r="D644" s="40" t="s">
        <v>67</v>
      </c>
      <c r="E644" s="40"/>
      <c r="F644" s="40">
        <v>795</v>
      </c>
      <c r="G644" s="38"/>
      <c r="H644" s="38" t="s">
        <v>357</v>
      </c>
      <c r="I644" s="38" t="s">
        <v>358</v>
      </c>
      <c r="J644" s="38" t="s">
        <v>359</v>
      </c>
      <c r="K644" s="38" t="s">
        <v>360</v>
      </c>
      <c r="L644" s="52" t="s">
        <v>213</v>
      </c>
      <c r="M644" s="53" t="s">
        <v>213</v>
      </c>
    </row>
    <row r="645" spans="1:13" x14ac:dyDescent="0.3">
      <c r="A645" s="37">
        <v>42</v>
      </c>
      <c r="B645" s="38" t="s">
        <v>379</v>
      </c>
      <c r="C645" s="51">
        <v>7896206406769</v>
      </c>
      <c r="D645" s="40" t="s">
        <v>67</v>
      </c>
      <c r="E645" s="40"/>
      <c r="F645" s="40">
        <v>795</v>
      </c>
      <c r="G645" s="38"/>
      <c r="H645" s="38" t="s">
        <v>357</v>
      </c>
      <c r="I645" s="38" t="s">
        <v>358</v>
      </c>
      <c r="J645" s="38" t="s">
        <v>359</v>
      </c>
      <c r="K645" s="38" t="s">
        <v>360</v>
      </c>
      <c r="L645" s="52" t="s">
        <v>213</v>
      </c>
      <c r="M645" s="53" t="s">
        <v>213</v>
      </c>
    </row>
    <row r="646" spans="1:13" x14ac:dyDescent="0.3">
      <c r="A646" s="37">
        <v>42</v>
      </c>
      <c r="B646" s="38" t="s">
        <v>380</v>
      </c>
      <c r="C646" s="51">
        <v>7896206407896</v>
      </c>
      <c r="D646" s="40" t="s">
        <v>67</v>
      </c>
      <c r="E646" s="40"/>
      <c r="F646" s="40">
        <v>369</v>
      </c>
      <c r="G646" s="38"/>
      <c r="H646" s="38" t="s">
        <v>341</v>
      </c>
      <c r="I646" s="38" t="s">
        <v>342</v>
      </c>
      <c r="J646" s="38" t="s">
        <v>336</v>
      </c>
      <c r="K646" s="38" t="s">
        <v>343</v>
      </c>
      <c r="L646" s="52" t="s">
        <v>213</v>
      </c>
      <c r="M646" s="53" t="s">
        <v>213</v>
      </c>
    </row>
    <row r="647" spans="1:13" x14ac:dyDescent="0.3">
      <c r="A647" s="37">
        <v>42</v>
      </c>
      <c r="B647" s="38" t="s">
        <v>380</v>
      </c>
      <c r="C647" s="51">
        <v>7896206407896</v>
      </c>
      <c r="D647" s="40" t="s">
        <v>67</v>
      </c>
      <c r="E647" s="40"/>
      <c r="F647" s="40">
        <v>941</v>
      </c>
      <c r="G647" s="38"/>
      <c r="H647" s="38" t="s">
        <v>344</v>
      </c>
      <c r="I647" s="38" t="s">
        <v>342</v>
      </c>
      <c r="J647" s="38" t="s">
        <v>336</v>
      </c>
      <c r="K647" s="38" t="s">
        <v>345</v>
      </c>
      <c r="L647" s="52" t="s">
        <v>213</v>
      </c>
      <c r="M647" s="53" t="s">
        <v>213</v>
      </c>
    </row>
    <row r="648" spans="1:13" x14ac:dyDescent="0.3">
      <c r="A648" s="37">
        <v>42</v>
      </c>
      <c r="B648" s="38" t="s">
        <v>381</v>
      </c>
      <c r="C648" s="51">
        <v>7896206407902</v>
      </c>
      <c r="D648" s="40" t="s">
        <v>67</v>
      </c>
      <c r="E648" s="40"/>
      <c r="F648" s="40">
        <v>369</v>
      </c>
      <c r="G648" s="38"/>
      <c r="H648" s="38" t="s">
        <v>341</v>
      </c>
      <c r="I648" s="38" t="s">
        <v>342</v>
      </c>
      <c r="J648" s="38" t="s">
        <v>336</v>
      </c>
      <c r="K648" s="38" t="s">
        <v>343</v>
      </c>
      <c r="L648" s="52" t="s">
        <v>213</v>
      </c>
      <c r="M648" s="53" t="s">
        <v>213</v>
      </c>
    </row>
    <row r="649" spans="1:13" x14ac:dyDescent="0.3">
      <c r="A649" s="37">
        <v>42</v>
      </c>
      <c r="B649" s="38" t="s">
        <v>381</v>
      </c>
      <c r="C649" s="51">
        <v>7896206407902</v>
      </c>
      <c r="D649" s="40" t="s">
        <v>67</v>
      </c>
      <c r="E649" s="40"/>
      <c r="F649" s="40">
        <v>941</v>
      </c>
      <c r="G649" s="38"/>
      <c r="H649" s="38" t="s">
        <v>344</v>
      </c>
      <c r="I649" s="38" t="s">
        <v>342</v>
      </c>
      <c r="J649" s="38" t="s">
        <v>336</v>
      </c>
      <c r="K649" s="38" t="s">
        <v>345</v>
      </c>
      <c r="L649" s="52" t="s">
        <v>213</v>
      </c>
      <c r="M649" s="53" t="s">
        <v>213</v>
      </c>
    </row>
    <row r="650" spans="1:13" x14ac:dyDescent="0.3">
      <c r="A650" s="37">
        <v>30</v>
      </c>
      <c r="B650" s="38" t="s">
        <v>382</v>
      </c>
      <c r="C650" s="51">
        <v>7891106001946</v>
      </c>
      <c r="D650" s="40" t="s">
        <v>69</v>
      </c>
      <c r="E650" s="40"/>
      <c r="F650" s="40">
        <v>977</v>
      </c>
      <c r="G650" s="38"/>
      <c r="H650" s="38" t="s">
        <v>383</v>
      </c>
      <c r="I650" s="38" t="s">
        <v>384</v>
      </c>
      <c r="J650" s="38" t="s">
        <v>385</v>
      </c>
      <c r="K650" s="38" t="s">
        <v>386</v>
      </c>
      <c r="L650" s="52" t="s">
        <v>213</v>
      </c>
      <c r="M650" s="53" t="s">
        <v>213</v>
      </c>
    </row>
    <row r="651" spans="1:13" x14ac:dyDescent="0.3">
      <c r="A651" s="37">
        <v>30</v>
      </c>
      <c r="B651" s="38" t="s">
        <v>387</v>
      </c>
      <c r="C651" s="51">
        <v>7891106001946</v>
      </c>
      <c r="D651" s="40" t="s">
        <v>69</v>
      </c>
      <c r="E651" s="40"/>
      <c r="F651" s="40">
        <v>977</v>
      </c>
      <c r="G651" s="38"/>
      <c r="H651" s="38" t="s">
        <v>383</v>
      </c>
      <c r="I651" s="38" t="s">
        <v>384</v>
      </c>
      <c r="J651" s="38" t="s">
        <v>385</v>
      </c>
      <c r="K651" s="38" t="s">
        <v>386</v>
      </c>
      <c r="L651" s="52" t="s">
        <v>213</v>
      </c>
      <c r="M651" s="53" t="s">
        <v>213</v>
      </c>
    </row>
    <row r="652" spans="1:13" x14ac:dyDescent="0.3">
      <c r="A652" s="37">
        <v>30</v>
      </c>
      <c r="B652" s="38" t="s">
        <v>33</v>
      </c>
      <c r="C652" s="51">
        <v>7891106007030</v>
      </c>
      <c r="D652" s="40" t="s">
        <v>69</v>
      </c>
      <c r="E652" s="40"/>
      <c r="F652" s="40">
        <v>215</v>
      </c>
      <c r="G652" s="38"/>
      <c r="H652" s="38" t="s">
        <v>388</v>
      </c>
      <c r="I652" s="38" t="s">
        <v>389</v>
      </c>
      <c r="J652" s="38" t="s">
        <v>390</v>
      </c>
      <c r="K652" s="38" t="s">
        <v>391</v>
      </c>
      <c r="L652" s="52" t="s">
        <v>213</v>
      </c>
      <c r="M652" s="53" t="s">
        <v>213</v>
      </c>
    </row>
    <row r="653" spans="1:13" x14ac:dyDescent="0.3">
      <c r="A653" s="37">
        <v>30</v>
      </c>
      <c r="B653" s="38" t="s">
        <v>392</v>
      </c>
      <c r="C653" s="51">
        <v>7891106007030</v>
      </c>
      <c r="D653" s="40" t="s">
        <v>69</v>
      </c>
      <c r="E653" s="40"/>
      <c r="F653" s="40">
        <v>215</v>
      </c>
      <c r="G653" s="38"/>
      <c r="H653" s="38" t="s">
        <v>388</v>
      </c>
      <c r="I653" s="38" t="s">
        <v>389</v>
      </c>
      <c r="J653" s="38" t="s">
        <v>390</v>
      </c>
      <c r="K653" s="38" t="s">
        <v>391</v>
      </c>
      <c r="L653" s="52" t="s">
        <v>213</v>
      </c>
      <c r="M653" s="53" t="s">
        <v>213</v>
      </c>
    </row>
    <row r="654" spans="1:13" x14ac:dyDescent="0.3">
      <c r="A654" s="37">
        <v>30</v>
      </c>
      <c r="B654" s="38" t="s">
        <v>33</v>
      </c>
      <c r="C654" s="51">
        <v>7891106007030</v>
      </c>
      <c r="D654" s="40" t="s">
        <v>69</v>
      </c>
      <c r="E654" s="40"/>
      <c r="F654" s="40">
        <v>349</v>
      </c>
      <c r="G654" s="38"/>
      <c r="H654" s="38" t="s">
        <v>393</v>
      </c>
      <c r="I654" s="38" t="s">
        <v>389</v>
      </c>
      <c r="J654" s="38" t="s">
        <v>390</v>
      </c>
      <c r="K654" s="38" t="s">
        <v>391</v>
      </c>
      <c r="L654" s="52" t="s">
        <v>213</v>
      </c>
      <c r="M654" s="53" t="s">
        <v>213</v>
      </c>
    </row>
    <row r="655" spans="1:13" x14ac:dyDescent="0.3">
      <c r="A655" s="37">
        <v>30</v>
      </c>
      <c r="B655" s="38" t="s">
        <v>392</v>
      </c>
      <c r="C655" s="51">
        <v>7891106007030</v>
      </c>
      <c r="D655" s="40" t="s">
        <v>69</v>
      </c>
      <c r="E655" s="40"/>
      <c r="F655" s="40">
        <v>349</v>
      </c>
      <c r="G655" s="38"/>
      <c r="H655" s="38" t="s">
        <v>393</v>
      </c>
      <c r="I655" s="38" t="s">
        <v>389</v>
      </c>
      <c r="J655" s="38" t="s">
        <v>390</v>
      </c>
      <c r="K655" s="38" t="s">
        <v>391</v>
      </c>
      <c r="L655" s="52" t="s">
        <v>213</v>
      </c>
      <c r="M655" s="53" t="s">
        <v>213</v>
      </c>
    </row>
    <row r="656" spans="1:13" x14ac:dyDescent="0.3">
      <c r="A656" s="37">
        <v>30</v>
      </c>
      <c r="B656" s="38" t="s">
        <v>33</v>
      </c>
      <c r="C656" s="51">
        <v>7891106007030</v>
      </c>
      <c r="D656" s="40" t="s">
        <v>69</v>
      </c>
      <c r="E656" s="40"/>
      <c r="F656" s="40">
        <v>350</v>
      </c>
      <c r="G656" s="38"/>
      <c r="H656" s="38" t="s">
        <v>394</v>
      </c>
      <c r="I656" s="38" t="s">
        <v>389</v>
      </c>
      <c r="J656" s="38" t="s">
        <v>390</v>
      </c>
      <c r="K656" s="38" t="s">
        <v>391</v>
      </c>
      <c r="L656" s="52" t="s">
        <v>213</v>
      </c>
      <c r="M656" s="53" t="s">
        <v>213</v>
      </c>
    </row>
    <row r="657" spans="1:13" x14ac:dyDescent="0.3">
      <c r="A657" s="37">
        <v>30</v>
      </c>
      <c r="B657" s="38" t="s">
        <v>392</v>
      </c>
      <c r="C657" s="51">
        <v>7891106007030</v>
      </c>
      <c r="D657" s="40" t="s">
        <v>69</v>
      </c>
      <c r="E657" s="40"/>
      <c r="F657" s="40">
        <v>350</v>
      </c>
      <c r="G657" s="38"/>
      <c r="H657" s="38" t="s">
        <v>394</v>
      </c>
      <c r="I657" s="38" t="s">
        <v>389</v>
      </c>
      <c r="J657" s="38" t="s">
        <v>390</v>
      </c>
      <c r="K657" s="38" t="s">
        <v>391</v>
      </c>
      <c r="L657" s="52" t="s">
        <v>213</v>
      </c>
      <c r="M657" s="53" t="s">
        <v>213</v>
      </c>
    </row>
    <row r="658" spans="1:13" x14ac:dyDescent="0.3">
      <c r="A658" s="37">
        <v>30</v>
      </c>
      <c r="B658" s="38" t="s">
        <v>33</v>
      </c>
      <c r="C658" s="51">
        <v>7891106007030</v>
      </c>
      <c r="D658" s="40" t="s">
        <v>69</v>
      </c>
      <c r="E658" s="40"/>
      <c r="F658" s="40">
        <v>351</v>
      </c>
      <c r="G658" s="38"/>
      <c r="H658" s="38" t="s">
        <v>395</v>
      </c>
      <c r="I658" s="38" t="s">
        <v>389</v>
      </c>
      <c r="J658" s="38" t="s">
        <v>390</v>
      </c>
      <c r="K658" s="38" t="s">
        <v>391</v>
      </c>
      <c r="L658" s="52" t="s">
        <v>213</v>
      </c>
      <c r="M658" s="53" t="s">
        <v>213</v>
      </c>
    </row>
    <row r="659" spans="1:13" x14ac:dyDescent="0.3">
      <c r="A659" s="37">
        <v>30</v>
      </c>
      <c r="B659" s="38" t="s">
        <v>392</v>
      </c>
      <c r="C659" s="51">
        <v>7891106007030</v>
      </c>
      <c r="D659" s="40" t="s">
        <v>69</v>
      </c>
      <c r="E659" s="40"/>
      <c r="F659" s="40">
        <v>351</v>
      </c>
      <c r="G659" s="38"/>
      <c r="H659" s="38" t="s">
        <v>395</v>
      </c>
      <c r="I659" s="38" t="s">
        <v>389</v>
      </c>
      <c r="J659" s="38" t="s">
        <v>390</v>
      </c>
      <c r="K659" s="38" t="s">
        <v>391</v>
      </c>
      <c r="L659" s="52" t="s">
        <v>213</v>
      </c>
      <c r="M659" s="53" t="s">
        <v>213</v>
      </c>
    </row>
    <row r="660" spans="1:13" x14ac:dyDescent="0.3">
      <c r="A660" s="37">
        <v>30</v>
      </c>
      <c r="B660" s="38" t="s">
        <v>33</v>
      </c>
      <c r="C660" s="51">
        <v>7891106007030</v>
      </c>
      <c r="D660" s="40" t="s">
        <v>69</v>
      </c>
      <c r="E660" s="40"/>
      <c r="F660" s="40">
        <v>352</v>
      </c>
      <c r="G660" s="38"/>
      <c r="H660" s="38" t="s">
        <v>396</v>
      </c>
      <c r="I660" s="38" t="s">
        <v>397</v>
      </c>
      <c r="J660" s="38" t="s">
        <v>390</v>
      </c>
      <c r="K660" s="38" t="s">
        <v>391</v>
      </c>
      <c r="L660" s="52" t="s">
        <v>213</v>
      </c>
      <c r="M660" s="53" t="s">
        <v>213</v>
      </c>
    </row>
    <row r="661" spans="1:13" x14ac:dyDescent="0.3">
      <c r="A661" s="37">
        <v>30</v>
      </c>
      <c r="B661" s="38" t="s">
        <v>392</v>
      </c>
      <c r="C661" s="51">
        <v>7891106007030</v>
      </c>
      <c r="D661" s="40" t="s">
        <v>69</v>
      </c>
      <c r="E661" s="40"/>
      <c r="F661" s="40">
        <v>352</v>
      </c>
      <c r="G661" s="38"/>
      <c r="H661" s="38" t="s">
        <v>396</v>
      </c>
      <c r="I661" s="38" t="s">
        <v>397</v>
      </c>
      <c r="J661" s="38" t="s">
        <v>390</v>
      </c>
      <c r="K661" s="38" t="s">
        <v>391</v>
      </c>
      <c r="L661" s="52" t="s">
        <v>213</v>
      </c>
      <c r="M661" s="53" t="s">
        <v>213</v>
      </c>
    </row>
    <row r="662" spans="1:13" x14ac:dyDescent="0.3">
      <c r="A662" s="37">
        <v>30</v>
      </c>
      <c r="B662" s="38" t="s">
        <v>33</v>
      </c>
      <c r="C662" s="51">
        <v>7891106007030</v>
      </c>
      <c r="D662" s="40" t="s">
        <v>69</v>
      </c>
      <c r="E662" s="40"/>
      <c r="F662" s="40">
        <v>353</v>
      </c>
      <c r="G662" s="38"/>
      <c r="H662" s="38" t="s">
        <v>398</v>
      </c>
      <c r="I662" s="38" t="s">
        <v>397</v>
      </c>
      <c r="J662" s="38" t="s">
        <v>390</v>
      </c>
      <c r="K662" s="38" t="s">
        <v>391</v>
      </c>
      <c r="L662" s="52" t="s">
        <v>213</v>
      </c>
      <c r="M662" s="53" t="s">
        <v>213</v>
      </c>
    </row>
    <row r="663" spans="1:13" x14ac:dyDescent="0.3">
      <c r="A663" s="37">
        <v>30</v>
      </c>
      <c r="B663" s="38" t="s">
        <v>392</v>
      </c>
      <c r="C663" s="51">
        <v>7891106007030</v>
      </c>
      <c r="D663" s="40" t="s">
        <v>69</v>
      </c>
      <c r="E663" s="40"/>
      <c r="F663" s="40">
        <v>353</v>
      </c>
      <c r="G663" s="38"/>
      <c r="H663" s="38" t="s">
        <v>398</v>
      </c>
      <c r="I663" s="38" t="s">
        <v>397</v>
      </c>
      <c r="J663" s="38" t="s">
        <v>390</v>
      </c>
      <c r="K663" s="38" t="s">
        <v>391</v>
      </c>
      <c r="L663" s="52" t="s">
        <v>213</v>
      </c>
      <c r="M663" s="53" t="s">
        <v>213</v>
      </c>
    </row>
    <row r="664" spans="1:13" x14ac:dyDescent="0.3">
      <c r="A664" s="37">
        <v>30</v>
      </c>
      <c r="B664" s="38" t="s">
        <v>33</v>
      </c>
      <c r="C664" s="51">
        <v>7891106007030</v>
      </c>
      <c r="D664" s="40" t="s">
        <v>69</v>
      </c>
      <c r="E664" s="40"/>
      <c r="F664" s="40">
        <v>960</v>
      </c>
      <c r="G664" s="38"/>
      <c r="H664" s="38" t="s">
        <v>399</v>
      </c>
      <c r="I664" s="38" t="s">
        <v>397</v>
      </c>
      <c r="J664" s="38" t="s">
        <v>390</v>
      </c>
      <c r="K664" s="38" t="s">
        <v>391</v>
      </c>
      <c r="L664" s="52" t="s">
        <v>213</v>
      </c>
      <c r="M664" s="53" t="s">
        <v>213</v>
      </c>
    </row>
    <row r="665" spans="1:13" x14ac:dyDescent="0.3">
      <c r="A665" s="37">
        <v>30</v>
      </c>
      <c r="B665" s="38" t="s">
        <v>392</v>
      </c>
      <c r="C665" s="51">
        <v>7891106007030</v>
      </c>
      <c r="D665" s="40" t="s">
        <v>69</v>
      </c>
      <c r="E665" s="40"/>
      <c r="F665" s="40">
        <v>960</v>
      </c>
      <c r="G665" s="38"/>
      <c r="H665" s="38" t="s">
        <v>399</v>
      </c>
      <c r="I665" s="38" t="s">
        <v>397</v>
      </c>
      <c r="J665" s="38" t="s">
        <v>390</v>
      </c>
      <c r="K665" s="38" t="s">
        <v>391</v>
      </c>
      <c r="L665" s="52" t="s">
        <v>213</v>
      </c>
      <c r="M665" s="53" t="s">
        <v>213</v>
      </c>
    </row>
    <row r="666" spans="1:13" x14ac:dyDescent="0.3">
      <c r="A666" s="37">
        <v>30</v>
      </c>
      <c r="B666" s="38" t="s">
        <v>400</v>
      </c>
      <c r="C666" s="51">
        <v>7891106007047</v>
      </c>
      <c r="D666" s="40" t="s">
        <v>69</v>
      </c>
      <c r="E666" s="40"/>
      <c r="F666" s="40">
        <v>215</v>
      </c>
      <c r="G666" s="38"/>
      <c r="H666" s="38" t="s">
        <v>388</v>
      </c>
      <c r="I666" s="38" t="s">
        <v>401</v>
      </c>
      <c r="J666" s="38" t="s">
        <v>402</v>
      </c>
      <c r="K666" s="38" t="s">
        <v>403</v>
      </c>
      <c r="L666" s="52" t="s">
        <v>213</v>
      </c>
      <c r="M666" s="53" t="s">
        <v>213</v>
      </c>
    </row>
    <row r="667" spans="1:13" x14ac:dyDescent="0.3">
      <c r="A667" s="37">
        <v>30</v>
      </c>
      <c r="B667" s="38" t="s">
        <v>404</v>
      </c>
      <c r="C667" s="51">
        <v>7891106007047</v>
      </c>
      <c r="D667" s="40" t="s">
        <v>69</v>
      </c>
      <c r="E667" s="40"/>
      <c r="F667" s="40">
        <v>215</v>
      </c>
      <c r="G667" s="38"/>
      <c r="H667" s="38" t="s">
        <v>388</v>
      </c>
      <c r="I667" s="38" t="s">
        <v>401</v>
      </c>
      <c r="J667" s="38" t="s">
        <v>402</v>
      </c>
      <c r="K667" s="38" t="s">
        <v>403</v>
      </c>
      <c r="L667" s="52" t="s">
        <v>213</v>
      </c>
      <c r="M667" s="53" t="s">
        <v>213</v>
      </c>
    </row>
    <row r="668" spans="1:13" x14ac:dyDescent="0.3">
      <c r="A668" s="37">
        <v>30</v>
      </c>
      <c r="B668" s="38" t="s">
        <v>400</v>
      </c>
      <c r="C668" s="51">
        <v>7891106007047</v>
      </c>
      <c r="D668" s="40" t="s">
        <v>69</v>
      </c>
      <c r="E668" s="40"/>
      <c r="F668" s="40">
        <v>349</v>
      </c>
      <c r="G668" s="38"/>
      <c r="H668" s="38" t="s">
        <v>393</v>
      </c>
      <c r="I668" s="38" t="s">
        <v>405</v>
      </c>
      <c r="J668" s="38" t="s">
        <v>402</v>
      </c>
      <c r="K668" s="38" t="s">
        <v>406</v>
      </c>
      <c r="L668" s="52" t="s">
        <v>213</v>
      </c>
      <c r="M668" s="53" t="s">
        <v>213</v>
      </c>
    </row>
    <row r="669" spans="1:13" x14ac:dyDescent="0.3">
      <c r="A669" s="37">
        <v>30</v>
      </c>
      <c r="B669" s="38" t="s">
        <v>404</v>
      </c>
      <c r="C669" s="51">
        <v>7891106007047</v>
      </c>
      <c r="D669" s="40" t="s">
        <v>69</v>
      </c>
      <c r="E669" s="40"/>
      <c r="F669" s="40">
        <v>349</v>
      </c>
      <c r="G669" s="38"/>
      <c r="H669" s="38" t="s">
        <v>393</v>
      </c>
      <c r="I669" s="38" t="s">
        <v>405</v>
      </c>
      <c r="J669" s="38" t="s">
        <v>402</v>
      </c>
      <c r="K669" s="38" t="s">
        <v>406</v>
      </c>
      <c r="L669" s="52" t="s">
        <v>213</v>
      </c>
      <c r="M669" s="53" t="s">
        <v>213</v>
      </c>
    </row>
    <row r="670" spans="1:13" x14ac:dyDescent="0.3">
      <c r="A670" s="37">
        <v>30</v>
      </c>
      <c r="B670" s="38" t="s">
        <v>400</v>
      </c>
      <c r="C670" s="51">
        <v>7891106007047</v>
      </c>
      <c r="D670" s="40" t="s">
        <v>69</v>
      </c>
      <c r="E670" s="40"/>
      <c r="F670" s="40">
        <v>350</v>
      </c>
      <c r="G670" s="38"/>
      <c r="H670" s="38" t="s">
        <v>394</v>
      </c>
      <c r="I670" s="38" t="s">
        <v>389</v>
      </c>
      <c r="J670" s="38" t="s">
        <v>402</v>
      </c>
      <c r="K670" s="38" t="s">
        <v>407</v>
      </c>
      <c r="L670" s="52" t="s">
        <v>213</v>
      </c>
      <c r="M670" s="53" t="s">
        <v>213</v>
      </c>
    </row>
    <row r="671" spans="1:13" x14ac:dyDescent="0.3">
      <c r="A671" s="37">
        <v>30</v>
      </c>
      <c r="B671" s="38" t="s">
        <v>404</v>
      </c>
      <c r="C671" s="51">
        <v>7891106007047</v>
      </c>
      <c r="D671" s="40" t="s">
        <v>69</v>
      </c>
      <c r="E671" s="40"/>
      <c r="F671" s="40">
        <v>350</v>
      </c>
      <c r="G671" s="38"/>
      <c r="H671" s="38" t="s">
        <v>394</v>
      </c>
      <c r="I671" s="38" t="s">
        <v>389</v>
      </c>
      <c r="J671" s="38" t="s">
        <v>402</v>
      </c>
      <c r="K671" s="38" t="s">
        <v>407</v>
      </c>
      <c r="L671" s="52" t="s">
        <v>213</v>
      </c>
      <c r="M671" s="53" t="s">
        <v>213</v>
      </c>
    </row>
    <row r="672" spans="1:13" x14ac:dyDescent="0.3">
      <c r="A672" s="37">
        <v>30</v>
      </c>
      <c r="B672" s="38" t="s">
        <v>400</v>
      </c>
      <c r="C672" s="51">
        <v>7891106007047</v>
      </c>
      <c r="D672" s="40" t="s">
        <v>69</v>
      </c>
      <c r="E672" s="40"/>
      <c r="F672" s="40">
        <v>351</v>
      </c>
      <c r="G672" s="38"/>
      <c r="H672" s="38" t="s">
        <v>395</v>
      </c>
      <c r="I672" s="38" t="s">
        <v>405</v>
      </c>
      <c r="J672" s="38" t="s">
        <v>402</v>
      </c>
      <c r="K672" s="38" t="s">
        <v>408</v>
      </c>
      <c r="L672" s="52" t="s">
        <v>213</v>
      </c>
      <c r="M672" s="53" t="s">
        <v>213</v>
      </c>
    </row>
    <row r="673" spans="1:13" x14ac:dyDescent="0.3">
      <c r="A673" s="37">
        <v>30</v>
      </c>
      <c r="B673" s="38" t="s">
        <v>404</v>
      </c>
      <c r="C673" s="51">
        <v>7891106007047</v>
      </c>
      <c r="D673" s="40" t="s">
        <v>69</v>
      </c>
      <c r="E673" s="40"/>
      <c r="F673" s="40">
        <v>351</v>
      </c>
      <c r="G673" s="38"/>
      <c r="H673" s="38" t="s">
        <v>395</v>
      </c>
      <c r="I673" s="38" t="s">
        <v>405</v>
      </c>
      <c r="J673" s="38" t="s">
        <v>402</v>
      </c>
      <c r="K673" s="38" t="s">
        <v>408</v>
      </c>
      <c r="L673" s="52" t="s">
        <v>213</v>
      </c>
      <c r="M673" s="53" t="s">
        <v>213</v>
      </c>
    </row>
    <row r="674" spans="1:13" x14ac:dyDescent="0.3">
      <c r="A674" s="37">
        <v>30</v>
      </c>
      <c r="B674" s="38" t="s">
        <v>400</v>
      </c>
      <c r="C674" s="51">
        <v>7891106007047</v>
      </c>
      <c r="D674" s="40" t="s">
        <v>69</v>
      </c>
      <c r="E674" s="40"/>
      <c r="F674" s="40">
        <v>352</v>
      </c>
      <c r="G674" s="38"/>
      <c r="H674" s="38" t="s">
        <v>396</v>
      </c>
      <c r="I674" s="38" t="s">
        <v>405</v>
      </c>
      <c r="J674" s="38" t="s">
        <v>402</v>
      </c>
      <c r="K674" s="38" t="s">
        <v>409</v>
      </c>
      <c r="L674" s="52" t="s">
        <v>213</v>
      </c>
      <c r="M674" s="53" t="s">
        <v>213</v>
      </c>
    </row>
    <row r="675" spans="1:13" x14ac:dyDescent="0.3">
      <c r="A675" s="37">
        <v>30</v>
      </c>
      <c r="B675" s="38" t="s">
        <v>404</v>
      </c>
      <c r="C675" s="51">
        <v>7891106007047</v>
      </c>
      <c r="D675" s="40" t="s">
        <v>69</v>
      </c>
      <c r="E675" s="40"/>
      <c r="F675" s="40">
        <v>352</v>
      </c>
      <c r="G675" s="38"/>
      <c r="H675" s="38" t="s">
        <v>396</v>
      </c>
      <c r="I675" s="38" t="s">
        <v>405</v>
      </c>
      <c r="J675" s="38" t="s">
        <v>402</v>
      </c>
      <c r="K675" s="38" t="s">
        <v>409</v>
      </c>
      <c r="L675" s="52" t="s">
        <v>213</v>
      </c>
      <c r="M675" s="53" t="s">
        <v>213</v>
      </c>
    </row>
    <row r="676" spans="1:13" x14ac:dyDescent="0.3">
      <c r="A676" s="37">
        <v>30</v>
      </c>
      <c r="B676" s="38" t="s">
        <v>400</v>
      </c>
      <c r="C676" s="51">
        <v>7891106007047</v>
      </c>
      <c r="D676" s="40" t="s">
        <v>69</v>
      </c>
      <c r="E676" s="40"/>
      <c r="F676" s="40">
        <v>353</v>
      </c>
      <c r="G676" s="38"/>
      <c r="H676" s="38" t="s">
        <v>398</v>
      </c>
      <c r="I676" s="38" t="s">
        <v>405</v>
      </c>
      <c r="J676" s="38" t="s">
        <v>402</v>
      </c>
      <c r="K676" s="38" t="s">
        <v>409</v>
      </c>
      <c r="L676" s="52" t="s">
        <v>213</v>
      </c>
      <c r="M676" s="53" t="s">
        <v>213</v>
      </c>
    </row>
    <row r="677" spans="1:13" x14ac:dyDescent="0.3">
      <c r="A677" s="37">
        <v>30</v>
      </c>
      <c r="B677" s="38" t="s">
        <v>404</v>
      </c>
      <c r="C677" s="51">
        <v>7891106007047</v>
      </c>
      <c r="D677" s="40" t="s">
        <v>69</v>
      </c>
      <c r="E677" s="40"/>
      <c r="F677" s="40">
        <v>353</v>
      </c>
      <c r="G677" s="38"/>
      <c r="H677" s="38" t="s">
        <v>398</v>
      </c>
      <c r="I677" s="38" t="s">
        <v>405</v>
      </c>
      <c r="J677" s="38" t="s">
        <v>402</v>
      </c>
      <c r="K677" s="38" t="s">
        <v>409</v>
      </c>
      <c r="L677" s="52" t="s">
        <v>213</v>
      </c>
      <c r="M677" s="53" t="s">
        <v>213</v>
      </c>
    </row>
    <row r="678" spans="1:13" x14ac:dyDescent="0.3">
      <c r="A678" s="37">
        <v>30</v>
      </c>
      <c r="B678" s="38" t="s">
        <v>400</v>
      </c>
      <c r="C678" s="51">
        <v>7891106007047</v>
      </c>
      <c r="D678" s="40" t="s">
        <v>69</v>
      </c>
      <c r="E678" s="40"/>
      <c r="F678" s="40">
        <v>960</v>
      </c>
      <c r="G678" s="38"/>
      <c r="H678" s="38" t="s">
        <v>399</v>
      </c>
      <c r="I678" s="38" t="s">
        <v>405</v>
      </c>
      <c r="J678" s="38" t="s">
        <v>402</v>
      </c>
      <c r="K678" s="38" t="s">
        <v>410</v>
      </c>
      <c r="L678" s="52" t="s">
        <v>213</v>
      </c>
      <c r="M678" s="53" t="s">
        <v>213</v>
      </c>
    </row>
    <row r="679" spans="1:13" x14ac:dyDescent="0.3">
      <c r="A679" s="37">
        <v>30</v>
      </c>
      <c r="B679" s="38" t="s">
        <v>404</v>
      </c>
      <c r="C679" s="51">
        <v>7891106007047</v>
      </c>
      <c r="D679" s="40" t="s">
        <v>69</v>
      </c>
      <c r="E679" s="40"/>
      <c r="F679" s="40">
        <v>960</v>
      </c>
      <c r="G679" s="38"/>
      <c r="H679" s="38" t="s">
        <v>399</v>
      </c>
      <c r="I679" s="38" t="s">
        <v>405</v>
      </c>
      <c r="J679" s="38" t="s">
        <v>402</v>
      </c>
      <c r="K679" s="38" t="s">
        <v>410</v>
      </c>
      <c r="L679" s="52" t="s">
        <v>213</v>
      </c>
      <c r="M679" s="53" t="s">
        <v>213</v>
      </c>
    </row>
    <row r="680" spans="1:13" x14ac:dyDescent="0.3">
      <c r="A680" s="37">
        <v>30</v>
      </c>
      <c r="B680" s="38" t="s">
        <v>400</v>
      </c>
      <c r="C680" s="51">
        <v>7891106007047</v>
      </c>
      <c r="D680" s="40" t="s">
        <v>69</v>
      </c>
      <c r="E680" s="40"/>
      <c r="F680" s="40">
        <v>993</v>
      </c>
      <c r="G680" s="38"/>
      <c r="H680" s="38" t="s">
        <v>411</v>
      </c>
      <c r="I680" s="38" t="s">
        <v>389</v>
      </c>
      <c r="J680" s="38" t="s">
        <v>412</v>
      </c>
      <c r="K680" s="38" t="s">
        <v>413</v>
      </c>
      <c r="L680" s="52" t="s">
        <v>213</v>
      </c>
      <c r="M680" s="53" t="s">
        <v>213</v>
      </c>
    </row>
    <row r="681" spans="1:13" x14ac:dyDescent="0.3">
      <c r="A681" s="37">
        <v>30</v>
      </c>
      <c r="B681" s="38" t="s">
        <v>404</v>
      </c>
      <c r="C681" s="51">
        <v>7891106007047</v>
      </c>
      <c r="D681" s="40" t="s">
        <v>69</v>
      </c>
      <c r="E681" s="40"/>
      <c r="F681" s="40">
        <v>993</v>
      </c>
      <c r="G681" s="38"/>
      <c r="H681" s="38" t="s">
        <v>411</v>
      </c>
      <c r="I681" s="38" t="s">
        <v>389</v>
      </c>
      <c r="J681" s="38" t="s">
        <v>412</v>
      </c>
      <c r="K681" s="38" t="s">
        <v>413</v>
      </c>
      <c r="L681" s="52" t="s">
        <v>213</v>
      </c>
      <c r="M681" s="53" t="s">
        <v>213</v>
      </c>
    </row>
    <row r="682" spans="1:13" x14ac:dyDescent="0.3">
      <c r="A682" s="37">
        <v>30</v>
      </c>
      <c r="B682" s="38" t="s">
        <v>414</v>
      </c>
      <c r="C682" s="51">
        <v>7891106906074</v>
      </c>
      <c r="D682" s="40" t="s">
        <v>69</v>
      </c>
      <c r="E682" s="40"/>
      <c r="F682" s="40">
        <v>197</v>
      </c>
      <c r="G682" s="38"/>
      <c r="H682" s="38" t="s">
        <v>415</v>
      </c>
      <c r="I682" s="38" t="s">
        <v>335</v>
      </c>
      <c r="J682" s="38" t="s">
        <v>416</v>
      </c>
      <c r="K682" s="38" t="s">
        <v>417</v>
      </c>
      <c r="L682" s="52" t="s">
        <v>213</v>
      </c>
      <c r="M682" s="53" t="s">
        <v>213</v>
      </c>
    </row>
    <row r="683" spans="1:13" x14ac:dyDescent="0.3">
      <c r="A683" s="37">
        <v>30</v>
      </c>
      <c r="B683" s="38" t="s">
        <v>418</v>
      </c>
      <c r="C683" s="51">
        <v>7891106906074</v>
      </c>
      <c r="D683" s="40" t="s">
        <v>69</v>
      </c>
      <c r="E683" s="40"/>
      <c r="F683" s="40">
        <v>197</v>
      </c>
      <c r="G683" s="38"/>
      <c r="H683" s="38" t="s">
        <v>415</v>
      </c>
      <c r="I683" s="38" t="s">
        <v>335</v>
      </c>
      <c r="J683" s="38" t="s">
        <v>416</v>
      </c>
      <c r="K683" s="38" t="s">
        <v>417</v>
      </c>
      <c r="L683" s="52" t="s">
        <v>213</v>
      </c>
      <c r="M683" s="53" t="s">
        <v>213</v>
      </c>
    </row>
    <row r="684" spans="1:13" x14ac:dyDescent="0.3">
      <c r="A684" s="37">
        <v>30</v>
      </c>
      <c r="B684" s="38" t="s">
        <v>414</v>
      </c>
      <c r="C684" s="51">
        <v>7891106906074</v>
      </c>
      <c r="D684" s="40" t="s">
        <v>69</v>
      </c>
      <c r="E684" s="40"/>
      <c r="F684" s="40">
        <v>204</v>
      </c>
      <c r="G684" s="38"/>
      <c r="H684" s="38" t="s">
        <v>419</v>
      </c>
      <c r="I684" s="38" t="s">
        <v>420</v>
      </c>
      <c r="J684" s="38" t="s">
        <v>421</v>
      </c>
      <c r="K684" s="38" t="s">
        <v>422</v>
      </c>
      <c r="L684" s="52" t="s">
        <v>213</v>
      </c>
      <c r="M684" s="53" t="s">
        <v>213</v>
      </c>
    </row>
    <row r="685" spans="1:13" x14ac:dyDescent="0.3">
      <c r="A685" s="37">
        <v>30</v>
      </c>
      <c r="B685" s="38" t="s">
        <v>418</v>
      </c>
      <c r="C685" s="51">
        <v>7891106906074</v>
      </c>
      <c r="D685" s="40" t="s">
        <v>69</v>
      </c>
      <c r="E685" s="40"/>
      <c r="F685" s="40">
        <v>204</v>
      </c>
      <c r="G685" s="38"/>
      <c r="H685" s="38" t="s">
        <v>419</v>
      </c>
      <c r="I685" s="38" t="s">
        <v>420</v>
      </c>
      <c r="J685" s="38" t="s">
        <v>421</v>
      </c>
      <c r="K685" s="38" t="s">
        <v>422</v>
      </c>
      <c r="L685" s="52" t="s">
        <v>213</v>
      </c>
      <c r="M685" s="53" t="s">
        <v>213</v>
      </c>
    </row>
    <row r="686" spans="1:13" x14ac:dyDescent="0.3">
      <c r="A686" s="37">
        <v>30</v>
      </c>
      <c r="B686" s="38" t="s">
        <v>414</v>
      </c>
      <c r="C686" s="51">
        <v>7891106906074</v>
      </c>
      <c r="D686" s="40" t="s">
        <v>69</v>
      </c>
      <c r="E686" s="40"/>
      <c r="F686" s="40">
        <v>207</v>
      </c>
      <c r="G686" s="38"/>
      <c r="H686" s="38" t="s">
        <v>423</v>
      </c>
      <c r="I686" s="38" t="s">
        <v>424</v>
      </c>
      <c r="J686" s="38" t="s">
        <v>416</v>
      </c>
      <c r="K686" s="38" t="s">
        <v>425</v>
      </c>
      <c r="L686" s="52" t="s">
        <v>213</v>
      </c>
      <c r="M686" s="53" t="s">
        <v>213</v>
      </c>
    </row>
    <row r="687" spans="1:13" x14ac:dyDescent="0.3">
      <c r="A687" s="37">
        <v>30</v>
      </c>
      <c r="B687" s="38" t="s">
        <v>418</v>
      </c>
      <c r="C687" s="51">
        <v>7891106906074</v>
      </c>
      <c r="D687" s="40" t="s">
        <v>69</v>
      </c>
      <c r="E687" s="40"/>
      <c r="F687" s="40">
        <v>207</v>
      </c>
      <c r="G687" s="38"/>
      <c r="H687" s="38" t="s">
        <v>423</v>
      </c>
      <c r="I687" s="38" t="s">
        <v>424</v>
      </c>
      <c r="J687" s="38" t="s">
        <v>416</v>
      </c>
      <c r="K687" s="38" t="s">
        <v>425</v>
      </c>
      <c r="L687" s="52" t="s">
        <v>213</v>
      </c>
      <c r="M687" s="53" t="s">
        <v>213</v>
      </c>
    </row>
    <row r="688" spans="1:13" x14ac:dyDescent="0.3">
      <c r="A688" s="37">
        <v>30</v>
      </c>
      <c r="B688" s="38" t="s">
        <v>414</v>
      </c>
      <c r="C688" s="51">
        <v>7891106906074</v>
      </c>
      <c r="D688" s="40" t="s">
        <v>69</v>
      </c>
      <c r="E688" s="40"/>
      <c r="F688" s="40">
        <v>271</v>
      </c>
      <c r="G688" s="38"/>
      <c r="H688" s="38" t="s">
        <v>426</v>
      </c>
      <c r="I688" s="38" t="s">
        <v>427</v>
      </c>
      <c r="J688" s="38" t="s">
        <v>416</v>
      </c>
      <c r="K688" s="38" t="s">
        <v>428</v>
      </c>
      <c r="L688" s="52" t="s">
        <v>213</v>
      </c>
      <c r="M688" s="53" t="s">
        <v>213</v>
      </c>
    </row>
    <row r="689" spans="1:13" x14ac:dyDescent="0.3">
      <c r="A689" s="37">
        <v>30</v>
      </c>
      <c r="B689" s="38" t="s">
        <v>418</v>
      </c>
      <c r="C689" s="51">
        <v>7891106906074</v>
      </c>
      <c r="D689" s="40" t="s">
        <v>69</v>
      </c>
      <c r="E689" s="40"/>
      <c r="F689" s="40">
        <v>271</v>
      </c>
      <c r="G689" s="38"/>
      <c r="H689" s="38" t="s">
        <v>426</v>
      </c>
      <c r="I689" s="38" t="s">
        <v>427</v>
      </c>
      <c r="J689" s="38" t="s">
        <v>416</v>
      </c>
      <c r="K689" s="38" t="s">
        <v>428</v>
      </c>
      <c r="L689" s="52" t="s">
        <v>213</v>
      </c>
      <c r="M689" s="53" t="s">
        <v>213</v>
      </c>
    </row>
    <row r="690" spans="1:13" x14ac:dyDescent="0.3">
      <c r="A690" s="37">
        <v>30</v>
      </c>
      <c r="B690" s="38" t="s">
        <v>414</v>
      </c>
      <c r="C690" s="51">
        <v>7891106906074</v>
      </c>
      <c r="D690" s="40" t="s">
        <v>69</v>
      </c>
      <c r="E690" s="40"/>
      <c r="F690" s="40">
        <v>895</v>
      </c>
      <c r="G690" s="38"/>
      <c r="H690" s="38" t="s">
        <v>429</v>
      </c>
      <c r="I690" s="38" t="s">
        <v>405</v>
      </c>
      <c r="J690" s="38" t="s">
        <v>390</v>
      </c>
      <c r="K690" s="38" t="s">
        <v>430</v>
      </c>
      <c r="L690" s="52" t="s">
        <v>213</v>
      </c>
      <c r="M690" s="53" t="s">
        <v>213</v>
      </c>
    </row>
    <row r="691" spans="1:13" x14ac:dyDescent="0.3">
      <c r="A691" s="37">
        <v>30</v>
      </c>
      <c r="B691" s="38" t="s">
        <v>418</v>
      </c>
      <c r="C691" s="51">
        <v>7891106906074</v>
      </c>
      <c r="D691" s="40" t="s">
        <v>69</v>
      </c>
      <c r="E691" s="40"/>
      <c r="F691" s="40">
        <v>895</v>
      </c>
      <c r="G691" s="38"/>
      <c r="H691" s="38" t="s">
        <v>429</v>
      </c>
      <c r="I691" s="38" t="s">
        <v>405</v>
      </c>
      <c r="J691" s="38" t="s">
        <v>390</v>
      </c>
      <c r="K691" s="38" t="s">
        <v>430</v>
      </c>
      <c r="L691" s="52" t="s">
        <v>213</v>
      </c>
      <c r="M691" s="53" t="s">
        <v>213</v>
      </c>
    </row>
    <row r="692" spans="1:13" x14ac:dyDescent="0.3">
      <c r="A692" s="37">
        <v>30</v>
      </c>
      <c r="B692" s="38" t="s">
        <v>414</v>
      </c>
      <c r="C692" s="51">
        <v>7891106906074</v>
      </c>
      <c r="D692" s="40" t="s">
        <v>69</v>
      </c>
      <c r="E692" s="40"/>
      <c r="F692" s="40">
        <v>909</v>
      </c>
      <c r="G692" s="38"/>
      <c r="H692" s="38" t="s">
        <v>431</v>
      </c>
      <c r="I692" s="38" t="s">
        <v>432</v>
      </c>
      <c r="J692" s="38" t="s">
        <v>416</v>
      </c>
      <c r="K692" s="38" t="s">
        <v>433</v>
      </c>
      <c r="L692" s="52" t="s">
        <v>213</v>
      </c>
      <c r="M692" s="53" t="s">
        <v>213</v>
      </c>
    </row>
    <row r="693" spans="1:13" x14ac:dyDescent="0.3">
      <c r="A693" s="37">
        <v>30</v>
      </c>
      <c r="B693" s="38" t="s">
        <v>418</v>
      </c>
      <c r="C693" s="51">
        <v>7891106906074</v>
      </c>
      <c r="D693" s="40" t="s">
        <v>69</v>
      </c>
      <c r="E693" s="40"/>
      <c r="F693" s="40">
        <v>909</v>
      </c>
      <c r="G693" s="38"/>
      <c r="H693" s="38" t="s">
        <v>431</v>
      </c>
      <c r="I693" s="38" t="s">
        <v>432</v>
      </c>
      <c r="J693" s="38" t="s">
        <v>416</v>
      </c>
      <c r="K693" s="38" t="s">
        <v>433</v>
      </c>
      <c r="L693" s="52" t="s">
        <v>213</v>
      </c>
      <c r="M693" s="53" t="s">
        <v>213</v>
      </c>
    </row>
    <row r="694" spans="1:13" x14ac:dyDescent="0.3">
      <c r="A694" s="37">
        <v>30</v>
      </c>
      <c r="B694" s="38" t="s">
        <v>434</v>
      </c>
      <c r="C694" s="51">
        <v>7891106906296</v>
      </c>
      <c r="D694" s="40" t="s">
        <v>69</v>
      </c>
      <c r="E694" s="40"/>
      <c r="F694" s="40">
        <v>426</v>
      </c>
      <c r="G694" s="38"/>
      <c r="H694" s="38" t="s">
        <v>435</v>
      </c>
      <c r="I694" s="38" t="s">
        <v>405</v>
      </c>
      <c r="J694" s="38" t="s">
        <v>436</v>
      </c>
      <c r="K694" s="38" t="s">
        <v>437</v>
      </c>
      <c r="L694" s="52" t="s">
        <v>213</v>
      </c>
      <c r="M694" s="53" t="s">
        <v>213</v>
      </c>
    </row>
    <row r="695" spans="1:13" x14ac:dyDescent="0.3">
      <c r="A695" s="37">
        <v>30</v>
      </c>
      <c r="B695" s="38" t="s">
        <v>438</v>
      </c>
      <c r="C695" s="51">
        <v>7891106906296</v>
      </c>
      <c r="D695" s="40" t="s">
        <v>69</v>
      </c>
      <c r="E695" s="40"/>
      <c r="F695" s="40">
        <v>426</v>
      </c>
      <c r="G695" s="38"/>
      <c r="H695" s="38" t="s">
        <v>435</v>
      </c>
      <c r="I695" s="38" t="s">
        <v>405</v>
      </c>
      <c r="J695" s="38" t="s">
        <v>436</v>
      </c>
      <c r="K695" s="38" t="s">
        <v>437</v>
      </c>
      <c r="L695" s="52" t="s">
        <v>213</v>
      </c>
      <c r="M695" s="53" t="s">
        <v>213</v>
      </c>
    </row>
    <row r="696" spans="1:13" x14ac:dyDescent="0.3">
      <c r="A696" s="37">
        <v>30</v>
      </c>
      <c r="B696" s="38" t="s">
        <v>434</v>
      </c>
      <c r="C696" s="51">
        <v>7891106906296</v>
      </c>
      <c r="D696" s="40" t="s">
        <v>69</v>
      </c>
      <c r="E696" s="40"/>
      <c r="F696" s="40">
        <v>569</v>
      </c>
      <c r="G696" s="38"/>
      <c r="H696" s="38" t="s">
        <v>439</v>
      </c>
      <c r="I696" s="38" t="s">
        <v>405</v>
      </c>
      <c r="J696" s="38" t="s">
        <v>436</v>
      </c>
      <c r="K696" s="38" t="s">
        <v>440</v>
      </c>
      <c r="L696" s="52" t="s">
        <v>213</v>
      </c>
      <c r="M696" s="53" t="s">
        <v>213</v>
      </c>
    </row>
    <row r="697" spans="1:13" x14ac:dyDescent="0.3">
      <c r="A697" s="37">
        <v>30</v>
      </c>
      <c r="B697" s="38" t="s">
        <v>438</v>
      </c>
      <c r="C697" s="51">
        <v>7891106906296</v>
      </c>
      <c r="D697" s="40" t="s">
        <v>69</v>
      </c>
      <c r="E697" s="40"/>
      <c r="F697" s="40">
        <v>569</v>
      </c>
      <c r="G697" s="38"/>
      <c r="H697" s="38" t="s">
        <v>439</v>
      </c>
      <c r="I697" s="38" t="s">
        <v>405</v>
      </c>
      <c r="J697" s="38" t="s">
        <v>436</v>
      </c>
      <c r="K697" s="38" t="s">
        <v>440</v>
      </c>
      <c r="L697" s="52" t="s">
        <v>213</v>
      </c>
      <c r="M697" s="53" t="s">
        <v>213</v>
      </c>
    </row>
    <row r="698" spans="1:13" x14ac:dyDescent="0.3">
      <c r="A698" s="37">
        <v>30</v>
      </c>
      <c r="B698" s="38" t="s">
        <v>434</v>
      </c>
      <c r="C698" s="51">
        <v>7891106906296</v>
      </c>
      <c r="D698" s="40" t="s">
        <v>69</v>
      </c>
      <c r="E698" s="40"/>
      <c r="F698" s="40">
        <v>570</v>
      </c>
      <c r="G698" s="38"/>
      <c r="H698" s="38" t="s">
        <v>441</v>
      </c>
      <c r="I698" s="38" t="s">
        <v>405</v>
      </c>
      <c r="J698" s="38" t="s">
        <v>436</v>
      </c>
      <c r="K698" s="38" t="s">
        <v>442</v>
      </c>
      <c r="L698" s="52" t="s">
        <v>213</v>
      </c>
      <c r="M698" s="53" t="s">
        <v>213</v>
      </c>
    </row>
    <row r="699" spans="1:13" x14ac:dyDescent="0.3">
      <c r="A699" s="37">
        <v>30</v>
      </c>
      <c r="B699" s="38" t="s">
        <v>438</v>
      </c>
      <c r="C699" s="51">
        <v>7891106906296</v>
      </c>
      <c r="D699" s="40" t="s">
        <v>69</v>
      </c>
      <c r="E699" s="40"/>
      <c r="F699" s="40">
        <v>570</v>
      </c>
      <c r="G699" s="38"/>
      <c r="H699" s="38" t="s">
        <v>441</v>
      </c>
      <c r="I699" s="38" t="s">
        <v>405</v>
      </c>
      <c r="J699" s="38" t="s">
        <v>436</v>
      </c>
      <c r="K699" s="38" t="s">
        <v>442</v>
      </c>
      <c r="L699" s="52" t="s">
        <v>213</v>
      </c>
      <c r="M699" s="53" t="s">
        <v>213</v>
      </c>
    </row>
    <row r="700" spans="1:13" x14ac:dyDescent="0.3">
      <c r="A700" s="37">
        <v>30</v>
      </c>
      <c r="B700" s="38" t="s">
        <v>434</v>
      </c>
      <c r="C700" s="51">
        <v>7891106906296</v>
      </c>
      <c r="D700" s="40" t="s">
        <v>69</v>
      </c>
      <c r="E700" s="40"/>
      <c r="F700" s="40">
        <v>571</v>
      </c>
      <c r="G700" s="38"/>
      <c r="H700" s="38" t="s">
        <v>443</v>
      </c>
      <c r="I700" s="38" t="s">
        <v>405</v>
      </c>
      <c r="J700" s="38" t="s">
        <v>444</v>
      </c>
      <c r="K700" s="38" t="s">
        <v>445</v>
      </c>
      <c r="L700" s="52" t="s">
        <v>213</v>
      </c>
      <c r="M700" s="53" t="s">
        <v>213</v>
      </c>
    </row>
    <row r="701" spans="1:13" x14ac:dyDescent="0.3">
      <c r="A701" s="37">
        <v>30</v>
      </c>
      <c r="B701" s="38" t="s">
        <v>438</v>
      </c>
      <c r="C701" s="51">
        <v>7891106906296</v>
      </c>
      <c r="D701" s="40" t="s">
        <v>69</v>
      </c>
      <c r="E701" s="40"/>
      <c r="F701" s="40">
        <v>571</v>
      </c>
      <c r="G701" s="38"/>
      <c r="H701" s="38" t="s">
        <v>443</v>
      </c>
      <c r="I701" s="38" t="s">
        <v>405</v>
      </c>
      <c r="J701" s="38" t="s">
        <v>444</v>
      </c>
      <c r="K701" s="38" t="s">
        <v>445</v>
      </c>
      <c r="L701" s="52" t="s">
        <v>213</v>
      </c>
      <c r="M701" s="53" t="s">
        <v>213</v>
      </c>
    </row>
    <row r="702" spans="1:13" x14ac:dyDescent="0.3">
      <c r="A702" s="37">
        <v>30</v>
      </c>
      <c r="B702" s="38" t="s">
        <v>434</v>
      </c>
      <c r="C702" s="51">
        <v>7891106906296</v>
      </c>
      <c r="D702" s="40" t="s">
        <v>69</v>
      </c>
      <c r="E702" s="40"/>
      <c r="F702" s="40">
        <v>731</v>
      </c>
      <c r="G702" s="38"/>
      <c r="H702" s="38" t="s">
        <v>446</v>
      </c>
      <c r="I702" s="38" t="s">
        <v>405</v>
      </c>
      <c r="J702" s="38" t="s">
        <v>436</v>
      </c>
      <c r="K702" s="38" t="s">
        <v>447</v>
      </c>
      <c r="L702" s="52" t="s">
        <v>213</v>
      </c>
      <c r="M702" s="53" t="s">
        <v>213</v>
      </c>
    </row>
    <row r="703" spans="1:13" x14ac:dyDescent="0.3">
      <c r="A703" s="37">
        <v>30</v>
      </c>
      <c r="B703" s="38" t="s">
        <v>438</v>
      </c>
      <c r="C703" s="51">
        <v>7891106906296</v>
      </c>
      <c r="D703" s="40" t="s">
        <v>69</v>
      </c>
      <c r="E703" s="40"/>
      <c r="F703" s="40">
        <v>731</v>
      </c>
      <c r="G703" s="38"/>
      <c r="H703" s="38" t="s">
        <v>446</v>
      </c>
      <c r="I703" s="38" t="s">
        <v>405</v>
      </c>
      <c r="J703" s="38" t="s">
        <v>436</v>
      </c>
      <c r="K703" s="38" t="s">
        <v>447</v>
      </c>
      <c r="L703" s="52" t="s">
        <v>213</v>
      </c>
      <c r="M703" s="53" t="s">
        <v>213</v>
      </c>
    </row>
    <row r="704" spans="1:13" x14ac:dyDescent="0.3">
      <c r="A704" s="37">
        <v>30</v>
      </c>
      <c r="B704" s="38" t="s">
        <v>448</v>
      </c>
      <c r="C704" s="51">
        <v>7891106907002</v>
      </c>
      <c r="D704" s="40" t="s">
        <v>69</v>
      </c>
      <c r="E704" s="40"/>
      <c r="F704" s="40">
        <v>215</v>
      </c>
      <c r="G704" s="38"/>
      <c r="H704" s="38" t="s">
        <v>388</v>
      </c>
      <c r="I704" s="38" t="s">
        <v>389</v>
      </c>
      <c r="J704" s="38" t="s">
        <v>402</v>
      </c>
      <c r="K704" s="38" t="s">
        <v>391</v>
      </c>
      <c r="L704" s="52" t="s">
        <v>213</v>
      </c>
      <c r="M704" s="53" t="s">
        <v>213</v>
      </c>
    </row>
    <row r="705" spans="1:13" x14ac:dyDescent="0.3">
      <c r="A705" s="37">
        <v>30</v>
      </c>
      <c r="B705" s="38" t="s">
        <v>449</v>
      </c>
      <c r="C705" s="51">
        <v>7891106907002</v>
      </c>
      <c r="D705" s="40" t="s">
        <v>69</v>
      </c>
      <c r="E705" s="40"/>
      <c r="F705" s="40">
        <v>215</v>
      </c>
      <c r="G705" s="38"/>
      <c r="H705" s="38" t="s">
        <v>388</v>
      </c>
      <c r="I705" s="38" t="s">
        <v>389</v>
      </c>
      <c r="J705" s="38" t="s">
        <v>402</v>
      </c>
      <c r="K705" s="38" t="s">
        <v>391</v>
      </c>
      <c r="L705" s="52" t="s">
        <v>213</v>
      </c>
      <c r="M705" s="53" t="s">
        <v>213</v>
      </c>
    </row>
    <row r="706" spans="1:13" x14ac:dyDescent="0.3">
      <c r="A706" s="37">
        <v>30</v>
      </c>
      <c r="B706" s="38" t="s">
        <v>448</v>
      </c>
      <c r="C706" s="51">
        <v>7891106907002</v>
      </c>
      <c r="D706" s="40" t="s">
        <v>69</v>
      </c>
      <c r="E706" s="40"/>
      <c r="F706" s="40">
        <v>349</v>
      </c>
      <c r="G706" s="38"/>
      <c r="H706" s="38" t="s">
        <v>393</v>
      </c>
      <c r="I706" s="38" t="s">
        <v>389</v>
      </c>
      <c r="J706" s="38" t="s">
        <v>402</v>
      </c>
      <c r="K706" s="38" t="s">
        <v>391</v>
      </c>
      <c r="L706" s="52" t="s">
        <v>213</v>
      </c>
      <c r="M706" s="53" t="s">
        <v>213</v>
      </c>
    </row>
    <row r="707" spans="1:13" x14ac:dyDescent="0.3">
      <c r="A707" s="37">
        <v>30</v>
      </c>
      <c r="B707" s="38" t="s">
        <v>449</v>
      </c>
      <c r="C707" s="51">
        <v>7891106907002</v>
      </c>
      <c r="D707" s="40" t="s">
        <v>69</v>
      </c>
      <c r="E707" s="40"/>
      <c r="F707" s="40">
        <v>349</v>
      </c>
      <c r="G707" s="38"/>
      <c r="H707" s="38" t="s">
        <v>393</v>
      </c>
      <c r="I707" s="38" t="s">
        <v>389</v>
      </c>
      <c r="J707" s="38" t="s">
        <v>402</v>
      </c>
      <c r="K707" s="38" t="s">
        <v>391</v>
      </c>
      <c r="L707" s="52" t="s">
        <v>213</v>
      </c>
      <c r="M707" s="53" t="s">
        <v>213</v>
      </c>
    </row>
    <row r="708" spans="1:13" x14ac:dyDescent="0.3">
      <c r="A708" s="37">
        <v>30</v>
      </c>
      <c r="B708" s="38" t="s">
        <v>448</v>
      </c>
      <c r="C708" s="51">
        <v>7891106907002</v>
      </c>
      <c r="D708" s="40" t="s">
        <v>69</v>
      </c>
      <c r="E708" s="40"/>
      <c r="F708" s="40">
        <v>350</v>
      </c>
      <c r="G708" s="38"/>
      <c r="H708" s="38" t="s">
        <v>394</v>
      </c>
      <c r="I708" s="38" t="s">
        <v>389</v>
      </c>
      <c r="J708" s="38" t="s">
        <v>402</v>
      </c>
      <c r="K708" s="38" t="s">
        <v>391</v>
      </c>
      <c r="L708" s="52" t="s">
        <v>213</v>
      </c>
      <c r="M708" s="53" t="s">
        <v>213</v>
      </c>
    </row>
    <row r="709" spans="1:13" x14ac:dyDescent="0.3">
      <c r="A709" s="37">
        <v>30</v>
      </c>
      <c r="B709" s="38" t="s">
        <v>449</v>
      </c>
      <c r="C709" s="51">
        <v>7891106907002</v>
      </c>
      <c r="D709" s="40" t="s">
        <v>69</v>
      </c>
      <c r="E709" s="40"/>
      <c r="F709" s="40">
        <v>350</v>
      </c>
      <c r="G709" s="38"/>
      <c r="H709" s="38" t="s">
        <v>394</v>
      </c>
      <c r="I709" s="38" t="s">
        <v>389</v>
      </c>
      <c r="J709" s="38" t="s">
        <v>402</v>
      </c>
      <c r="K709" s="38" t="s">
        <v>391</v>
      </c>
      <c r="L709" s="52" t="s">
        <v>213</v>
      </c>
      <c r="M709" s="53" t="s">
        <v>213</v>
      </c>
    </row>
    <row r="710" spans="1:13" x14ac:dyDescent="0.3">
      <c r="A710" s="37">
        <v>30</v>
      </c>
      <c r="B710" s="38" t="s">
        <v>448</v>
      </c>
      <c r="C710" s="51">
        <v>7891106907002</v>
      </c>
      <c r="D710" s="40" t="s">
        <v>69</v>
      </c>
      <c r="E710" s="40"/>
      <c r="F710" s="40">
        <v>351</v>
      </c>
      <c r="G710" s="38"/>
      <c r="H710" s="38" t="s">
        <v>395</v>
      </c>
      <c r="I710" s="38" t="s">
        <v>389</v>
      </c>
      <c r="J710" s="38" t="s">
        <v>402</v>
      </c>
      <c r="K710" s="38" t="s">
        <v>391</v>
      </c>
      <c r="L710" s="52" t="s">
        <v>213</v>
      </c>
      <c r="M710" s="53" t="s">
        <v>213</v>
      </c>
    </row>
    <row r="711" spans="1:13" x14ac:dyDescent="0.3">
      <c r="A711" s="37">
        <v>30</v>
      </c>
      <c r="B711" s="38" t="s">
        <v>449</v>
      </c>
      <c r="C711" s="51">
        <v>7891106907002</v>
      </c>
      <c r="D711" s="40" t="s">
        <v>69</v>
      </c>
      <c r="E711" s="40"/>
      <c r="F711" s="40">
        <v>351</v>
      </c>
      <c r="G711" s="38"/>
      <c r="H711" s="38" t="s">
        <v>395</v>
      </c>
      <c r="I711" s="38" t="s">
        <v>389</v>
      </c>
      <c r="J711" s="38" t="s">
        <v>402</v>
      </c>
      <c r="K711" s="38" t="s">
        <v>391</v>
      </c>
      <c r="L711" s="52" t="s">
        <v>213</v>
      </c>
      <c r="M711" s="53" t="s">
        <v>213</v>
      </c>
    </row>
    <row r="712" spans="1:13" x14ac:dyDescent="0.3">
      <c r="A712" s="37">
        <v>30</v>
      </c>
      <c r="B712" s="38" t="s">
        <v>448</v>
      </c>
      <c r="C712" s="51">
        <v>7891106907002</v>
      </c>
      <c r="D712" s="40" t="s">
        <v>69</v>
      </c>
      <c r="E712" s="40"/>
      <c r="F712" s="40">
        <v>352</v>
      </c>
      <c r="G712" s="38"/>
      <c r="H712" s="38" t="s">
        <v>396</v>
      </c>
      <c r="I712" s="38" t="s">
        <v>397</v>
      </c>
      <c r="J712" s="38" t="s">
        <v>402</v>
      </c>
      <c r="K712" s="38" t="s">
        <v>391</v>
      </c>
      <c r="L712" s="52" t="s">
        <v>213</v>
      </c>
      <c r="M712" s="53" t="s">
        <v>213</v>
      </c>
    </row>
    <row r="713" spans="1:13" x14ac:dyDescent="0.3">
      <c r="A713" s="37">
        <v>30</v>
      </c>
      <c r="B713" s="38" t="s">
        <v>449</v>
      </c>
      <c r="C713" s="51">
        <v>7891106907002</v>
      </c>
      <c r="D713" s="40" t="s">
        <v>69</v>
      </c>
      <c r="E713" s="40"/>
      <c r="F713" s="40">
        <v>352</v>
      </c>
      <c r="G713" s="38"/>
      <c r="H713" s="38" t="s">
        <v>396</v>
      </c>
      <c r="I713" s="38" t="s">
        <v>397</v>
      </c>
      <c r="J713" s="38" t="s">
        <v>402</v>
      </c>
      <c r="K713" s="38" t="s">
        <v>391</v>
      </c>
      <c r="L713" s="52" t="s">
        <v>213</v>
      </c>
      <c r="M713" s="53" t="s">
        <v>213</v>
      </c>
    </row>
    <row r="714" spans="1:13" x14ac:dyDescent="0.3">
      <c r="A714" s="37">
        <v>30</v>
      </c>
      <c r="B714" s="38" t="s">
        <v>448</v>
      </c>
      <c r="C714" s="51">
        <v>7891106907002</v>
      </c>
      <c r="D714" s="40" t="s">
        <v>69</v>
      </c>
      <c r="E714" s="40"/>
      <c r="F714" s="40">
        <v>353</v>
      </c>
      <c r="G714" s="38"/>
      <c r="H714" s="38" t="s">
        <v>398</v>
      </c>
      <c r="I714" s="38" t="s">
        <v>397</v>
      </c>
      <c r="J714" s="38" t="s">
        <v>402</v>
      </c>
      <c r="K714" s="38" t="s">
        <v>391</v>
      </c>
      <c r="L714" s="52" t="s">
        <v>213</v>
      </c>
      <c r="M714" s="53" t="s">
        <v>213</v>
      </c>
    </row>
    <row r="715" spans="1:13" x14ac:dyDescent="0.3">
      <c r="A715" s="37">
        <v>30</v>
      </c>
      <c r="B715" s="38" t="s">
        <v>449</v>
      </c>
      <c r="C715" s="51">
        <v>7891106907002</v>
      </c>
      <c r="D715" s="40" t="s">
        <v>69</v>
      </c>
      <c r="E715" s="40"/>
      <c r="F715" s="40">
        <v>353</v>
      </c>
      <c r="G715" s="38"/>
      <c r="H715" s="38" t="s">
        <v>398</v>
      </c>
      <c r="I715" s="38" t="s">
        <v>397</v>
      </c>
      <c r="J715" s="38" t="s">
        <v>402</v>
      </c>
      <c r="K715" s="38" t="s">
        <v>391</v>
      </c>
      <c r="L715" s="52" t="s">
        <v>213</v>
      </c>
      <c r="M715" s="53" t="s">
        <v>213</v>
      </c>
    </row>
    <row r="716" spans="1:13" x14ac:dyDescent="0.3">
      <c r="A716" s="37">
        <v>30</v>
      </c>
      <c r="B716" s="38" t="s">
        <v>448</v>
      </c>
      <c r="C716" s="51">
        <v>7891106907002</v>
      </c>
      <c r="D716" s="40" t="s">
        <v>69</v>
      </c>
      <c r="E716" s="40"/>
      <c r="F716" s="40">
        <v>960</v>
      </c>
      <c r="G716" s="38"/>
      <c r="H716" s="38" t="s">
        <v>399</v>
      </c>
      <c r="I716" s="38" t="s">
        <v>397</v>
      </c>
      <c r="J716" s="38" t="s">
        <v>402</v>
      </c>
      <c r="K716" s="38" t="s">
        <v>391</v>
      </c>
      <c r="L716" s="52" t="s">
        <v>213</v>
      </c>
      <c r="M716" s="53" t="s">
        <v>213</v>
      </c>
    </row>
    <row r="717" spans="1:13" x14ac:dyDescent="0.3">
      <c r="A717" s="37">
        <v>30</v>
      </c>
      <c r="B717" s="38" t="s">
        <v>449</v>
      </c>
      <c r="C717" s="51">
        <v>7891106907002</v>
      </c>
      <c r="D717" s="40" t="s">
        <v>69</v>
      </c>
      <c r="E717" s="40"/>
      <c r="F717" s="40">
        <v>960</v>
      </c>
      <c r="G717" s="38"/>
      <c r="H717" s="38" t="s">
        <v>399</v>
      </c>
      <c r="I717" s="38" t="s">
        <v>397</v>
      </c>
      <c r="J717" s="38" t="s">
        <v>402</v>
      </c>
      <c r="K717" s="38" t="s">
        <v>391</v>
      </c>
      <c r="L717" s="52" t="s">
        <v>213</v>
      </c>
      <c r="M717" s="53" t="s">
        <v>213</v>
      </c>
    </row>
    <row r="718" spans="1:13" x14ac:dyDescent="0.3">
      <c r="A718" s="37">
        <v>30</v>
      </c>
      <c r="B718" s="38" t="s">
        <v>450</v>
      </c>
      <c r="C718" s="51">
        <v>7891106907019</v>
      </c>
      <c r="D718" s="40" t="s">
        <v>69</v>
      </c>
      <c r="E718" s="40"/>
      <c r="F718" s="40">
        <v>215</v>
      </c>
      <c r="G718" s="38"/>
      <c r="H718" s="38" t="s">
        <v>388</v>
      </c>
      <c r="I718" s="38" t="s">
        <v>401</v>
      </c>
      <c r="J718" s="38" t="s">
        <v>402</v>
      </c>
      <c r="K718" s="38" t="s">
        <v>403</v>
      </c>
      <c r="L718" s="52" t="s">
        <v>213</v>
      </c>
      <c r="M718" s="53" t="s">
        <v>213</v>
      </c>
    </row>
    <row r="719" spans="1:13" x14ac:dyDescent="0.3">
      <c r="A719" s="37">
        <v>30</v>
      </c>
      <c r="B719" s="38" t="s">
        <v>451</v>
      </c>
      <c r="C719" s="51">
        <v>7891106907019</v>
      </c>
      <c r="D719" s="40" t="s">
        <v>69</v>
      </c>
      <c r="E719" s="40"/>
      <c r="F719" s="40">
        <v>215</v>
      </c>
      <c r="G719" s="38"/>
      <c r="H719" s="38" t="s">
        <v>388</v>
      </c>
      <c r="I719" s="38" t="s">
        <v>401</v>
      </c>
      <c r="J719" s="38" t="s">
        <v>402</v>
      </c>
      <c r="K719" s="38" t="s">
        <v>403</v>
      </c>
      <c r="L719" s="52" t="s">
        <v>213</v>
      </c>
      <c r="M719" s="53" t="s">
        <v>213</v>
      </c>
    </row>
    <row r="720" spans="1:13" x14ac:dyDescent="0.3">
      <c r="A720" s="37">
        <v>30</v>
      </c>
      <c r="B720" s="38" t="s">
        <v>450</v>
      </c>
      <c r="C720" s="51">
        <v>7891106907019</v>
      </c>
      <c r="D720" s="40" t="s">
        <v>69</v>
      </c>
      <c r="E720" s="40"/>
      <c r="F720" s="40">
        <v>349</v>
      </c>
      <c r="G720" s="38"/>
      <c r="H720" s="38" t="s">
        <v>393</v>
      </c>
      <c r="I720" s="38" t="s">
        <v>405</v>
      </c>
      <c r="J720" s="38" t="s">
        <v>402</v>
      </c>
      <c r="K720" s="38" t="s">
        <v>406</v>
      </c>
      <c r="L720" s="52" t="s">
        <v>213</v>
      </c>
      <c r="M720" s="53" t="s">
        <v>213</v>
      </c>
    </row>
    <row r="721" spans="1:13" x14ac:dyDescent="0.3">
      <c r="A721" s="37">
        <v>30</v>
      </c>
      <c r="B721" s="38" t="s">
        <v>451</v>
      </c>
      <c r="C721" s="51">
        <v>7891106907019</v>
      </c>
      <c r="D721" s="40" t="s">
        <v>69</v>
      </c>
      <c r="E721" s="40"/>
      <c r="F721" s="40">
        <v>349</v>
      </c>
      <c r="G721" s="38"/>
      <c r="H721" s="38" t="s">
        <v>393</v>
      </c>
      <c r="I721" s="38" t="s">
        <v>405</v>
      </c>
      <c r="J721" s="38" t="s">
        <v>402</v>
      </c>
      <c r="K721" s="38" t="s">
        <v>406</v>
      </c>
      <c r="L721" s="52" t="s">
        <v>213</v>
      </c>
      <c r="M721" s="53" t="s">
        <v>213</v>
      </c>
    </row>
    <row r="722" spans="1:13" x14ac:dyDescent="0.3">
      <c r="A722" s="37">
        <v>30</v>
      </c>
      <c r="B722" s="38" t="s">
        <v>450</v>
      </c>
      <c r="C722" s="51">
        <v>7891106907019</v>
      </c>
      <c r="D722" s="40" t="s">
        <v>69</v>
      </c>
      <c r="E722" s="40"/>
      <c r="F722" s="40">
        <v>350</v>
      </c>
      <c r="G722" s="38"/>
      <c r="H722" s="38" t="s">
        <v>394</v>
      </c>
      <c r="I722" s="38" t="s">
        <v>389</v>
      </c>
      <c r="J722" s="38" t="s">
        <v>402</v>
      </c>
      <c r="K722" s="38" t="s">
        <v>407</v>
      </c>
      <c r="L722" s="52" t="s">
        <v>213</v>
      </c>
      <c r="M722" s="53" t="s">
        <v>213</v>
      </c>
    </row>
    <row r="723" spans="1:13" x14ac:dyDescent="0.3">
      <c r="A723" s="37">
        <v>30</v>
      </c>
      <c r="B723" s="38" t="s">
        <v>451</v>
      </c>
      <c r="C723" s="51">
        <v>7891106907019</v>
      </c>
      <c r="D723" s="40" t="s">
        <v>69</v>
      </c>
      <c r="E723" s="40"/>
      <c r="F723" s="40">
        <v>350</v>
      </c>
      <c r="G723" s="38"/>
      <c r="H723" s="38" t="s">
        <v>394</v>
      </c>
      <c r="I723" s="38" t="s">
        <v>389</v>
      </c>
      <c r="J723" s="38" t="s">
        <v>402</v>
      </c>
      <c r="K723" s="38" t="s">
        <v>407</v>
      </c>
      <c r="L723" s="52" t="s">
        <v>213</v>
      </c>
      <c r="M723" s="53" t="s">
        <v>213</v>
      </c>
    </row>
    <row r="724" spans="1:13" x14ac:dyDescent="0.3">
      <c r="A724" s="37">
        <v>30</v>
      </c>
      <c r="B724" s="38" t="s">
        <v>450</v>
      </c>
      <c r="C724" s="51">
        <v>7891106907019</v>
      </c>
      <c r="D724" s="40" t="s">
        <v>69</v>
      </c>
      <c r="E724" s="40"/>
      <c r="F724" s="40">
        <v>351</v>
      </c>
      <c r="G724" s="38"/>
      <c r="H724" s="38" t="s">
        <v>395</v>
      </c>
      <c r="I724" s="38" t="s">
        <v>405</v>
      </c>
      <c r="J724" s="38" t="s">
        <v>402</v>
      </c>
      <c r="K724" s="38" t="s">
        <v>408</v>
      </c>
      <c r="L724" s="52" t="s">
        <v>213</v>
      </c>
      <c r="M724" s="53" t="s">
        <v>213</v>
      </c>
    </row>
    <row r="725" spans="1:13" x14ac:dyDescent="0.3">
      <c r="A725" s="37">
        <v>30</v>
      </c>
      <c r="B725" s="38" t="s">
        <v>451</v>
      </c>
      <c r="C725" s="51">
        <v>7891106907019</v>
      </c>
      <c r="D725" s="40" t="s">
        <v>69</v>
      </c>
      <c r="E725" s="40"/>
      <c r="F725" s="40">
        <v>351</v>
      </c>
      <c r="G725" s="38"/>
      <c r="H725" s="38" t="s">
        <v>395</v>
      </c>
      <c r="I725" s="38" t="s">
        <v>405</v>
      </c>
      <c r="J725" s="38" t="s">
        <v>402</v>
      </c>
      <c r="K725" s="38" t="s">
        <v>408</v>
      </c>
      <c r="L725" s="52" t="s">
        <v>213</v>
      </c>
      <c r="M725" s="53" t="s">
        <v>213</v>
      </c>
    </row>
    <row r="726" spans="1:13" x14ac:dyDescent="0.3">
      <c r="A726" s="37">
        <v>30</v>
      </c>
      <c r="B726" s="38" t="s">
        <v>450</v>
      </c>
      <c r="C726" s="51">
        <v>7891106907019</v>
      </c>
      <c r="D726" s="40" t="s">
        <v>69</v>
      </c>
      <c r="E726" s="40"/>
      <c r="F726" s="40">
        <v>352</v>
      </c>
      <c r="G726" s="38"/>
      <c r="H726" s="38" t="s">
        <v>396</v>
      </c>
      <c r="I726" s="38" t="s">
        <v>405</v>
      </c>
      <c r="J726" s="38" t="s">
        <v>402</v>
      </c>
      <c r="K726" s="38" t="s">
        <v>409</v>
      </c>
      <c r="L726" s="52" t="s">
        <v>213</v>
      </c>
      <c r="M726" s="53" t="s">
        <v>213</v>
      </c>
    </row>
    <row r="727" spans="1:13" x14ac:dyDescent="0.3">
      <c r="A727" s="37">
        <v>30</v>
      </c>
      <c r="B727" s="38" t="s">
        <v>451</v>
      </c>
      <c r="C727" s="51">
        <v>7891106907019</v>
      </c>
      <c r="D727" s="40" t="s">
        <v>69</v>
      </c>
      <c r="E727" s="40"/>
      <c r="F727" s="40">
        <v>352</v>
      </c>
      <c r="G727" s="38"/>
      <c r="H727" s="38" t="s">
        <v>396</v>
      </c>
      <c r="I727" s="38" t="s">
        <v>405</v>
      </c>
      <c r="J727" s="38" t="s">
        <v>402</v>
      </c>
      <c r="K727" s="38" t="s">
        <v>409</v>
      </c>
      <c r="L727" s="52" t="s">
        <v>213</v>
      </c>
      <c r="M727" s="53" t="s">
        <v>213</v>
      </c>
    </row>
    <row r="728" spans="1:13" x14ac:dyDescent="0.3">
      <c r="A728" s="37">
        <v>30</v>
      </c>
      <c r="B728" s="38" t="s">
        <v>450</v>
      </c>
      <c r="C728" s="51">
        <v>7891106907019</v>
      </c>
      <c r="D728" s="40" t="s">
        <v>69</v>
      </c>
      <c r="E728" s="40"/>
      <c r="F728" s="40">
        <v>353</v>
      </c>
      <c r="G728" s="38"/>
      <c r="H728" s="38" t="s">
        <v>398</v>
      </c>
      <c r="I728" s="38" t="s">
        <v>405</v>
      </c>
      <c r="J728" s="38" t="s">
        <v>402</v>
      </c>
      <c r="K728" s="38" t="s">
        <v>409</v>
      </c>
      <c r="L728" s="52" t="s">
        <v>213</v>
      </c>
      <c r="M728" s="53" t="s">
        <v>213</v>
      </c>
    </row>
    <row r="729" spans="1:13" x14ac:dyDescent="0.3">
      <c r="A729" s="37">
        <v>30</v>
      </c>
      <c r="B729" s="38" t="s">
        <v>451</v>
      </c>
      <c r="C729" s="51">
        <v>7891106907019</v>
      </c>
      <c r="D729" s="40" t="s">
        <v>69</v>
      </c>
      <c r="E729" s="40"/>
      <c r="F729" s="40">
        <v>353</v>
      </c>
      <c r="G729" s="38"/>
      <c r="H729" s="38" t="s">
        <v>398</v>
      </c>
      <c r="I729" s="38" t="s">
        <v>405</v>
      </c>
      <c r="J729" s="38" t="s">
        <v>402</v>
      </c>
      <c r="K729" s="38" t="s">
        <v>409</v>
      </c>
      <c r="L729" s="52" t="s">
        <v>213</v>
      </c>
      <c r="M729" s="53" t="s">
        <v>213</v>
      </c>
    </row>
    <row r="730" spans="1:13" x14ac:dyDescent="0.3">
      <c r="A730" s="37">
        <v>30</v>
      </c>
      <c r="B730" s="38" t="s">
        <v>450</v>
      </c>
      <c r="C730" s="51">
        <v>7891106907019</v>
      </c>
      <c r="D730" s="40" t="s">
        <v>69</v>
      </c>
      <c r="E730" s="40"/>
      <c r="F730" s="40">
        <v>960</v>
      </c>
      <c r="G730" s="38"/>
      <c r="H730" s="38" t="s">
        <v>399</v>
      </c>
      <c r="I730" s="38" t="s">
        <v>405</v>
      </c>
      <c r="J730" s="38" t="s">
        <v>402</v>
      </c>
      <c r="K730" s="38" t="s">
        <v>410</v>
      </c>
      <c r="L730" s="52" t="s">
        <v>213</v>
      </c>
      <c r="M730" s="53" t="s">
        <v>213</v>
      </c>
    </row>
    <row r="731" spans="1:13" x14ac:dyDescent="0.3">
      <c r="A731" s="37">
        <v>30</v>
      </c>
      <c r="B731" s="38" t="s">
        <v>451</v>
      </c>
      <c r="C731" s="51">
        <v>7891106907019</v>
      </c>
      <c r="D731" s="40" t="s">
        <v>69</v>
      </c>
      <c r="E731" s="40"/>
      <c r="F731" s="40">
        <v>960</v>
      </c>
      <c r="G731" s="38"/>
      <c r="H731" s="38" t="s">
        <v>399</v>
      </c>
      <c r="I731" s="38" t="s">
        <v>405</v>
      </c>
      <c r="J731" s="38" t="s">
        <v>402</v>
      </c>
      <c r="K731" s="38" t="s">
        <v>410</v>
      </c>
      <c r="L731" s="52" t="s">
        <v>213</v>
      </c>
      <c r="M731" s="53" t="s">
        <v>213</v>
      </c>
    </row>
    <row r="732" spans="1:13" x14ac:dyDescent="0.3">
      <c r="A732" s="37">
        <v>30</v>
      </c>
      <c r="B732" s="38" t="s">
        <v>450</v>
      </c>
      <c r="C732" s="51">
        <v>7891106907019</v>
      </c>
      <c r="D732" s="40" t="s">
        <v>69</v>
      </c>
      <c r="E732" s="40"/>
      <c r="F732" s="40">
        <v>993</v>
      </c>
      <c r="G732" s="38"/>
      <c r="H732" s="38" t="s">
        <v>411</v>
      </c>
      <c r="I732" s="38" t="s">
        <v>389</v>
      </c>
      <c r="J732" s="38" t="s">
        <v>412</v>
      </c>
      <c r="K732" s="38" t="s">
        <v>413</v>
      </c>
      <c r="L732" s="52" t="s">
        <v>213</v>
      </c>
      <c r="M732" s="53" t="s">
        <v>213</v>
      </c>
    </row>
    <row r="733" spans="1:13" x14ac:dyDescent="0.3">
      <c r="A733" s="37">
        <v>30</v>
      </c>
      <c r="B733" s="38" t="s">
        <v>451</v>
      </c>
      <c r="C733" s="51">
        <v>7891106907019</v>
      </c>
      <c r="D733" s="40" t="s">
        <v>69</v>
      </c>
      <c r="E733" s="40"/>
      <c r="F733" s="40">
        <v>993</v>
      </c>
      <c r="G733" s="38"/>
      <c r="H733" s="38" t="s">
        <v>411</v>
      </c>
      <c r="I733" s="38" t="s">
        <v>389</v>
      </c>
      <c r="J733" s="38" t="s">
        <v>412</v>
      </c>
      <c r="K733" s="38" t="s">
        <v>413</v>
      </c>
      <c r="L733" s="52" t="s">
        <v>213</v>
      </c>
      <c r="M733" s="53" t="s">
        <v>213</v>
      </c>
    </row>
    <row r="734" spans="1:13" x14ac:dyDescent="0.3">
      <c r="A734" s="37">
        <v>30</v>
      </c>
      <c r="B734" s="38" t="s">
        <v>452</v>
      </c>
      <c r="C734" s="51">
        <v>7891106907057</v>
      </c>
      <c r="D734" s="40" t="s">
        <v>69</v>
      </c>
      <c r="E734" s="40"/>
      <c r="F734" s="40">
        <v>215</v>
      </c>
      <c r="G734" s="38"/>
      <c r="H734" s="38" t="s">
        <v>388</v>
      </c>
      <c r="I734" s="38" t="s">
        <v>389</v>
      </c>
      <c r="J734" s="38" t="s">
        <v>390</v>
      </c>
      <c r="K734" s="38" t="s">
        <v>391</v>
      </c>
      <c r="L734" s="52" t="s">
        <v>213</v>
      </c>
      <c r="M734" s="53" t="s">
        <v>213</v>
      </c>
    </row>
    <row r="735" spans="1:13" x14ac:dyDescent="0.3">
      <c r="A735" s="37">
        <v>30</v>
      </c>
      <c r="B735" s="38" t="s">
        <v>453</v>
      </c>
      <c r="C735" s="51">
        <v>7891106907057</v>
      </c>
      <c r="D735" s="40" t="s">
        <v>69</v>
      </c>
      <c r="E735" s="40"/>
      <c r="F735" s="40">
        <v>215</v>
      </c>
      <c r="G735" s="38"/>
      <c r="H735" s="38" t="s">
        <v>388</v>
      </c>
      <c r="I735" s="38" t="s">
        <v>389</v>
      </c>
      <c r="J735" s="38" t="s">
        <v>390</v>
      </c>
      <c r="K735" s="38" t="s">
        <v>391</v>
      </c>
      <c r="L735" s="52" t="s">
        <v>213</v>
      </c>
      <c r="M735" s="53" t="s">
        <v>213</v>
      </c>
    </row>
    <row r="736" spans="1:13" x14ac:dyDescent="0.3">
      <c r="A736" s="37">
        <v>30</v>
      </c>
      <c r="B736" s="38" t="s">
        <v>452</v>
      </c>
      <c r="C736" s="51">
        <v>7891106907057</v>
      </c>
      <c r="D736" s="40" t="s">
        <v>69</v>
      </c>
      <c r="E736" s="40"/>
      <c r="F736" s="40">
        <v>349</v>
      </c>
      <c r="G736" s="38"/>
      <c r="H736" s="38" t="s">
        <v>393</v>
      </c>
      <c r="I736" s="38" t="s">
        <v>389</v>
      </c>
      <c r="J736" s="38" t="s">
        <v>390</v>
      </c>
      <c r="K736" s="38" t="s">
        <v>391</v>
      </c>
      <c r="L736" s="52" t="s">
        <v>213</v>
      </c>
      <c r="M736" s="53" t="s">
        <v>213</v>
      </c>
    </row>
    <row r="737" spans="1:13" x14ac:dyDescent="0.3">
      <c r="A737" s="37">
        <v>30</v>
      </c>
      <c r="B737" s="38" t="s">
        <v>453</v>
      </c>
      <c r="C737" s="51">
        <v>7891106907057</v>
      </c>
      <c r="D737" s="40" t="s">
        <v>69</v>
      </c>
      <c r="E737" s="40"/>
      <c r="F737" s="40">
        <v>349</v>
      </c>
      <c r="G737" s="38"/>
      <c r="H737" s="38" t="s">
        <v>393</v>
      </c>
      <c r="I737" s="38" t="s">
        <v>389</v>
      </c>
      <c r="J737" s="38" t="s">
        <v>390</v>
      </c>
      <c r="K737" s="38" t="s">
        <v>391</v>
      </c>
      <c r="L737" s="52" t="s">
        <v>213</v>
      </c>
      <c r="M737" s="53" t="s">
        <v>213</v>
      </c>
    </row>
    <row r="738" spans="1:13" x14ac:dyDescent="0.3">
      <c r="A738" s="37">
        <v>30</v>
      </c>
      <c r="B738" s="38" t="s">
        <v>452</v>
      </c>
      <c r="C738" s="51">
        <v>7891106907057</v>
      </c>
      <c r="D738" s="40" t="s">
        <v>69</v>
      </c>
      <c r="E738" s="40"/>
      <c r="F738" s="40">
        <v>350</v>
      </c>
      <c r="G738" s="38"/>
      <c r="H738" s="38" t="s">
        <v>394</v>
      </c>
      <c r="I738" s="38" t="s">
        <v>389</v>
      </c>
      <c r="J738" s="38" t="s">
        <v>390</v>
      </c>
      <c r="K738" s="38" t="s">
        <v>391</v>
      </c>
      <c r="L738" s="52" t="s">
        <v>213</v>
      </c>
      <c r="M738" s="53" t="s">
        <v>213</v>
      </c>
    </row>
    <row r="739" spans="1:13" x14ac:dyDescent="0.3">
      <c r="A739" s="37">
        <v>30</v>
      </c>
      <c r="B739" s="38" t="s">
        <v>453</v>
      </c>
      <c r="C739" s="51">
        <v>7891106907057</v>
      </c>
      <c r="D739" s="40" t="s">
        <v>69</v>
      </c>
      <c r="E739" s="40"/>
      <c r="F739" s="40">
        <v>350</v>
      </c>
      <c r="G739" s="38"/>
      <c r="H739" s="38" t="s">
        <v>394</v>
      </c>
      <c r="I739" s="38" t="s">
        <v>389</v>
      </c>
      <c r="J739" s="38" t="s">
        <v>390</v>
      </c>
      <c r="K739" s="38" t="s">
        <v>391</v>
      </c>
      <c r="L739" s="52" t="s">
        <v>213</v>
      </c>
      <c r="M739" s="53" t="s">
        <v>213</v>
      </c>
    </row>
    <row r="740" spans="1:13" x14ac:dyDescent="0.3">
      <c r="A740" s="37">
        <v>30</v>
      </c>
      <c r="B740" s="38" t="s">
        <v>452</v>
      </c>
      <c r="C740" s="51">
        <v>7891106907057</v>
      </c>
      <c r="D740" s="40" t="s">
        <v>69</v>
      </c>
      <c r="E740" s="40"/>
      <c r="F740" s="40">
        <v>351</v>
      </c>
      <c r="G740" s="38"/>
      <c r="H740" s="38" t="s">
        <v>395</v>
      </c>
      <c r="I740" s="38" t="s">
        <v>389</v>
      </c>
      <c r="J740" s="38" t="s">
        <v>390</v>
      </c>
      <c r="K740" s="38" t="s">
        <v>391</v>
      </c>
      <c r="L740" s="52" t="s">
        <v>213</v>
      </c>
      <c r="M740" s="53" t="s">
        <v>213</v>
      </c>
    </row>
    <row r="741" spans="1:13" x14ac:dyDescent="0.3">
      <c r="A741" s="37">
        <v>30</v>
      </c>
      <c r="B741" s="38" t="s">
        <v>453</v>
      </c>
      <c r="C741" s="51">
        <v>7891106907057</v>
      </c>
      <c r="D741" s="40" t="s">
        <v>69</v>
      </c>
      <c r="E741" s="40"/>
      <c r="F741" s="40">
        <v>351</v>
      </c>
      <c r="G741" s="38"/>
      <c r="H741" s="38" t="s">
        <v>395</v>
      </c>
      <c r="I741" s="38" t="s">
        <v>389</v>
      </c>
      <c r="J741" s="38" t="s">
        <v>390</v>
      </c>
      <c r="K741" s="38" t="s">
        <v>391</v>
      </c>
      <c r="L741" s="52" t="s">
        <v>213</v>
      </c>
      <c r="M741" s="53" t="s">
        <v>213</v>
      </c>
    </row>
    <row r="742" spans="1:13" x14ac:dyDescent="0.3">
      <c r="A742" s="37">
        <v>30</v>
      </c>
      <c r="B742" s="38" t="s">
        <v>452</v>
      </c>
      <c r="C742" s="51">
        <v>7891106907057</v>
      </c>
      <c r="D742" s="40" t="s">
        <v>69</v>
      </c>
      <c r="E742" s="40"/>
      <c r="F742" s="40">
        <v>352</v>
      </c>
      <c r="G742" s="38"/>
      <c r="H742" s="38" t="s">
        <v>396</v>
      </c>
      <c r="I742" s="38" t="s">
        <v>397</v>
      </c>
      <c r="J742" s="38" t="s">
        <v>390</v>
      </c>
      <c r="K742" s="38" t="s">
        <v>391</v>
      </c>
      <c r="L742" s="52" t="s">
        <v>213</v>
      </c>
      <c r="M742" s="53" t="s">
        <v>213</v>
      </c>
    </row>
    <row r="743" spans="1:13" x14ac:dyDescent="0.3">
      <c r="A743" s="37">
        <v>30</v>
      </c>
      <c r="B743" s="38" t="s">
        <v>453</v>
      </c>
      <c r="C743" s="51">
        <v>7891106907057</v>
      </c>
      <c r="D743" s="40" t="s">
        <v>69</v>
      </c>
      <c r="E743" s="40"/>
      <c r="F743" s="40">
        <v>352</v>
      </c>
      <c r="G743" s="38"/>
      <c r="H743" s="38" t="s">
        <v>396</v>
      </c>
      <c r="I743" s="38" t="s">
        <v>397</v>
      </c>
      <c r="J743" s="38" t="s">
        <v>390</v>
      </c>
      <c r="K743" s="38" t="s">
        <v>391</v>
      </c>
      <c r="L743" s="52" t="s">
        <v>213</v>
      </c>
      <c r="M743" s="53" t="s">
        <v>213</v>
      </c>
    </row>
    <row r="744" spans="1:13" x14ac:dyDescent="0.3">
      <c r="A744" s="37">
        <v>30</v>
      </c>
      <c r="B744" s="38" t="s">
        <v>452</v>
      </c>
      <c r="C744" s="51">
        <v>7891106907057</v>
      </c>
      <c r="D744" s="40" t="s">
        <v>69</v>
      </c>
      <c r="E744" s="40"/>
      <c r="F744" s="40">
        <v>353</v>
      </c>
      <c r="G744" s="38"/>
      <c r="H744" s="38" t="s">
        <v>398</v>
      </c>
      <c r="I744" s="38" t="s">
        <v>397</v>
      </c>
      <c r="J744" s="38" t="s">
        <v>390</v>
      </c>
      <c r="K744" s="38" t="s">
        <v>391</v>
      </c>
      <c r="L744" s="52" t="s">
        <v>213</v>
      </c>
      <c r="M744" s="53" t="s">
        <v>213</v>
      </c>
    </row>
    <row r="745" spans="1:13" x14ac:dyDescent="0.3">
      <c r="A745" s="37">
        <v>30</v>
      </c>
      <c r="B745" s="38" t="s">
        <v>453</v>
      </c>
      <c r="C745" s="51">
        <v>7891106907057</v>
      </c>
      <c r="D745" s="40" t="s">
        <v>69</v>
      </c>
      <c r="E745" s="40"/>
      <c r="F745" s="40">
        <v>353</v>
      </c>
      <c r="G745" s="38"/>
      <c r="H745" s="38" t="s">
        <v>398</v>
      </c>
      <c r="I745" s="38" t="s">
        <v>397</v>
      </c>
      <c r="J745" s="38" t="s">
        <v>390</v>
      </c>
      <c r="K745" s="38" t="s">
        <v>391</v>
      </c>
      <c r="L745" s="52" t="s">
        <v>213</v>
      </c>
      <c r="M745" s="53" t="s">
        <v>213</v>
      </c>
    </row>
    <row r="746" spans="1:13" x14ac:dyDescent="0.3">
      <c r="A746" s="37">
        <v>30</v>
      </c>
      <c r="B746" s="38" t="s">
        <v>452</v>
      </c>
      <c r="C746" s="51">
        <v>7891106907057</v>
      </c>
      <c r="D746" s="40" t="s">
        <v>69</v>
      </c>
      <c r="E746" s="40"/>
      <c r="F746" s="40">
        <v>960</v>
      </c>
      <c r="G746" s="38"/>
      <c r="H746" s="38" t="s">
        <v>399</v>
      </c>
      <c r="I746" s="38" t="s">
        <v>397</v>
      </c>
      <c r="J746" s="38" t="s">
        <v>390</v>
      </c>
      <c r="K746" s="38" t="s">
        <v>391</v>
      </c>
      <c r="L746" s="52" t="s">
        <v>213</v>
      </c>
      <c r="M746" s="53" t="s">
        <v>213</v>
      </c>
    </row>
    <row r="747" spans="1:13" x14ac:dyDescent="0.3">
      <c r="A747" s="37">
        <v>30</v>
      </c>
      <c r="B747" s="38" t="s">
        <v>453</v>
      </c>
      <c r="C747" s="51">
        <v>7891106907057</v>
      </c>
      <c r="D747" s="40" t="s">
        <v>69</v>
      </c>
      <c r="E747" s="40"/>
      <c r="F747" s="40">
        <v>960</v>
      </c>
      <c r="G747" s="38"/>
      <c r="H747" s="38" t="s">
        <v>399</v>
      </c>
      <c r="I747" s="38" t="s">
        <v>397</v>
      </c>
      <c r="J747" s="38" t="s">
        <v>390</v>
      </c>
      <c r="K747" s="38" t="s">
        <v>391</v>
      </c>
      <c r="L747" s="52" t="s">
        <v>213</v>
      </c>
      <c r="M747" s="53" t="s">
        <v>213</v>
      </c>
    </row>
    <row r="748" spans="1:13" x14ac:dyDescent="0.3">
      <c r="A748" s="37">
        <v>30</v>
      </c>
      <c r="B748" s="38" t="s">
        <v>454</v>
      </c>
      <c r="C748" s="51">
        <v>7891106907064</v>
      </c>
      <c r="D748" s="40" t="s">
        <v>69</v>
      </c>
      <c r="E748" s="40"/>
      <c r="F748" s="40">
        <v>215</v>
      </c>
      <c r="G748" s="38"/>
      <c r="H748" s="38" t="s">
        <v>388</v>
      </c>
      <c r="I748" s="38" t="s">
        <v>401</v>
      </c>
      <c r="J748" s="38" t="s">
        <v>402</v>
      </c>
      <c r="K748" s="38" t="s">
        <v>403</v>
      </c>
      <c r="L748" s="52" t="s">
        <v>213</v>
      </c>
      <c r="M748" s="53" t="s">
        <v>213</v>
      </c>
    </row>
    <row r="749" spans="1:13" x14ac:dyDescent="0.3">
      <c r="A749" s="37">
        <v>30</v>
      </c>
      <c r="B749" s="38" t="s">
        <v>455</v>
      </c>
      <c r="C749" s="51">
        <v>7891106907064</v>
      </c>
      <c r="D749" s="40" t="s">
        <v>69</v>
      </c>
      <c r="E749" s="40"/>
      <c r="F749" s="40">
        <v>215</v>
      </c>
      <c r="G749" s="38"/>
      <c r="H749" s="38" t="s">
        <v>388</v>
      </c>
      <c r="I749" s="38" t="s">
        <v>401</v>
      </c>
      <c r="J749" s="38" t="s">
        <v>402</v>
      </c>
      <c r="K749" s="38" t="s">
        <v>403</v>
      </c>
      <c r="L749" s="52" t="s">
        <v>213</v>
      </c>
      <c r="M749" s="53" t="s">
        <v>213</v>
      </c>
    </row>
    <row r="750" spans="1:13" x14ac:dyDescent="0.3">
      <c r="A750" s="37">
        <v>30</v>
      </c>
      <c r="B750" s="38" t="s">
        <v>454</v>
      </c>
      <c r="C750" s="51">
        <v>7891106907064</v>
      </c>
      <c r="D750" s="40" t="s">
        <v>69</v>
      </c>
      <c r="E750" s="40"/>
      <c r="F750" s="40">
        <v>349</v>
      </c>
      <c r="G750" s="38"/>
      <c r="H750" s="38" t="s">
        <v>393</v>
      </c>
      <c r="I750" s="38" t="s">
        <v>405</v>
      </c>
      <c r="J750" s="38" t="s">
        <v>402</v>
      </c>
      <c r="K750" s="38" t="s">
        <v>406</v>
      </c>
      <c r="L750" s="52" t="s">
        <v>213</v>
      </c>
      <c r="M750" s="53" t="s">
        <v>213</v>
      </c>
    </row>
    <row r="751" spans="1:13" x14ac:dyDescent="0.3">
      <c r="A751" s="37">
        <v>30</v>
      </c>
      <c r="B751" s="38" t="s">
        <v>455</v>
      </c>
      <c r="C751" s="51">
        <v>7891106907064</v>
      </c>
      <c r="D751" s="40" t="s">
        <v>69</v>
      </c>
      <c r="E751" s="40"/>
      <c r="F751" s="40">
        <v>349</v>
      </c>
      <c r="G751" s="38"/>
      <c r="H751" s="38" t="s">
        <v>393</v>
      </c>
      <c r="I751" s="38" t="s">
        <v>405</v>
      </c>
      <c r="J751" s="38" t="s">
        <v>402</v>
      </c>
      <c r="K751" s="38" t="s">
        <v>406</v>
      </c>
      <c r="L751" s="52" t="s">
        <v>213</v>
      </c>
      <c r="M751" s="53" t="s">
        <v>213</v>
      </c>
    </row>
    <row r="752" spans="1:13" x14ac:dyDescent="0.3">
      <c r="A752" s="37">
        <v>30</v>
      </c>
      <c r="B752" s="38" t="s">
        <v>454</v>
      </c>
      <c r="C752" s="51">
        <v>7891106907064</v>
      </c>
      <c r="D752" s="40" t="s">
        <v>69</v>
      </c>
      <c r="E752" s="40"/>
      <c r="F752" s="40">
        <v>350</v>
      </c>
      <c r="G752" s="38"/>
      <c r="H752" s="38" t="s">
        <v>394</v>
      </c>
      <c r="I752" s="38" t="s">
        <v>389</v>
      </c>
      <c r="J752" s="38" t="s">
        <v>402</v>
      </c>
      <c r="K752" s="38" t="s">
        <v>407</v>
      </c>
      <c r="L752" s="52" t="s">
        <v>213</v>
      </c>
      <c r="M752" s="53" t="s">
        <v>213</v>
      </c>
    </row>
    <row r="753" spans="1:13" x14ac:dyDescent="0.3">
      <c r="A753" s="37">
        <v>30</v>
      </c>
      <c r="B753" s="38" t="s">
        <v>455</v>
      </c>
      <c r="C753" s="51">
        <v>7891106907064</v>
      </c>
      <c r="D753" s="40" t="s">
        <v>69</v>
      </c>
      <c r="E753" s="40"/>
      <c r="F753" s="40">
        <v>350</v>
      </c>
      <c r="G753" s="38"/>
      <c r="H753" s="38" t="s">
        <v>394</v>
      </c>
      <c r="I753" s="38" t="s">
        <v>389</v>
      </c>
      <c r="J753" s="38" t="s">
        <v>402</v>
      </c>
      <c r="K753" s="38" t="s">
        <v>407</v>
      </c>
      <c r="L753" s="52" t="s">
        <v>213</v>
      </c>
      <c r="M753" s="53" t="s">
        <v>213</v>
      </c>
    </row>
    <row r="754" spans="1:13" x14ac:dyDescent="0.3">
      <c r="A754" s="37">
        <v>30</v>
      </c>
      <c r="B754" s="38" t="s">
        <v>454</v>
      </c>
      <c r="C754" s="51">
        <v>7891106907064</v>
      </c>
      <c r="D754" s="40" t="s">
        <v>69</v>
      </c>
      <c r="E754" s="40"/>
      <c r="F754" s="40">
        <v>351</v>
      </c>
      <c r="G754" s="38"/>
      <c r="H754" s="38" t="s">
        <v>395</v>
      </c>
      <c r="I754" s="38" t="s">
        <v>405</v>
      </c>
      <c r="J754" s="38" t="s">
        <v>402</v>
      </c>
      <c r="K754" s="38" t="s">
        <v>408</v>
      </c>
      <c r="L754" s="52" t="s">
        <v>213</v>
      </c>
      <c r="M754" s="53" t="s">
        <v>213</v>
      </c>
    </row>
    <row r="755" spans="1:13" x14ac:dyDescent="0.3">
      <c r="A755" s="37">
        <v>30</v>
      </c>
      <c r="B755" s="38" t="s">
        <v>455</v>
      </c>
      <c r="C755" s="51">
        <v>7891106907064</v>
      </c>
      <c r="D755" s="40" t="s">
        <v>69</v>
      </c>
      <c r="E755" s="40"/>
      <c r="F755" s="40">
        <v>351</v>
      </c>
      <c r="G755" s="38"/>
      <c r="H755" s="38" t="s">
        <v>395</v>
      </c>
      <c r="I755" s="38" t="s">
        <v>405</v>
      </c>
      <c r="J755" s="38" t="s">
        <v>402</v>
      </c>
      <c r="K755" s="38" t="s">
        <v>408</v>
      </c>
      <c r="L755" s="52" t="s">
        <v>213</v>
      </c>
      <c r="M755" s="53" t="s">
        <v>213</v>
      </c>
    </row>
    <row r="756" spans="1:13" x14ac:dyDescent="0.3">
      <c r="A756" s="37">
        <v>30</v>
      </c>
      <c r="B756" s="38" t="s">
        <v>454</v>
      </c>
      <c r="C756" s="51">
        <v>7891106907064</v>
      </c>
      <c r="D756" s="40" t="s">
        <v>69</v>
      </c>
      <c r="E756" s="40"/>
      <c r="F756" s="40">
        <v>352</v>
      </c>
      <c r="G756" s="38"/>
      <c r="H756" s="38" t="s">
        <v>396</v>
      </c>
      <c r="I756" s="38" t="s">
        <v>405</v>
      </c>
      <c r="J756" s="38" t="s">
        <v>402</v>
      </c>
      <c r="K756" s="38" t="s">
        <v>409</v>
      </c>
      <c r="L756" s="52" t="s">
        <v>213</v>
      </c>
      <c r="M756" s="53" t="s">
        <v>213</v>
      </c>
    </row>
    <row r="757" spans="1:13" x14ac:dyDescent="0.3">
      <c r="A757" s="37">
        <v>30</v>
      </c>
      <c r="B757" s="38" t="s">
        <v>455</v>
      </c>
      <c r="C757" s="51">
        <v>7891106907064</v>
      </c>
      <c r="D757" s="40" t="s">
        <v>69</v>
      </c>
      <c r="E757" s="40"/>
      <c r="F757" s="40">
        <v>352</v>
      </c>
      <c r="G757" s="38"/>
      <c r="H757" s="38" t="s">
        <v>396</v>
      </c>
      <c r="I757" s="38" t="s">
        <v>405</v>
      </c>
      <c r="J757" s="38" t="s">
        <v>402</v>
      </c>
      <c r="K757" s="38" t="s">
        <v>409</v>
      </c>
      <c r="L757" s="52" t="s">
        <v>213</v>
      </c>
      <c r="M757" s="53" t="s">
        <v>213</v>
      </c>
    </row>
    <row r="758" spans="1:13" x14ac:dyDescent="0.3">
      <c r="A758" s="37">
        <v>30</v>
      </c>
      <c r="B758" s="38" t="s">
        <v>454</v>
      </c>
      <c r="C758" s="51">
        <v>7891106907064</v>
      </c>
      <c r="D758" s="40" t="s">
        <v>69</v>
      </c>
      <c r="E758" s="40"/>
      <c r="F758" s="40">
        <v>353</v>
      </c>
      <c r="G758" s="38"/>
      <c r="H758" s="38" t="s">
        <v>398</v>
      </c>
      <c r="I758" s="38" t="s">
        <v>405</v>
      </c>
      <c r="J758" s="38" t="s">
        <v>402</v>
      </c>
      <c r="K758" s="38" t="s">
        <v>409</v>
      </c>
      <c r="L758" s="52" t="s">
        <v>213</v>
      </c>
      <c r="M758" s="53" t="s">
        <v>213</v>
      </c>
    </row>
    <row r="759" spans="1:13" x14ac:dyDescent="0.3">
      <c r="A759" s="37">
        <v>30</v>
      </c>
      <c r="B759" s="38" t="s">
        <v>455</v>
      </c>
      <c r="C759" s="51">
        <v>7891106907064</v>
      </c>
      <c r="D759" s="40" t="s">
        <v>69</v>
      </c>
      <c r="E759" s="40"/>
      <c r="F759" s="40">
        <v>353</v>
      </c>
      <c r="G759" s="38"/>
      <c r="H759" s="38" t="s">
        <v>398</v>
      </c>
      <c r="I759" s="38" t="s">
        <v>405</v>
      </c>
      <c r="J759" s="38" t="s">
        <v>402</v>
      </c>
      <c r="K759" s="38" t="s">
        <v>409</v>
      </c>
      <c r="L759" s="52" t="s">
        <v>213</v>
      </c>
      <c r="M759" s="53" t="s">
        <v>213</v>
      </c>
    </row>
    <row r="760" spans="1:13" x14ac:dyDescent="0.3">
      <c r="A760" s="37">
        <v>30</v>
      </c>
      <c r="B760" s="38" t="s">
        <v>454</v>
      </c>
      <c r="C760" s="51">
        <v>7891106907064</v>
      </c>
      <c r="D760" s="40" t="s">
        <v>69</v>
      </c>
      <c r="E760" s="40"/>
      <c r="F760" s="40">
        <v>960</v>
      </c>
      <c r="G760" s="38"/>
      <c r="H760" s="38" t="s">
        <v>399</v>
      </c>
      <c r="I760" s="38" t="s">
        <v>405</v>
      </c>
      <c r="J760" s="38" t="s">
        <v>402</v>
      </c>
      <c r="K760" s="38" t="s">
        <v>410</v>
      </c>
      <c r="L760" s="52" t="s">
        <v>213</v>
      </c>
      <c r="M760" s="53" t="s">
        <v>213</v>
      </c>
    </row>
    <row r="761" spans="1:13" x14ac:dyDescent="0.3">
      <c r="A761" s="37">
        <v>30</v>
      </c>
      <c r="B761" s="38" t="s">
        <v>455</v>
      </c>
      <c r="C761" s="51">
        <v>7891106907064</v>
      </c>
      <c r="D761" s="40" t="s">
        <v>69</v>
      </c>
      <c r="E761" s="40"/>
      <c r="F761" s="40">
        <v>960</v>
      </c>
      <c r="G761" s="38"/>
      <c r="H761" s="38" t="s">
        <v>399</v>
      </c>
      <c r="I761" s="38" t="s">
        <v>405</v>
      </c>
      <c r="J761" s="38" t="s">
        <v>402</v>
      </c>
      <c r="K761" s="38" t="s">
        <v>410</v>
      </c>
      <c r="L761" s="52" t="s">
        <v>213</v>
      </c>
      <c r="M761" s="53" t="s">
        <v>213</v>
      </c>
    </row>
    <row r="762" spans="1:13" x14ac:dyDescent="0.3">
      <c r="A762" s="37">
        <v>30</v>
      </c>
      <c r="B762" s="38" t="s">
        <v>454</v>
      </c>
      <c r="C762" s="51">
        <v>7891106907064</v>
      </c>
      <c r="D762" s="40" t="s">
        <v>69</v>
      </c>
      <c r="E762" s="40"/>
      <c r="F762" s="40">
        <v>993</v>
      </c>
      <c r="G762" s="38"/>
      <c r="H762" s="38" t="s">
        <v>411</v>
      </c>
      <c r="I762" s="38" t="s">
        <v>389</v>
      </c>
      <c r="J762" s="38" t="s">
        <v>412</v>
      </c>
      <c r="K762" s="38" t="s">
        <v>413</v>
      </c>
      <c r="L762" s="52" t="s">
        <v>213</v>
      </c>
      <c r="M762" s="53" t="s">
        <v>213</v>
      </c>
    </row>
    <row r="763" spans="1:13" x14ac:dyDescent="0.3">
      <c r="A763" s="37">
        <v>30</v>
      </c>
      <c r="B763" s="38" t="s">
        <v>455</v>
      </c>
      <c r="C763" s="51">
        <v>7891106907064</v>
      </c>
      <c r="D763" s="40" t="s">
        <v>69</v>
      </c>
      <c r="E763" s="40"/>
      <c r="F763" s="40">
        <v>993</v>
      </c>
      <c r="G763" s="38"/>
      <c r="H763" s="38" t="s">
        <v>411</v>
      </c>
      <c r="I763" s="38" t="s">
        <v>389</v>
      </c>
      <c r="J763" s="38" t="s">
        <v>412</v>
      </c>
      <c r="K763" s="38" t="s">
        <v>413</v>
      </c>
      <c r="L763" s="52" t="s">
        <v>213</v>
      </c>
      <c r="M763" s="53" t="s">
        <v>213</v>
      </c>
    </row>
    <row r="764" spans="1:13" x14ac:dyDescent="0.3">
      <c r="A764" s="37">
        <v>30</v>
      </c>
      <c r="B764" s="38" t="s">
        <v>456</v>
      </c>
      <c r="C764" s="51">
        <v>7891106907507</v>
      </c>
      <c r="D764" s="40" t="s">
        <v>69</v>
      </c>
      <c r="E764" s="40"/>
      <c r="F764" s="40">
        <v>143</v>
      </c>
      <c r="G764" s="38"/>
      <c r="H764" s="38" t="s">
        <v>457</v>
      </c>
      <c r="I764" s="38" t="s">
        <v>424</v>
      </c>
      <c r="J764" s="38" t="s">
        <v>458</v>
      </c>
      <c r="K764" s="38" t="s">
        <v>459</v>
      </c>
      <c r="L764" s="52" t="s">
        <v>213</v>
      </c>
      <c r="M764" s="53" t="s">
        <v>213</v>
      </c>
    </row>
    <row r="765" spans="1:13" x14ac:dyDescent="0.3">
      <c r="A765" s="37">
        <v>30</v>
      </c>
      <c r="B765" s="38" t="s">
        <v>460</v>
      </c>
      <c r="C765" s="51">
        <v>7891106908184</v>
      </c>
      <c r="D765" s="40" t="s">
        <v>69</v>
      </c>
      <c r="E765" s="40"/>
      <c r="F765" s="40">
        <v>974</v>
      </c>
      <c r="G765" s="38"/>
      <c r="H765" s="38" t="s">
        <v>461</v>
      </c>
      <c r="I765" s="38" t="s">
        <v>389</v>
      </c>
      <c r="J765" s="38" t="s">
        <v>390</v>
      </c>
      <c r="K765" s="38" t="s">
        <v>391</v>
      </c>
      <c r="L765" s="52" t="s">
        <v>213</v>
      </c>
      <c r="M765" s="53" t="s">
        <v>213</v>
      </c>
    </row>
    <row r="766" spans="1:13" x14ac:dyDescent="0.3">
      <c r="A766" s="37">
        <v>30</v>
      </c>
      <c r="B766" s="38" t="s">
        <v>460</v>
      </c>
      <c r="C766" s="51">
        <v>7891106908184</v>
      </c>
      <c r="D766" s="40" t="s">
        <v>69</v>
      </c>
      <c r="E766" s="40"/>
      <c r="F766" s="40">
        <v>975</v>
      </c>
      <c r="G766" s="38"/>
      <c r="H766" s="38" t="s">
        <v>462</v>
      </c>
      <c r="I766" s="38" t="s">
        <v>389</v>
      </c>
      <c r="J766" s="38" t="s">
        <v>390</v>
      </c>
      <c r="K766" s="38" t="s">
        <v>391</v>
      </c>
      <c r="L766" s="52" t="s">
        <v>213</v>
      </c>
      <c r="M766" s="53" t="s">
        <v>213</v>
      </c>
    </row>
    <row r="767" spans="1:13" x14ac:dyDescent="0.3">
      <c r="A767" s="37">
        <v>30</v>
      </c>
      <c r="B767" s="38" t="s">
        <v>460</v>
      </c>
      <c r="C767" s="51">
        <v>7891106908184</v>
      </c>
      <c r="D767" s="40" t="s">
        <v>69</v>
      </c>
      <c r="E767" s="40"/>
      <c r="F767" s="40">
        <v>976</v>
      </c>
      <c r="G767" s="38"/>
      <c r="H767" s="38" t="s">
        <v>463</v>
      </c>
      <c r="I767" s="38" t="s">
        <v>389</v>
      </c>
      <c r="J767" s="38" t="s">
        <v>390</v>
      </c>
      <c r="K767" s="38" t="s">
        <v>391</v>
      </c>
      <c r="L767" s="52" t="s">
        <v>213</v>
      </c>
      <c r="M767" s="53" t="s">
        <v>213</v>
      </c>
    </row>
    <row r="768" spans="1:13" x14ac:dyDescent="0.3">
      <c r="A768" s="37">
        <v>30</v>
      </c>
      <c r="B768" s="38" t="s">
        <v>464</v>
      </c>
      <c r="C768" s="51">
        <v>7891106908191</v>
      </c>
      <c r="D768" s="40" t="s">
        <v>69</v>
      </c>
      <c r="E768" s="40"/>
      <c r="F768" s="40">
        <v>974</v>
      </c>
      <c r="G768" s="38"/>
      <c r="H768" s="38" t="s">
        <v>461</v>
      </c>
      <c r="I768" s="38" t="s">
        <v>405</v>
      </c>
      <c r="J768" s="38" t="s">
        <v>402</v>
      </c>
      <c r="K768" s="38" t="s">
        <v>465</v>
      </c>
      <c r="L768" s="52" t="s">
        <v>213</v>
      </c>
      <c r="M768" s="53" t="s">
        <v>213</v>
      </c>
    </row>
    <row r="769" spans="1:13" x14ac:dyDescent="0.3">
      <c r="A769" s="37">
        <v>30</v>
      </c>
      <c r="B769" s="38" t="s">
        <v>464</v>
      </c>
      <c r="C769" s="51">
        <v>7891106908191</v>
      </c>
      <c r="D769" s="40" t="s">
        <v>69</v>
      </c>
      <c r="E769" s="40"/>
      <c r="F769" s="40">
        <v>975</v>
      </c>
      <c r="G769" s="38"/>
      <c r="H769" s="38" t="s">
        <v>462</v>
      </c>
      <c r="I769" s="38" t="s">
        <v>405</v>
      </c>
      <c r="J769" s="38" t="s">
        <v>402</v>
      </c>
      <c r="K769" s="38" t="s">
        <v>465</v>
      </c>
      <c r="L769" s="52" t="s">
        <v>213</v>
      </c>
      <c r="M769" s="53" t="s">
        <v>213</v>
      </c>
    </row>
    <row r="770" spans="1:13" x14ac:dyDescent="0.3">
      <c r="A770" s="37">
        <v>30</v>
      </c>
      <c r="B770" s="38" t="s">
        <v>464</v>
      </c>
      <c r="C770" s="51">
        <v>7891106908191</v>
      </c>
      <c r="D770" s="40" t="s">
        <v>69</v>
      </c>
      <c r="E770" s="40"/>
      <c r="F770" s="40">
        <v>976</v>
      </c>
      <c r="G770" s="38"/>
      <c r="H770" s="38" t="s">
        <v>463</v>
      </c>
      <c r="I770" s="38" t="s">
        <v>405</v>
      </c>
      <c r="J770" s="38" t="s">
        <v>402</v>
      </c>
      <c r="K770" s="38" t="s">
        <v>465</v>
      </c>
      <c r="L770" s="52" t="s">
        <v>213</v>
      </c>
      <c r="M770" s="53" t="s">
        <v>213</v>
      </c>
    </row>
    <row r="771" spans="1:13" x14ac:dyDescent="0.3">
      <c r="A771" s="37">
        <v>30</v>
      </c>
      <c r="B771" s="38" t="s">
        <v>464</v>
      </c>
      <c r="C771" s="51">
        <v>7891106908191</v>
      </c>
      <c r="D771" s="40" t="s">
        <v>69</v>
      </c>
      <c r="E771" s="40"/>
      <c r="F771" s="40">
        <v>993</v>
      </c>
      <c r="G771" s="38"/>
      <c r="H771" s="38" t="s">
        <v>411</v>
      </c>
      <c r="I771" s="38" t="s">
        <v>389</v>
      </c>
      <c r="J771" s="38" t="s">
        <v>412</v>
      </c>
      <c r="K771" s="38" t="s">
        <v>413</v>
      </c>
      <c r="L771" s="52" t="s">
        <v>213</v>
      </c>
      <c r="M771" s="53" t="s">
        <v>213</v>
      </c>
    </row>
    <row r="772" spans="1:13" x14ac:dyDescent="0.3">
      <c r="A772" s="37">
        <v>30</v>
      </c>
      <c r="B772" s="38" t="s">
        <v>466</v>
      </c>
      <c r="C772" s="51">
        <v>7891106908498</v>
      </c>
      <c r="D772" s="40" t="s">
        <v>69</v>
      </c>
      <c r="E772" s="40"/>
      <c r="F772" s="40">
        <v>197</v>
      </c>
      <c r="G772" s="38"/>
      <c r="H772" s="38" t="s">
        <v>415</v>
      </c>
      <c r="I772" s="38" t="s">
        <v>335</v>
      </c>
      <c r="J772" s="38" t="s">
        <v>467</v>
      </c>
      <c r="K772" s="38" t="s">
        <v>468</v>
      </c>
      <c r="L772" s="52" t="s">
        <v>213</v>
      </c>
      <c r="M772" s="53" t="s">
        <v>213</v>
      </c>
    </row>
    <row r="773" spans="1:13" x14ac:dyDescent="0.3">
      <c r="A773" s="37">
        <v>30</v>
      </c>
      <c r="B773" s="38" t="s">
        <v>469</v>
      </c>
      <c r="C773" s="51">
        <v>7891106908498</v>
      </c>
      <c r="D773" s="40" t="s">
        <v>69</v>
      </c>
      <c r="E773" s="40"/>
      <c r="F773" s="40">
        <v>197</v>
      </c>
      <c r="G773" s="38"/>
      <c r="H773" s="38" t="s">
        <v>415</v>
      </c>
      <c r="I773" s="38" t="s">
        <v>335</v>
      </c>
      <c r="J773" s="38" t="s">
        <v>467</v>
      </c>
      <c r="K773" s="38" t="s">
        <v>468</v>
      </c>
      <c r="L773" s="52" t="s">
        <v>213</v>
      </c>
      <c r="M773" s="53" t="s">
        <v>213</v>
      </c>
    </row>
    <row r="774" spans="1:13" x14ac:dyDescent="0.3">
      <c r="A774" s="37">
        <v>30</v>
      </c>
      <c r="B774" s="38" t="s">
        <v>466</v>
      </c>
      <c r="C774" s="51">
        <v>7891106908498</v>
      </c>
      <c r="D774" s="40" t="s">
        <v>69</v>
      </c>
      <c r="E774" s="40"/>
      <c r="F774" s="40">
        <v>207</v>
      </c>
      <c r="G774" s="38"/>
      <c r="H774" s="38" t="s">
        <v>423</v>
      </c>
      <c r="I774" s="38" t="s">
        <v>424</v>
      </c>
      <c r="J774" s="38" t="s">
        <v>467</v>
      </c>
      <c r="K774" s="38" t="s">
        <v>425</v>
      </c>
      <c r="L774" s="52" t="s">
        <v>213</v>
      </c>
      <c r="M774" s="53" t="s">
        <v>213</v>
      </c>
    </row>
    <row r="775" spans="1:13" x14ac:dyDescent="0.3">
      <c r="A775" s="37">
        <v>30</v>
      </c>
      <c r="B775" s="38" t="s">
        <v>469</v>
      </c>
      <c r="C775" s="51">
        <v>7891106908498</v>
      </c>
      <c r="D775" s="40" t="s">
        <v>69</v>
      </c>
      <c r="E775" s="40"/>
      <c r="F775" s="40">
        <v>207</v>
      </c>
      <c r="G775" s="38"/>
      <c r="H775" s="38" t="s">
        <v>423</v>
      </c>
      <c r="I775" s="38" t="s">
        <v>424</v>
      </c>
      <c r="J775" s="38" t="s">
        <v>467</v>
      </c>
      <c r="K775" s="38" t="s">
        <v>425</v>
      </c>
      <c r="L775" s="52" t="s">
        <v>213</v>
      </c>
      <c r="M775" s="53" t="s">
        <v>213</v>
      </c>
    </row>
    <row r="776" spans="1:13" x14ac:dyDescent="0.3">
      <c r="A776" s="37">
        <v>30</v>
      </c>
      <c r="B776" s="38" t="s">
        <v>466</v>
      </c>
      <c r="C776" s="51">
        <v>7891106908498</v>
      </c>
      <c r="D776" s="40" t="s">
        <v>69</v>
      </c>
      <c r="E776" s="40"/>
      <c r="F776" s="40">
        <v>260</v>
      </c>
      <c r="G776" s="38"/>
      <c r="H776" s="38" t="s">
        <v>470</v>
      </c>
      <c r="I776" s="38" t="s">
        <v>471</v>
      </c>
      <c r="J776" s="38" t="s">
        <v>467</v>
      </c>
      <c r="K776" s="38" t="s">
        <v>472</v>
      </c>
      <c r="L776" s="52" t="s">
        <v>213</v>
      </c>
      <c r="M776" s="53" t="s">
        <v>213</v>
      </c>
    </row>
    <row r="777" spans="1:13" x14ac:dyDescent="0.3">
      <c r="A777" s="37">
        <v>30</v>
      </c>
      <c r="B777" s="38" t="s">
        <v>469</v>
      </c>
      <c r="C777" s="51">
        <v>7891106908498</v>
      </c>
      <c r="D777" s="40" t="s">
        <v>69</v>
      </c>
      <c r="E777" s="40"/>
      <c r="F777" s="40">
        <v>260</v>
      </c>
      <c r="G777" s="38"/>
      <c r="H777" s="38" t="s">
        <v>470</v>
      </c>
      <c r="I777" s="38" t="s">
        <v>471</v>
      </c>
      <c r="J777" s="38" t="s">
        <v>467</v>
      </c>
      <c r="K777" s="38" t="s">
        <v>472</v>
      </c>
      <c r="L777" s="52" t="s">
        <v>213</v>
      </c>
      <c r="M777" s="53" t="s">
        <v>213</v>
      </c>
    </row>
    <row r="778" spans="1:13" x14ac:dyDescent="0.3">
      <c r="A778" s="37">
        <v>30</v>
      </c>
      <c r="B778" s="38" t="s">
        <v>466</v>
      </c>
      <c r="C778" s="51">
        <v>7891106908498</v>
      </c>
      <c r="D778" s="40" t="s">
        <v>69</v>
      </c>
      <c r="E778" s="40"/>
      <c r="F778" s="40">
        <v>271</v>
      </c>
      <c r="G778" s="38"/>
      <c r="H778" s="38" t="s">
        <v>426</v>
      </c>
      <c r="I778" s="38" t="s">
        <v>427</v>
      </c>
      <c r="J778" s="38" t="s">
        <v>467</v>
      </c>
      <c r="K778" s="38" t="s">
        <v>473</v>
      </c>
      <c r="L778" s="52" t="s">
        <v>213</v>
      </c>
      <c r="M778" s="53" t="s">
        <v>213</v>
      </c>
    </row>
    <row r="779" spans="1:13" x14ac:dyDescent="0.3">
      <c r="A779" s="37">
        <v>30</v>
      </c>
      <c r="B779" s="38" t="s">
        <v>469</v>
      </c>
      <c r="C779" s="51">
        <v>7891106908498</v>
      </c>
      <c r="D779" s="40" t="s">
        <v>69</v>
      </c>
      <c r="E779" s="40"/>
      <c r="F779" s="40">
        <v>271</v>
      </c>
      <c r="G779" s="38"/>
      <c r="H779" s="38" t="s">
        <v>426</v>
      </c>
      <c r="I779" s="38" t="s">
        <v>427</v>
      </c>
      <c r="J779" s="38" t="s">
        <v>467</v>
      </c>
      <c r="K779" s="38" t="s">
        <v>473</v>
      </c>
      <c r="L779" s="52" t="s">
        <v>213</v>
      </c>
      <c r="M779" s="53" t="s">
        <v>213</v>
      </c>
    </row>
    <row r="780" spans="1:13" x14ac:dyDescent="0.3">
      <c r="A780" s="37">
        <v>30</v>
      </c>
      <c r="B780" s="38" t="s">
        <v>466</v>
      </c>
      <c r="C780" s="51">
        <v>7891106908498</v>
      </c>
      <c r="D780" s="40" t="s">
        <v>69</v>
      </c>
      <c r="E780" s="40"/>
      <c r="F780" s="40">
        <v>895</v>
      </c>
      <c r="G780" s="38"/>
      <c r="H780" s="38" t="s">
        <v>429</v>
      </c>
      <c r="I780" s="38" t="s">
        <v>405</v>
      </c>
      <c r="J780" s="38" t="s">
        <v>402</v>
      </c>
      <c r="K780" s="38" t="s">
        <v>430</v>
      </c>
      <c r="L780" s="52" t="s">
        <v>213</v>
      </c>
      <c r="M780" s="53" t="s">
        <v>213</v>
      </c>
    </row>
    <row r="781" spans="1:13" x14ac:dyDescent="0.3">
      <c r="A781" s="37">
        <v>30</v>
      </c>
      <c r="B781" s="38" t="s">
        <v>469</v>
      </c>
      <c r="C781" s="51">
        <v>7891106908498</v>
      </c>
      <c r="D781" s="40" t="s">
        <v>69</v>
      </c>
      <c r="E781" s="40"/>
      <c r="F781" s="40">
        <v>895</v>
      </c>
      <c r="G781" s="38"/>
      <c r="H781" s="38" t="s">
        <v>429</v>
      </c>
      <c r="I781" s="38" t="s">
        <v>405</v>
      </c>
      <c r="J781" s="38" t="s">
        <v>402</v>
      </c>
      <c r="K781" s="38" t="s">
        <v>430</v>
      </c>
      <c r="L781" s="52" t="s">
        <v>213</v>
      </c>
      <c r="M781" s="53" t="s">
        <v>213</v>
      </c>
    </row>
    <row r="782" spans="1:13" x14ac:dyDescent="0.3">
      <c r="A782" s="37">
        <v>30</v>
      </c>
      <c r="B782" s="38" t="s">
        <v>466</v>
      </c>
      <c r="C782" s="51">
        <v>7891106908498</v>
      </c>
      <c r="D782" s="40" t="s">
        <v>69</v>
      </c>
      <c r="E782" s="40"/>
      <c r="F782" s="40">
        <v>909</v>
      </c>
      <c r="G782" s="38"/>
      <c r="H782" s="38" t="s">
        <v>431</v>
      </c>
      <c r="I782" s="38" t="s">
        <v>432</v>
      </c>
      <c r="J782" s="38" t="s">
        <v>416</v>
      </c>
      <c r="K782" s="38" t="s">
        <v>474</v>
      </c>
      <c r="L782" s="52" t="s">
        <v>213</v>
      </c>
      <c r="M782" s="53" t="s">
        <v>213</v>
      </c>
    </row>
    <row r="783" spans="1:13" x14ac:dyDescent="0.3">
      <c r="A783" s="37">
        <v>30</v>
      </c>
      <c r="B783" s="38" t="s">
        <v>469</v>
      </c>
      <c r="C783" s="51">
        <v>7891106908498</v>
      </c>
      <c r="D783" s="40" t="s">
        <v>69</v>
      </c>
      <c r="E783" s="40"/>
      <c r="F783" s="40">
        <v>909</v>
      </c>
      <c r="G783" s="38"/>
      <c r="H783" s="38" t="s">
        <v>431</v>
      </c>
      <c r="I783" s="38" t="s">
        <v>432</v>
      </c>
      <c r="J783" s="38" t="s">
        <v>416</v>
      </c>
      <c r="K783" s="38" t="s">
        <v>474</v>
      </c>
      <c r="L783" s="52" t="s">
        <v>213</v>
      </c>
      <c r="M783" s="53" t="s">
        <v>213</v>
      </c>
    </row>
    <row r="784" spans="1:13" x14ac:dyDescent="0.3">
      <c r="A784" s="37">
        <v>30</v>
      </c>
      <c r="B784" s="38" t="s">
        <v>475</v>
      </c>
      <c r="C784" s="51">
        <v>7891106908894</v>
      </c>
      <c r="D784" s="40" t="s">
        <v>69</v>
      </c>
      <c r="E784" s="40"/>
      <c r="F784" s="40">
        <v>197</v>
      </c>
      <c r="G784" s="38"/>
      <c r="H784" s="38" t="s">
        <v>415</v>
      </c>
      <c r="I784" s="38" t="s">
        <v>335</v>
      </c>
      <c r="J784" s="38" t="s">
        <v>467</v>
      </c>
      <c r="K784" s="38" t="s">
        <v>468</v>
      </c>
      <c r="L784" s="52" t="s">
        <v>213</v>
      </c>
      <c r="M784" s="53" t="s">
        <v>213</v>
      </c>
    </row>
    <row r="785" spans="1:13" x14ac:dyDescent="0.3">
      <c r="A785" s="37">
        <v>30</v>
      </c>
      <c r="B785" s="38" t="s">
        <v>476</v>
      </c>
      <c r="C785" s="51">
        <v>7891106908894</v>
      </c>
      <c r="D785" s="40" t="s">
        <v>69</v>
      </c>
      <c r="E785" s="40"/>
      <c r="F785" s="40">
        <v>197</v>
      </c>
      <c r="G785" s="38"/>
      <c r="H785" s="38" t="s">
        <v>415</v>
      </c>
      <c r="I785" s="38" t="s">
        <v>335</v>
      </c>
      <c r="J785" s="38" t="s">
        <v>467</v>
      </c>
      <c r="K785" s="38" t="s">
        <v>468</v>
      </c>
      <c r="L785" s="52" t="s">
        <v>213</v>
      </c>
      <c r="M785" s="53" t="s">
        <v>213</v>
      </c>
    </row>
    <row r="786" spans="1:13" x14ac:dyDescent="0.3">
      <c r="A786" s="37">
        <v>30</v>
      </c>
      <c r="B786" s="38" t="s">
        <v>475</v>
      </c>
      <c r="C786" s="51">
        <v>7891106908894</v>
      </c>
      <c r="D786" s="40" t="s">
        <v>69</v>
      </c>
      <c r="E786" s="40"/>
      <c r="F786" s="40">
        <v>207</v>
      </c>
      <c r="G786" s="38"/>
      <c r="H786" s="38" t="s">
        <v>423</v>
      </c>
      <c r="I786" s="38" t="s">
        <v>424</v>
      </c>
      <c r="J786" s="38" t="s">
        <v>467</v>
      </c>
      <c r="K786" s="38" t="s">
        <v>425</v>
      </c>
      <c r="L786" s="52" t="s">
        <v>213</v>
      </c>
      <c r="M786" s="53" t="s">
        <v>213</v>
      </c>
    </row>
    <row r="787" spans="1:13" x14ac:dyDescent="0.3">
      <c r="A787" s="37">
        <v>30</v>
      </c>
      <c r="B787" s="38" t="s">
        <v>476</v>
      </c>
      <c r="C787" s="51">
        <v>7891106908894</v>
      </c>
      <c r="D787" s="40" t="s">
        <v>69</v>
      </c>
      <c r="E787" s="40"/>
      <c r="F787" s="40">
        <v>207</v>
      </c>
      <c r="G787" s="38"/>
      <c r="H787" s="38" t="s">
        <v>423</v>
      </c>
      <c r="I787" s="38" t="s">
        <v>424</v>
      </c>
      <c r="J787" s="38" t="s">
        <v>467</v>
      </c>
      <c r="K787" s="38" t="s">
        <v>425</v>
      </c>
      <c r="L787" s="52" t="s">
        <v>213</v>
      </c>
      <c r="M787" s="53" t="s">
        <v>213</v>
      </c>
    </row>
    <row r="788" spans="1:13" x14ac:dyDescent="0.3">
      <c r="A788" s="37">
        <v>30</v>
      </c>
      <c r="B788" s="38" t="s">
        <v>475</v>
      </c>
      <c r="C788" s="51">
        <v>7891106908894</v>
      </c>
      <c r="D788" s="40" t="s">
        <v>69</v>
      </c>
      <c r="E788" s="40"/>
      <c r="F788" s="40">
        <v>271</v>
      </c>
      <c r="G788" s="38"/>
      <c r="H788" s="38" t="s">
        <v>426</v>
      </c>
      <c r="I788" s="38" t="s">
        <v>427</v>
      </c>
      <c r="J788" s="38" t="s">
        <v>467</v>
      </c>
      <c r="K788" s="38" t="s">
        <v>473</v>
      </c>
      <c r="L788" s="52" t="s">
        <v>213</v>
      </c>
      <c r="M788" s="53" t="s">
        <v>213</v>
      </c>
    </row>
    <row r="789" spans="1:13" x14ac:dyDescent="0.3">
      <c r="A789" s="37">
        <v>30</v>
      </c>
      <c r="B789" s="38" t="s">
        <v>476</v>
      </c>
      <c r="C789" s="51">
        <v>7891106908894</v>
      </c>
      <c r="D789" s="40" t="s">
        <v>69</v>
      </c>
      <c r="E789" s="40"/>
      <c r="F789" s="40">
        <v>271</v>
      </c>
      <c r="G789" s="38"/>
      <c r="H789" s="38" t="s">
        <v>426</v>
      </c>
      <c r="I789" s="38" t="s">
        <v>427</v>
      </c>
      <c r="J789" s="38" t="s">
        <v>467</v>
      </c>
      <c r="K789" s="38" t="s">
        <v>473</v>
      </c>
      <c r="L789" s="52" t="s">
        <v>213</v>
      </c>
      <c r="M789" s="53" t="s">
        <v>213</v>
      </c>
    </row>
    <row r="790" spans="1:13" x14ac:dyDescent="0.3">
      <c r="A790" s="37">
        <v>30</v>
      </c>
      <c r="B790" s="38" t="s">
        <v>475</v>
      </c>
      <c r="C790" s="51">
        <v>7891106908894</v>
      </c>
      <c r="D790" s="40" t="s">
        <v>69</v>
      </c>
      <c r="E790" s="40"/>
      <c r="F790" s="40">
        <v>896</v>
      </c>
      <c r="G790" s="38"/>
      <c r="H790" s="38" t="s">
        <v>477</v>
      </c>
      <c r="I790" s="38" t="s">
        <v>405</v>
      </c>
      <c r="J790" s="38" t="s">
        <v>402</v>
      </c>
      <c r="K790" s="38" t="s">
        <v>478</v>
      </c>
      <c r="L790" s="52" t="s">
        <v>213</v>
      </c>
      <c r="M790" s="53" t="s">
        <v>213</v>
      </c>
    </row>
    <row r="791" spans="1:13" x14ac:dyDescent="0.3">
      <c r="A791" s="37">
        <v>30</v>
      </c>
      <c r="B791" s="38" t="s">
        <v>476</v>
      </c>
      <c r="C791" s="51">
        <v>7891106908894</v>
      </c>
      <c r="D791" s="40" t="s">
        <v>69</v>
      </c>
      <c r="E791" s="40"/>
      <c r="F791" s="40">
        <v>896</v>
      </c>
      <c r="G791" s="38"/>
      <c r="H791" s="38" t="s">
        <v>477</v>
      </c>
      <c r="I791" s="38" t="s">
        <v>405</v>
      </c>
      <c r="J791" s="38" t="s">
        <v>402</v>
      </c>
      <c r="K791" s="38" t="s">
        <v>478</v>
      </c>
      <c r="L791" s="52" t="s">
        <v>213</v>
      </c>
      <c r="M791" s="53" t="s">
        <v>213</v>
      </c>
    </row>
    <row r="792" spans="1:13" x14ac:dyDescent="0.3">
      <c r="A792" s="37">
        <v>30</v>
      </c>
      <c r="B792" s="38" t="s">
        <v>475</v>
      </c>
      <c r="C792" s="51">
        <v>7891106908894</v>
      </c>
      <c r="D792" s="40" t="s">
        <v>69</v>
      </c>
      <c r="E792" s="40"/>
      <c r="F792" s="40">
        <v>909</v>
      </c>
      <c r="G792" s="38"/>
      <c r="H792" s="38" t="s">
        <v>431</v>
      </c>
      <c r="I792" s="38" t="s">
        <v>432</v>
      </c>
      <c r="J792" s="38" t="s">
        <v>416</v>
      </c>
      <c r="K792" s="38" t="s">
        <v>474</v>
      </c>
      <c r="L792" s="52" t="s">
        <v>213</v>
      </c>
      <c r="M792" s="53" t="s">
        <v>213</v>
      </c>
    </row>
    <row r="793" spans="1:13" x14ac:dyDescent="0.3">
      <c r="A793" s="37">
        <v>30</v>
      </c>
      <c r="B793" s="38" t="s">
        <v>476</v>
      </c>
      <c r="C793" s="51">
        <v>7891106908894</v>
      </c>
      <c r="D793" s="40" t="s">
        <v>69</v>
      </c>
      <c r="E793" s="40"/>
      <c r="F793" s="40">
        <v>909</v>
      </c>
      <c r="G793" s="38"/>
      <c r="H793" s="38" t="s">
        <v>431</v>
      </c>
      <c r="I793" s="38" t="s">
        <v>432</v>
      </c>
      <c r="J793" s="38" t="s">
        <v>416</v>
      </c>
      <c r="K793" s="38" t="s">
        <v>474</v>
      </c>
      <c r="L793" s="52" t="s">
        <v>213</v>
      </c>
      <c r="M793" s="53" t="s">
        <v>213</v>
      </c>
    </row>
    <row r="794" spans="1:13" x14ac:dyDescent="0.3">
      <c r="A794" s="37">
        <v>30</v>
      </c>
      <c r="B794" s="38" t="s">
        <v>479</v>
      </c>
      <c r="C794" s="51">
        <v>7891106911344</v>
      </c>
      <c r="D794" s="40" t="s">
        <v>69</v>
      </c>
      <c r="E794" s="40"/>
      <c r="F794" s="40">
        <v>143</v>
      </c>
      <c r="G794" s="38"/>
      <c r="H794" s="38" t="s">
        <v>457</v>
      </c>
      <c r="I794" s="38" t="s">
        <v>424</v>
      </c>
      <c r="J794" s="38" t="s">
        <v>458</v>
      </c>
      <c r="K794" s="38" t="s">
        <v>459</v>
      </c>
      <c r="L794" s="52" t="s">
        <v>213</v>
      </c>
      <c r="M794" s="53" t="s">
        <v>213</v>
      </c>
    </row>
    <row r="795" spans="1:13" x14ac:dyDescent="0.3">
      <c r="A795" s="37">
        <v>30</v>
      </c>
      <c r="B795" s="38" t="s">
        <v>479</v>
      </c>
      <c r="C795" s="51">
        <v>7891106911344</v>
      </c>
      <c r="D795" s="40" t="s">
        <v>69</v>
      </c>
      <c r="E795" s="40"/>
      <c r="F795" s="40">
        <v>149</v>
      </c>
      <c r="G795" s="38"/>
      <c r="H795" s="38" t="s">
        <v>457</v>
      </c>
      <c r="I795" s="38" t="s">
        <v>480</v>
      </c>
      <c r="J795" s="49" t="s">
        <v>213</v>
      </c>
      <c r="K795" s="38" t="s">
        <v>480</v>
      </c>
      <c r="L795" s="49" t="s">
        <v>213</v>
      </c>
      <c r="M795" s="54" t="s">
        <v>213</v>
      </c>
    </row>
    <row r="796" spans="1:13" x14ac:dyDescent="0.3">
      <c r="A796" s="37">
        <v>30</v>
      </c>
      <c r="B796" s="38" t="s">
        <v>481</v>
      </c>
      <c r="C796" s="51">
        <v>7891106912716</v>
      </c>
      <c r="D796" s="40" t="s">
        <v>69</v>
      </c>
      <c r="E796" s="40"/>
      <c r="F796" s="40">
        <v>912</v>
      </c>
      <c r="G796" s="38"/>
      <c r="H796" s="38" t="s">
        <v>482</v>
      </c>
      <c r="I796" s="38" t="s">
        <v>405</v>
      </c>
      <c r="J796" s="38" t="s">
        <v>483</v>
      </c>
      <c r="K796" s="38" t="s">
        <v>484</v>
      </c>
      <c r="L796" s="52" t="s">
        <v>213</v>
      </c>
      <c r="M796" s="53" t="s">
        <v>213</v>
      </c>
    </row>
    <row r="797" spans="1:13" x14ac:dyDescent="0.3">
      <c r="A797" s="37">
        <v>30</v>
      </c>
      <c r="B797" s="38" t="s">
        <v>414</v>
      </c>
      <c r="C797" s="51">
        <v>7891106914147</v>
      </c>
      <c r="D797" s="40" t="s">
        <v>69</v>
      </c>
      <c r="E797" s="40"/>
      <c r="F797" s="40">
        <v>197</v>
      </c>
      <c r="G797" s="38"/>
      <c r="H797" s="38" t="s">
        <v>415</v>
      </c>
      <c r="I797" s="38" t="s">
        <v>335</v>
      </c>
      <c r="J797" s="38" t="s">
        <v>416</v>
      </c>
      <c r="K797" s="38" t="s">
        <v>417</v>
      </c>
      <c r="L797" s="52" t="s">
        <v>213</v>
      </c>
      <c r="M797" s="53" t="s">
        <v>213</v>
      </c>
    </row>
    <row r="798" spans="1:13" x14ac:dyDescent="0.3">
      <c r="A798" s="37">
        <v>30</v>
      </c>
      <c r="B798" s="38" t="s">
        <v>414</v>
      </c>
      <c r="C798" s="51">
        <v>7891106914147</v>
      </c>
      <c r="D798" s="40" t="s">
        <v>69</v>
      </c>
      <c r="E798" s="40"/>
      <c r="F798" s="40">
        <v>204</v>
      </c>
      <c r="G798" s="38"/>
      <c r="H798" s="38" t="s">
        <v>419</v>
      </c>
      <c r="I798" s="38" t="s">
        <v>420</v>
      </c>
      <c r="J798" s="38" t="s">
        <v>421</v>
      </c>
      <c r="K798" s="38" t="s">
        <v>422</v>
      </c>
      <c r="L798" s="52" t="s">
        <v>213</v>
      </c>
      <c r="M798" s="53" t="s">
        <v>213</v>
      </c>
    </row>
    <row r="799" spans="1:13" x14ac:dyDescent="0.3">
      <c r="A799" s="37">
        <v>30</v>
      </c>
      <c r="B799" s="38" t="s">
        <v>414</v>
      </c>
      <c r="C799" s="51">
        <v>7891106914147</v>
      </c>
      <c r="D799" s="40" t="s">
        <v>69</v>
      </c>
      <c r="E799" s="40"/>
      <c r="F799" s="40">
        <v>207</v>
      </c>
      <c r="G799" s="38"/>
      <c r="H799" s="38" t="s">
        <v>423</v>
      </c>
      <c r="I799" s="38" t="s">
        <v>424</v>
      </c>
      <c r="J799" s="38" t="s">
        <v>416</v>
      </c>
      <c r="K799" s="38" t="s">
        <v>425</v>
      </c>
      <c r="L799" s="52" t="s">
        <v>213</v>
      </c>
      <c r="M799" s="53" t="s">
        <v>213</v>
      </c>
    </row>
    <row r="800" spans="1:13" x14ac:dyDescent="0.3">
      <c r="A800" s="37">
        <v>30</v>
      </c>
      <c r="B800" s="38" t="s">
        <v>414</v>
      </c>
      <c r="C800" s="51">
        <v>7891106914147</v>
      </c>
      <c r="D800" s="40" t="s">
        <v>69</v>
      </c>
      <c r="E800" s="40"/>
      <c r="F800" s="40">
        <v>271</v>
      </c>
      <c r="G800" s="38"/>
      <c r="H800" s="38" t="s">
        <v>426</v>
      </c>
      <c r="I800" s="38" t="s">
        <v>427</v>
      </c>
      <c r="J800" s="38" t="s">
        <v>416</v>
      </c>
      <c r="K800" s="38" t="s">
        <v>428</v>
      </c>
      <c r="L800" s="52" t="s">
        <v>213</v>
      </c>
      <c r="M800" s="53" t="s">
        <v>213</v>
      </c>
    </row>
    <row r="801" spans="1:13" x14ac:dyDescent="0.3">
      <c r="A801" s="37">
        <v>30</v>
      </c>
      <c r="B801" s="38" t="s">
        <v>414</v>
      </c>
      <c r="C801" s="51">
        <v>7891106914147</v>
      </c>
      <c r="D801" s="40" t="s">
        <v>69</v>
      </c>
      <c r="E801" s="40"/>
      <c r="F801" s="40">
        <v>895</v>
      </c>
      <c r="G801" s="38"/>
      <c r="H801" s="38" t="s">
        <v>429</v>
      </c>
      <c r="I801" s="38" t="s">
        <v>405</v>
      </c>
      <c r="J801" s="38" t="s">
        <v>390</v>
      </c>
      <c r="K801" s="38" t="s">
        <v>430</v>
      </c>
      <c r="L801" s="52" t="s">
        <v>213</v>
      </c>
      <c r="M801" s="53" t="s">
        <v>213</v>
      </c>
    </row>
    <row r="802" spans="1:13" x14ac:dyDescent="0.3">
      <c r="A802" s="37">
        <v>30</v>
      </c>
      <c r="B802" s="38" t="s">
        <v>414</v>
      </c>
      <c r="C802" s="51">
        <v>7891106914147</v>
      </c>
      <c r="D802" s="40" t="s">
        <v>69</v>
      </c>
      <c r="E802" s="40"/>
      <c r="F802" s="40">
        <v>909</v>
      </c>
      <c r="G802" s="38"/>
      <c r="H802" s="38" t="s">
        <v>431</v>
      </c>
      <c r="I802" s="38" t="s">
        <v>432</v>
      </c>
      <c r="J802" s="38" t="s">
        <v>416</v>
      </c>
      <c r="K802" s="38" t="s">
        <v>433</v>
      </c>
      <c r="L802" s="52" t="s">
        <v>213</v>
      </c>
      <c r="M802" s="53" t="s">
        <v>213</v>
      </c>
    </row>
    <row r="803" spans="1:13" x14ac:dyDescent="0.3">
      <c r="A803" s="37">
        <v>30</v>
      </c>
      <c r="B803" s="38" t="s">
        <v>475</v>
      </c>
      <c r="C803" s="51">
        <v>7891106914154</v>
      </c>
      <c r="D803" s="40" t="s">
        <v>69</v>
      </c>
      <c r="E803" s="40"/>
      <c r="F803" s="40">
        <v>197</v>
      </c>
      <c r="G803" s="38"/>
      <c r="H803" s="38" t="s">
        <v>415</v>
      </c>
      <c r="I803" s="38" t="s">
        <v>335</v>
      </c>
      <c r="J803" s="38" t="s">
        <v>467</v>
      </c>
      <c r="K803" s="38" t="s">
        <v>468</v>
      </c>
      <c r="L803" s="52" t="s">
        <v>213</v>
      </c>
      <c r="M803" s="53" t="s">
        <v>213</v>
      </c>
    </row>
    <row r="804" spans="1:13" x14ac:dyDescent="0.3">
      <c r="A804" s="37">
        <v>30</v>
      </c>
      <c r="B804" s="38" t="s">
        <v>475</v>
      </c>
      <c r="C804" s="51">
        <v>7891106914154</v>
      </c>
      <c r="D804" s="40" t="s">
        <v>69</v>
      </c>
      <c r="E804" s="40"/>
      <c r="F804" s="40">
        <v>204</v>
      </c>
      <c r="G804" s="38"/>
      <c r="H804" s="38" t="s">
        <v>419</v>
      </c>
      <c r="I804" s="38" t="s">
        <v>420</v>
      </c>
      <c r="J804" s="38" t="s">
        <v>421</v>
      </c>
      <c r="K804" s="38" t="s">
        <v>422</v>
      </c>
      <c r="L804" s="52" t="s">
        <v>213</v>
      </c>
      <c r="M804" s="53" t="s">
        <v>213</v>
      </c>
    </row>
    <row r="805" spans="1:13" x14ac:dyDescent="0.3">
      <c r="A805" s="37">
        <v>30</v>
      </c>
      <c r="B805" s="38" t="s">
        <v>475</v>
      </c>
      <c r="C805" s="51">
        <v>7891106914154</v>
      </c>
      <c r="D805" s="40" t="s">
        <v>69</v>
      </c>
      <c r="E805" s="40"/>
      <c r="F805" s="40">
        <v>207</v>
      </c>
      <c r="G805" s="38"/>
      <c r="H805" s="38" t="s">
        <v>423</v>
      </c>
      <c r="I805" s="38" t="s">
        <v>424</v>
      </c>
      <c r="J805" s="38" t="s">
        <v>467</v>
      </c>
      <c r="K805" s="38" t="s">
        <v>425</v>
      </c>
      <c r="L805" s="52" t="s">
        <v>213</v>
      </c>
      <c r="M805" s="53" t="s">
        <v>213</v>
      </c>
    </row>
    <row r="806" spans="1:13" x14ac:dyDescent="0.3">
      <c r="A806" s="37">
        <v>30</v>
      </c>
      <c r="B806" s="38" t="s">
        <v>475</v>
      </c>
      <c r="C806" s="51">
        <v>7891106914154</v>
      </c>
      <c r="D806" s="40" t="s">
        <v>69</v>
      </c>
      <c r="E806" s="40"/>
      <c r="F806" s="40">
        <v>271</v>
      </c>
      <c r="G806" s="38"/>
      <c r="H806" s="38" t="s">
        <v>426</v>
      </c>
      <c r="I806" s="38" t="s">
        <v>427</v>
      </c>
      <c r="J806" s="38" t="s">
        <v>467</v>
      </c>
      <c r="K806" s="38" t="s">
        <v>473</v>
      </c>
      <c r="L806" s="52" t="s">
        <v>213</v>
      </c>
      <c r="M806" s="53" t="s">
        <v>213</v>
      </c>
    </row>
    <row r="807" spans="1:13" x14ac:dyDescent="0.3">
      <c r="A807" s="37">
        <v>30</v>
      </c>
      <c r="B807" s="38" t="s">
        <v>475</v>
      </c>
      <c r="C807" s="51">
        <v>7891106914154</v>
      </c>
      <c r="D807" s="40" t="s">
        <v>69</v>
      </c>
      <c r="E807" s="40"/>
      <c r="F807" s="40">
        <v>896</v>
      </c>
      <c r="G807" s="38"/>
      <c r="H807" s="38" t="s">
        <v>477</v>
      </c>
      <c r="I807" s="38" t="s">
        <v>405</v>
      </c>
      <c r="J807" s="38" t="s">
        <v>402</v>
      </c>
      <c r="K807" s="38" t="s">
        <v>478</v>
      </c>
      <c r="L807" s="52" t="s">
        <v>213</v>
      </c>
      <c r="M807" s="53" t="s">
        <v>213</v>
      </c>
    </row>
    <row r="808" spans="1:13" x14ac:dyDescent="0.3">
      <c r="A808" s="37">
        <v>30</v>
      </c>
      <c r="B808" s="38" t="s">
        <v>475</v>
      </c>
      <c r="C808" s="51">
        <v>7891106914154</v>
      </c>
      <c r="D808" s="40" t="s">
        <v>69</v>
      </c>
      <c r="E808" s="40"/>
      <c r="F808" s="40">
        <v>909</v>
      </c>
      <c r="G808" s="38"/>
      <c r="H808" s="38" t="s">
        <v>431</v>
      </c>
      <c r="I808" s="38" t="s">
        <v>432</v>
      </c>
      <c r="J808" s="38" t="s">
        <v>416</v>
      </c>
      <c r="K808" s="38" t="s">
        <v>474</v>
      </c>
      <c r="L808" s="52" t="s">
        <v>213</v>
      </c>
      <c r="M808" s="53" t="s">
        <v>213</v>
      </c>
    </row>
    <row r="809" spans="1:13" x14ac:dyDescent="0.3">
      <c r="A809" s="37">
        <v>30</v>
      </c>
      <c r="B809" s="38" t="s">
        <v>466</v>
      </c>
      <c r="C809" s="51">
        <v>7891106914178</v>
      </c>
      <c r="D809" s="40" t="s">
        <v>69</v>
      </c>
      <c r="E809" s="40"/>
      <c r="F809" s="40">
        <v>197</v>
      </c>
      <c r="G809" s="38"/>
      <c r="H809" s="38" t="s">
        <v>415</v>
      </c>
      <c r="I809" s="38" t="s">
        <v>335</v>
      </c>
      <c r="J809" s="38" t="s">
        <v>467</v>
      </c>
      <c r="K809" s="38" t="s">
        <v>468</v>
      </c>
      <c r="L809" s="52" t="s">
        <v>213</v>
      </c>
      <c r="M809" s="53" t="s">
        <v>213</v>
      </c>
    </row>
    <row r="810" spans="1:13" x14ac:dyDescent="0.3">
      <c r="A810" s="37">
        <v>30</v>
      </c>
      <c r="B810" s="38" t="s">
        <v>466</v>
      </c>
      <c r="C810" s="51">
        <v>7891106914178</v>
      </c>
      <c r="D810" s="40" t="s">
        <v>69</v>
      </c>
      <c r="E810" s="40"/>
      <c r="F810" s="40">
        <v>207</v>
      </c>
      <c r="G810" s="38"/>
      <c r="H810" s="38" t="s">
        <v>423</v>
      </c>
      <c r="I810" s="38" t="s">
        <v>424</v>
      </c>
      <c r="J810" s="38" t="s">
        <v>467</v>
      </c>
      <c r="K810" s="38" t="s">
        <v>425</v>
      </c>
      <c r="L810" s="52" t="s">
        <v>213</v>
      </c>
      <c r="M810" s="53" t="s">
        <v>213</v>
      </c>
    </row>
    <row r="811" spans="1:13" x14ac:dyDescent="0.3">
      <c r="A811" s="37">
        <v>30</v>
      </c>
      <c r="B811" s="38" t="s">
        <v>466</v>
      </c>
      <c r="C811" s="51">
        <v>7891106914178</v>
      </c>
      <c r="D811" s="40" t="s">
        <v>69</v>
      </c>
      <c r="E811" s="40"/>
      <c r="F811" s="40">
        <v>271</v>
      </c>
      <c r="G811" s="38"/>
      <c r="H811" s="38" t="s">
        <v>426</v>
      </c>
      <c r="I811" s="38" t="s">
        <v>427</v>
      </c>
      <c r="J811" s="38" t="s">
        <v>467</v>
      </c>
      <c r="K811" s="38" t="s">
        <v>473</v>
      </c>
      <c r="L811" s="52" t="s">
        <v>213</v>
      </c>
      <c r="M811" s="53" t="s">
        <v>213</v>
      </c>
    </row>
    <row r="812" spans="1:13" x14ac:dyDescent="0.3">
      <c r="A812" s="37">
        <v>30</v>
      </c>
      <c r="B812" s="38" t="s">
        <v>466</v>
      </c>
      <c r="C812" s="51">
        <v>7891106914178</v>
      </c>
      <c r="D812" s="40" t="s">
        <v>69</v>
      </c>
      <c r="E812" s="40"/>
      <c r="F812" s="40">
        <v>895</v>
      </c>
      <c r="G812" s="38"/>
      <c r="H812" s="38" t="s">
        <v>429</v>
      </c>
      <c r="I812" s="38" t="s">
        <v>405</v>
      </c>
      <c r="J812" s="38" t="s">
        <v>402</v>
      </c>
      <c r="K812" s="38" t="s">
        <v>430</v>
      </c>
      <c r="L812" s="52" t="s">
        <v>213</v>
      </c>
      <c r="M812" s="53" t="s">
        <v>213</v>
      </c>
    </row>
    <row r="813" spans="1:13" x14ac:dyDescent="0.3">
      <c r="A813" s="37">
        <v>30</v>
      </c>
      <c r="B813" s="38" t="s">
        <v>466</v>
      </c>
      <c r="C813" s="51">
        <v>7891106914178</v>
      </c>
      <c r="D813" s="40" t="s">
        <v>69</v>
      </c>
      <c r="E813" s="40"/>
      <c r="F813" s="40">
        <v>909</v>
      </c>
      <c r="G813" s="38"/>
      <c r="H813" s="38" t="s">
        <v>431</v>
      </c>
      <c r="I813" s="38" t="s">
        <v>432</v>
      </c>
      <c r="J813" s="38" t="s">
        <v>416</v>
      </c>
      <c r="K813" s="38" t="s">
        <v>474</v>
      </c>
      <c r="L813" s="52" t="s">
        <v>213</v>
      </c>
      <c r="M813" s="53" t="s">
        <v>213</v>
      </c>
    </row>
    <row r="814" spans="1:13" x14ac:dyDescent="0.3">
      <c r="A814" s="37">
        <v>56</v>
      </c>
      <c r="B814" s="38" t="s">
        <v>485</v>
      </c>
      <c r="C814" s="51">
        <v>7896112400431</v>
      </c>
      <c r="D814" s="40" t="s">
        <v>66</v>
      </c>
      <c r="E814" s="40"/>
      <c r="F814" s="40">
        <v>829</v>
      </c>
      <c r="G814" s="38"/>
      <c r="H814" s="38" t="s">
        <v>486</v>
      </c>
      <c r="I814" s="38" t="s">
        <v>487</v>
      </c>
      <c r="J814" s="38" t="s">
        <v>488</v>
      </c>
      <c r="K814" s="38" t="s">
        <v>489</v>
      </c>
      <c r="L814" s="52" t="s">
        <v>213</v>
      </c>
      <c r="M814" s="53" t="s">
        <v>213</v>
      </c>
    </row>
    <row r="815" spans="1:13" x14ac:dyDescent="0.3">
      <c r="A815" s="37">
        <v>56</v>
      </c>
      <c r="B815" s="38" t="s">
        <v>27</v>
      </c>
      <c r="C815" s="51">
        <v>7896112400585</v>
      </c>
      <c r="D815" s="40" t="s">
        <v>66</v>
      </c>
      <c r="E815" s="40"/>
      <c r="F815" s="40">
        <v>830</v>
      </c>
      <c r="G815" s="38"/>
      <c r="H815" s="38" t="s">
        <v>490</v>
      </c>
      <c r="I815" s="38" t="s">
        <v>487</v>
      </c>
      <c r="J815" s="38" t="s">
        <v>488</v>
      </c>
      <c r="K815" s="38" t="s">
        <v>491</v>
      </c>
      <c r="L815" s="52" t="s">
        <v>213</v>
      </c>
      <c r="M815" s="53" t="s">
        <v>213</v>
      </c>
    </row>
    <row r="816" spans="1:13" x14ac:dyDescent="0.3">
      <c r="A816" s="37">
        <v>56</v>
      </c>
      <c r="B816" s="38" t="s">
        <v>37</v>
      </c>
      <c r="C816" s="51">
        <v>7896112400592</v>
      </c>
      <c r="D816" s="40" t="s">
        <v>66</v>
      </c>
      <c r="E816" s="40"/>
      <c r="F816" s="40">
        <v>830</v>
      </c>
      <c r="G816" s="38"/>
      <c r="H816" s="38" t="s">
        <v>490</v>
      </c>
      <c r="I816" s="38" t="s">
        <v>487</v>
      </c>
      <c r="J816" s="38" t="s">
        <v>488</v>
      </c>
      <c r="K816" s="38" t="s">
        <v>491</v>
      </c>
      <c r="L816" s="52" t="s">
        <v>213</v>
      </c>
      <c r="M816" s="53" t="s">
        <v>213</v>
      </c>
    </row>
    <row r="817" spans="1:13" x14ac:dyDescent="0.3">
      <c r="A817" s="37">
        <v>56</v>
      </c>
      <c r="B817" s="38" t="s">
        <v>492</v>
      </c>
      <c r="C817" s="51">
        <v>7896112400684</v>
      </c>
      <c r="D817" s="40" t="s">
        <v>66</v>
      </c>
      <c r="E817" s="40"/>
      <c r="F817" s="40">
        <v>567</v>
      </c>
      <c r="G817" s="38"/>
      <c r="H817" s="38" t="s">
        <v>493</v>
      </c>
      <c r="I817" s="38" t="s">
        <v>487</v>
      </c>
      <c r="J817" s="38" t="s">
        <v>488</v>
      </c>
      <c r="K817" s="38" t="s">
        <v>491</v>
      </c>
      <c r="L817" s="52" t="s">
        <v>213</v>
      </c>
      <c r="M817" s="53" t="s">
        <v>213</v>
      </c>
    </row>
    <row r="818" spans="1:13" x14ac:dyDescent="0.3">
      <c r="A818" s="37">
        <v>56</v>
      </c>
      <c r="B818" s="38" t="s">
        <v>494</v>
      </c>
      <c r="C818" s="51">
        <v>7896112400691</v>
      </c>
      <c r="D818" s="40" t="s">
        <v>66</v>
      </c>
      <c r="E818" s="40"/>
      <c r="F818" s="40">
        <v>567</v>
      </c>
      <c r="G818" s="38"/>
      <c r="H818" s="38" t="s">
        <v>493</v>
      </c>
      <c r="I818" s="38" t="s">
        <v>487</v>
      </c>
      <c r="J818" s="38" t="s">
        <v>488</v>
      </c>
      <c r="K818" s="38" t="s">
        <v>491</v>
      </c>
      <c r="L818" s="52" t="s">
        <v>213</v>
      </c>
      <c r="M818" s="53" t="s">
        <v>213</v>
      </c>
    </row>
    <row r="819" spans="1:13" x14ac:dyDescent="0.3">
      <c r="A819" s="37">
        <v>56</v>
      </c>
      <c r="B819" s="38" t="s">
        <v>495</v>
      </c>
      <c r="C819" s="51">
        <v>7896112400707</v>
      </c>
      <c r="D819" s="40" t="s">
        <v>66</v>
      </c>
      <c r="E819" s="40"/>
      <c r="F819" s="40">
        <v>567</v>
      </c>
      <c r="G819" s="38"/>
      <c r="H819" s="38" t="s">
        <v>493</v>
      </c>
      <c r="I819" s="38" t="s">
        <v>487</v>
      </c>
      <c r="J819" s="38" t="s">
        <v>488</v>
      </c>
      <c r="K819" s="38" t="s">
        <v>491</v>
      </c>
      <c r="L819" s="52" t="s">
        <v>213</v>
      </c>
      <c r="M819" s="53" t="s">
        <v>213</v>
      </c>
    </row>
    <row r="820" spans="1:13" x14ac:dyDescent="0.3">
      <c r="A820" s="37">
        <v>56</v>
      </c>
      <c r="B820" s="38" t="s">
        <v>496</v>
      </c>
      <c r="C820" s="51">
        <v>7896112402442</v>
      </c>
      <c r="D820" s="40" t="s">
        <v>66</v>
      </c>
      <c r="E820" s="40"/>
      <c r="F820" s="40">
        <v>810</v>
      </c>
      <c r="G820" s="38"/>
      <c r="H820" s="38" t="s">
        <v>497</v>
      </c>
      <c r="I820" s="38" t="s">
        <v>498</v>
      </c>
      <c r="J820" s="38" t="s">
        <v>499</v>
      </c>
      <c r="K820" s="38" t="s">
        <v>500</v>
      </c>
      <c r="L820" s="52" t="s">
        <v>213</v>
      </c>
      <c r="M820" s="53" t="s">
        <v>213</v>
      </c>
    </row>
    <row r="821" spans="1:13" x14ac:dyDescent="0.3">
      <c r="A821" s="37">
        <v>56</v>
      </c>
      <c r="B821" s="38" t="s">
        <v>501</v>
      </c>
      <c r="C821" s="51">
        <v>7896112412175</v>
      </c>
      <c r="D821" s="40" t="s">
        <v>66</v>
      </c>
      <c r="E821" s="40"/>
      <c r="F821" s="40">
        <v>567</v>
      </c>
      <c r="G821" s="38"/>
      <c r="H821" s="38" t="s">
        <v>493</v>
      </c>
      <c r="I821" s="38" t="s">
        <v>480</v>
      </c>
      <c r="J821" s="49" t="s">
        <v>213</v>
      </c>
      <c r="K821" s="38" t="s">
        <v>480</v>
      </c>
      <c r="L821" s="49" t="s">
        <v>213</v>
      </c>
      <c r="M821" s="54" t="s">
        <v>213</v>
      </c>
    </row>
    <row r="822" spans="1:13" x14ac:dyDescent="0.3">
      <c r="A822" s="37">
        <v>56</v>
      </c>
      <c r="B822" s="38" t="s">
        <v>502</v>
      </c>
      <c r="C822" s="51">
        <v>7896112412335</v>
      </c>
      <c r="D822" s="40" t="s">
        <v>66</v>
      </c>
      <c r="E822" s="40"/>
      <c r="F822" s="40">
        <v>567</v>
      </c>
      <c r="G822" s="38"/>
      <c r="H822" s="38" t="s">
        <v>493</v>
      </c>
      <c r="I822" s="38" t="s">
        <v>480</v>
      </c>
      <c r="J822" s="49" t="s">
        <v>213</v>
      </c>
      <c r="K822" s="38" t="s">
        <v>480</v>
      </c>
      <c r="L822" s="49" t="s">
        <v>213</v>
      </c>
      <c r="M822" s="54" t="s">
        <v>213</v>
      </c>
    </row>
    <row r="823" spans="1:13" x14ac:dyDescent="0.3">
      <c r="A823" s="37">
        <v>56</v>
      </c>
      <c r="B823" s="38" t="s">
        <v>503</v>
      </c>
      <c r="C823" s="51">
        <v>7896112416135</v>
      </c>
      <c r="D823" s="40" t="s">
        <v>66</v>
      </c>
      <c r="E823" s="40"/>
      <c r="F823" s="40">
        <v>566</v>
      </c>
      <c r="G823" s="38"/>
      <c r="H823" s="38" t="s">
        <v>504</v>
      </c>
      <c r="I823" s="38" t="s">
        <v>487</v>
      </c>
      <c r="J823" s="38" t="s">
        <v>488</v>
      </c>
      <c r="K823" s="38" t="s">
        <v>491</v>
      </c>
      <c r="L823" s="52" t="s">
        <v>213</v>
      </c>
      <c r="M823" s="53" t="s">
        <v>213</v>
      </c>
    </row>
    <row r="824" spans="1:13" x14ac:dyDescent="0.3">
      <c r="A824" s="37">
        <v>56</v>
      </c>
      <c r="B824" s="38" t="s">
        <v>505</v>
      </c>
      <c r="C824" s="51">
        <v>7896112416142</v>
      </c>
      <c r="D824" s="40" t="s">
        <v>66</v>
      </c>
      <c r="E824" s="40"/>
      <c r="F824" s="40">
        <v>566</v>
      </c>
      <c r="G824" s="38"/>
      <c r="H824" s="38" t="s">
        <v>504</v>
      </c>
      <c r="I824" s="38" t="s">
        <v>487</v>
      </c>
      <c r="J824" s="38" t="s">
        <v>488</v>
      </c>
      <c r="K824" s="38" t="s">
        <v>491</v>
      </c>
      <c r="L824" s="52" t="s">
        <v>213</v>
      </c>
      <c r="M824" s="53" t="s">
        <v>213</v>
      </c>
    </row>
    <row r="825" spans="1:13" x14ac:dyDescent="0.3">
      <c r="A825" s="37">
        <v>56</v>
      </c>
      <c r="B825" s="38" t="s">
        <v>506</v>
      </c>
      <c r="C825" s="51">
        <v>7896112422525</v>
      </c>
      <c r="D825" s="40" t="s">
        <v>66</v>
      </c>
      <c r="E825" s="40"/>
      <c r="F825" s="40">
        <v>829</v>
      </c>
      <c r="G825" s="38"/>
      <c r="H825" s="38" t="s">
        <v>486</v>
      </c>
      <c r="I825" s="38" t="s">
        <v>487</v>
      </c>
      <c r="J825" s="38" t="s">
        <v>488</v>
      </c>
      <c r="K825" s="38" t="s">
        <v>489</v>
      </c>
      <c r="L825" s="52" t="s">
        <v>213</v>
      </c>
      <c r="M825" s="53" t="s">
        <v>213</v>
      </c>
    </row>
    <row r="826" spans="1:13" x14ac:dyDescent="0.3">
      <c r="A826" s="37">
        <v>56</v>
      </c>
      <c r="B826" s="38" t="s">
        <v>507</v>
      </c>
      <c r="C826" s="51">
        <v>7896112425410</v>
      </c>
      <c r="D826" s="40" t="s">
        <v>66</v>
      </c>
      <c r="E826" s="40"/>
      <c r="F826" s="40">
        <v>568</v>
      </c>
      <c r="G826" s="38"/>
      <c r="H826" s="38" t="s">
        <v>508</v>
      </c>
      <c r="I826" s="38" t="s">
        <v>487</v>
      </c>
      <c r="J826" s="38" t="s">
        <v>488</v>
      </c>
      <c r="K826" s="38" t="s">
        <v>509</v>
      </c>
      <c r="L826" s="52" t="s">
        <v>213</v>
      </c>
      <c r="M826" s="53" t="s">
        <v>213</v>
      </c>
    </row>
    <row r="827" spans="1:13" x14ac:dyDescent="0.3">
      <c r="A827" s="37">
        <v>56</v>
      </c>
      <c r="B827" s="38" t="s">
        <v>510</v>
      </c>
      <c r="C827" s="51">
        <v>7896112425496</v>
      </c>
      <c r="D827" s="40" t="s">
        <v>66</v>
      </c>
      <c r="E827" s="40"/>
      <c r="F827" s="40">
        <v>568</v>
      </c>
      <c r="G827" s="38"/>
      <c r="H827" s="38" t="s">
        <v>508</v>
      </c>
      <c r="I827" s="38" t="s">
        <v>487</v>
      </c>
      <c r="J827" s="38" t="s">
        <v>488</v>
      </c>
      <c r="K827" s="38" t="s">
        <v>491</v>
      </c>
      <c r="L827" s="52" t="s">
        <v>213</v>
      </c>
      <c r="M827" s="53" t="s">
        <v>213</v>
      </c>
    </row>
    <row r="828" spans="1:13" x14ac:dyDescent="0.3">
      <c r="A828" s="37">
        <v>56</v>
      </c>
      <c r="B828" s="38" t="s">
        <v>511</v>
      </c>
      <c r="C828" s="51">
        <v>7896112427735</v>
      </c>
      <c r="D828" s="40" t="s">
        <v>66</v>
      </c>
      <c r="E828" s="40"/>
      <c r="F828" s="40">
        <v>828</v>
      </c>
      <c r="G828" s="38"/>
      <c r="H828" s="38" t="s">
        <v>512</v>
      </c>
      <c r="I828" s="38" t="s">
        <v>487</v>
      </c>
      <c r="J828" s="38" t="s">
        <v>488</v>
      </c>
      <c r="K828" s="38" t="s">
        <v>489</v>
      </c>
      <c r="L828" s="52" t="s">
        <v>213</v>
      </c>
      <c r="M828" s="53" t="s">
        <v>213</v>
      </c>
    </row>
    <row r="829" spans="1:13" x14ac:dyDescent="0.3">
      <c r="A829" s="37">
        <v>56</v>
      </c>
      <c r="B829" s="38" t="s">
        <v>513</v>
      </c>
      <c r="C829" s="51">
        <v>7896112427773</v>
      </c>
      <c r="D829" s="40" t="s">
        <v>66</v>
      </c>
      <c r="E829" s="40"/>
      <c r="F829" s="40">
        <v>828</v>
      </c>
      <c r="G829" s="38"/>
      <c r="H829" s="38" t="s">
        <v>512</v>
      </c>
      <c r="I829" s="38" t="s">
        <v>487</v>
      </c>
      <c r="J829" s="38" t="s">
        <v>488</v>
      </c>
      <c r="K829" s="38" t="s">
        <v>489</v>
      </c>
      <c r="L829" s="52" t="s">
        <v>213</v>
      </c>
      <c r="M829" s="53" t="s">
        <v>213</v>
      </c>
    </row>
    <row r="830" spans="1:13" x14ac:dyDescent="0.3">
      <c r="A830" s="37">
        <v>56</v>
      </c>
      <c r="B830" s="38" t="s">
        <v>514</v>
      </c>
      <c r="C830" s="51">
        <v>7896112427797</v>
      </c>
      <c r="D830" s="40" t="s">
        <v>66</v>
      </c>
      <c r="E830" s="40"/>
      <c r="F830" s="40">
        <v>828</v>
      </c>
      <c r="G830" s="38"/>
      <c r="H830" s="38" t="s">
        <v>512</v>
      </c>
      <c r="I830" s="38" t="s">
        <v>487</v>
      </c>
      <c r="J830" s="38" t="s">
        <v>488</v>
      </c>
      <c r="K830" s="38" t="s">
        <v>489</v>
      </c>
      <c r="L830" s="52" t="s">
        <v>213</v>
      </c>
      <c r="M830" s="53" t="s">
        <v>213</v>
      </c>
    </row>
    <row r="831" spans="1:13" x14ac:dyDescent="0.3">
      <c r="A831" s="37">
        <v>56</v>
      </c>
      <c r="B831" s="38" t="s">
        <v>515</v>
      </c>
      <c r="C831" s="51">
        <v>7896112427933</v>
      </c>
      <c r="D831" s="40" t="s">
        <v>66</v>
      </c>
      <c r="E831" s="40"/>
      <c r="F831" s="40">
        <v>828</v>
      </c>
      <c r="G831" s="38"/>
      <c r="H831" s="38" t="s">
        <v>512</v>
      </c>
      <c r="I831" s="38" t="s">
        <v>487</v>
      </c>
      <c r="J831" s="38" t="s">
        <v>488</v>
      </c>
      <c r="K831" s="38" t="s">
        <v>489</v>
      </c>
      <c r="L831" s="52" t="s">
        <v>213</v>
      </c>
      <c r="M831" s="53" t="s">
        <v>213</v>
      </c>
    </row>
    <row r="832" spans="1:13" x14ac:dyDescent="0.3">
      <c r="A832" s="37">
        <v>56</v>
      </c>
      <c r="B832" s="38" t="s">
        <v>516</v>
      </c>
      <c r="C832" s="51">
        <v>7896112428015</v>
      </c>
      <c r="D832" s="40" t="s">
        <v>66</v>
      </c>
      <c r="E832" s="40"/>
      <c r="F832" s="40">
        <v>828</v>
      </c>
      <c r="G832" s="38"/>
      <c r="H832" s="38" t="s">
        <v>512</v>
      </c>
      <c r="I832" s="38" t="s">
        <v>487</v>
      </c>
      <c r="J832" s="38" t="s">
        <v>488</v>
      </c>
      <c r="K832" s="38" t="s">
        <v>489</v>
      </c>
      <c r="L832" s="52" t="s">
        <v>213</v>
      </c>
      <c r="M832" s="53" t="s">
        <v>213</v>
      </c>
    </row>
    <row r="833" spans="1:13" x14ac:dyDescent="0.3">
      <c r="A833" s="37">
        <v>56</v>
      </c>
      <c r="B833" s="38" t="s">
        <v>517</v>
      </c>
      <c r="C833" s="51">
        <v>7896112435778</v>
      </c>
      <c r="D833" s="40" t="s">
        <v>66</v>
      </c>
      <c r="E833" s="40"/>
      <c r="F833" s="40">
        <v>828</v>
      </c>
      <c r="G833" s="38"/>
      <c r="H833" s="38" t="s">
        <v>512</v>
      </c>
      <c r="I833" s="38" t="s">
        <v>487</v>
      </c>
      <c r="J833" s="38" t="s">
        <v>488</v>
      </c>
      <c r="K833" s="38" t="s">
        <v>489</v>
      </c>
      <c r="L833" s="52" t="s">
        <v>213</v>
      </c>
      <c r="M833" s="53" t="s">
        <v>213</v>
      </c>
    </row>
    <row r="834" spans="1:13" x14ac:dyDescent="0.3">
      <c r="A834" s="37">
        <v>56</v>
      </c>
      <c r="B834" s="38" t="s">
        <v>518</v>
      </c>
      <c r="C834" s="51">
        <v>7896112470526</v>
      </c>
      <c r="D834" s="40" t="s">
        <v>66</v>
      </c>
      <c r="E834" s="40"/>
      <c r="F834" s="40">
        <v>829</v>
      </c>
      <c r="G834" s="38"/>
      <c r="H834" s="38" t="s">
        <v>486</v>
      </c>
      <c r="I834" s="38" t="s">
        <v>487</v>
      </c>
      <c r="J834" s="38" t="s">
        <v>488</v>
      </c>
      <c r="K834" s="38" t="s">
        <v>489</v>
      </c>
      <c r="L834" s="52" t="s">
        <v>213</v>
      </c>
      <c r="M834" s="53" t="s">
        <v>213</v>
      </c>
    </row>
    <row r="835" spans="1:13" x14ac:dyDescent="0.3">
      <c r="A835" s="37">
        <v>56</v>
      </c>
      <c r="B835" s="38" t="s">
        <v>519</v>
      </c>
      <c r="C835" s="51">
        <v>7896112470830</v>
      </c>
      <c r="D835" s="40" t="s">
        <v>66</v>
      </c>
      <c r="E835" s="40"/>
      <c r="F835" s="40">
        <v>829</v>
      </c>
      <c r="G835" s="38"/>
      <c r="H835" s="38" t="s">
        <v>486</v>
      </c>
      <c r="I835" s="38" t="s">
        <v>487</v>
      </c>
      <c r="J835" s="38" t="s">
        <v>488</v>
      </c>
      <c r="K835" s="38" t="s">
        <v>489</v>
      </c>
      <c r="L835" s="52" t="s">
        <v>213</v>
      </c>
      <c r="M835" s="53" t="s">
        <v>213</v>
      </c>
    </row>
    <row r="836" spans="1:13" x14ac:dyDescent="0.3">
      <c r="A836" s="37">
        <v>56</v>
      </c>
      <c r="B836" s="38" t="s">
        <v>520</v>
      </c>
      <c r="C836" s="51">
        <v>7896112471165</v>
      </c>
      <c r="D836" s="40" t="s">
        <v>66</v>
      </c>
      <c r="E836" s="40"/>
      <c r="F836" s="40">
        <v>829</v>
      </c>
      <c r="G836" s="38"/>
      <c r="H836" s="38" t="s">
        <v>486</v>
      </c>
      <c r="I836" s="38" t="s">
        <v>487</v>
      </c>
      <c r="J836" s="38" t="s">
        <v>488</v>
      </c>
      <c r="K836" s="38" t="s">
        <v>489</v>
      </c>
      <c r="L836" s="52" t="s">
        <v>213</v>
      </c>
      <c r="M836" s="53" t="s">
        <v>213</v>
      </c>
    </row>
    <row r="837" spans="1:13" x14ac:dyDescent="0.3">
      <c r="A837" s="37">
        <v>56</v>
      </c>
      <c r="B837" s="38" t="s">
        <v>521</v>
      </c>
      <c r="C837" s="51">
        <v>7896241248430</v>
      </c>
      <c r="D837" s="40" t="s">
        <v>66</v>
      </c>
      <c r="E837" s="40"/>
      <c r="F837" s="40">
        <v>566</v>
      </c>
      <c r="G837" s="38"/>
      <c r="H837" s="38" t="s">
        <v>504</v>
      </c>
      <c r="I837" s="38" t="s">
        <v>487</v>
      </c>
      <c r="J837" s="38" t="s">
        <v>488</v>
      </c>
      <c r="K837" s="38" t="s">
        <v>491</v>
      </c>
      <c r="L837" s="52" t="s">
        <v>213</v>
      </c>
      <c r="M837" s="53" t="s">
        <v>213</v>
      </c>
    </row>
    <row r="838" spans="1:13" x14ac:dyDescent="0.3">
      <c r="A838" s="37">
        <v>56</v>
      </c>
      <c r="B838" s="38" t="s">
        <v>522</v>
      </c>
      <c r="C838" s="51">
        <v>7898146828229</v>
      </c>
      <c r="D838" s="40" t="s">
        <v>66</v>
      </c>
      <c r="E838" s="40"/>
      <c r="F838" s="40">
        <v>902</v>
      </c>
      <c r="G838" s="38"/>
      <c r="H838" s="38" t="s">
        <v>523</v>
      </c>
      <c r="I838" s="38" t="s">
        <v>487</v>
      </c>
      <c r="J838" s="38" t="s">
        <v>488</v>
      </c>
      <c r="K838" s="38" t="s">
        <v>491</v>
      </c>
      <c r="L838" s="52" t="s">
        <v>213</v>
      </c>
      <c r="M838" s="53" t="s">
        <v>213</v>
      </c>
    </row>
    <row r="839" spans="1:13" x14ac:dyDescent="0.3">
      <c r="A839" s="37">
        <v>56</v>
      </c>
      <c r="B839" s="38" t="s">
        <v>524</v>
      </c>
      <c r="C839" s="51">
        <v>7898146828311</v>
      </c>
      <c r="D839" s="40" t="s">
        <v>66</v>
      </c>
      <c r="E839" s="40"/>
      <c r="F839" s="40">
        <v>902</v>
      </c>
      <c r="G839" s="38"/>
      <c r="H839" s="38" t="s">
        <v>523</v>
      </c>
      <c r="I839" s="38" t="s">
        <v>487</v>
      </c>
      <c r="J839" s="38" t="s">
        <v>488</v>
      </c>
      <c r="K839" s="38" t="s">
        <v>491</v>
      </c>
      <c r="L839" s="52" t="s">
        <v>213</v>
      </c>
      <c r="M839" s="53" t="s">
        <v>213</v>
      </c>
    </row>
    <row r="840" spans="1:13" x14ac:dyDescent="0.3">
      <c r="A840" s="37">
        <v>56</v>
      </c>
      <c r="B840" s="38" t="s">
        <v>525</v>
      </c>
      <c r="C840" s="51">
        <v>7898146828403</v>
      </c>
      <c r="D840" s="40" t="s">
        <v>66</v>
      </c>
      <c r="E840" s="40"/>
      <c r="F840" s="40">
        <v>902</v>
      </c>
      <c r="G840" s="38"/>
      <c r="H840" s="38" t="s">
        <v>523</v>
      </c>
      <c r="I840" s="38" t="s">
        <v>487</v>
      </c>
      <c r="J840" s="38" t="s">
        <v>488</v>
      </c>
      <c r="K840" s="38" t="s">
        <v>491</v>
      </c>
      <c r="L840" s="52" t="s">
        <v>213</v>
      </c>
      <c r="M840" s="53" t="s">
        <v>213</v>
      </c>
    </row>
    <row r="841" spans="1:13" x14ac:dyDescent="0.3">
      <c r="A841" s="37">
        <v>56</v>
      </c>
      <c r="B841" s="38" t="s">
        <v>526</v>
      </c>
      <c r="C841" s="51">
        <v>7898549757133</v>
      </c>
      <c r="D841" s="40" t="s">
        <v>66</v>
      </c>
      <c r="E841" s="40"/>
      <c r="F841" s="40">
        <v>973</v>
      </c>
      <c r="G841" s="38"/>
      <c r="H841" s="38" t="s">
        <v>527</v>
      </c>
      <c r="I841" s="38" t="s">
        <v>487</v>
      </c>
      <c r="J841" s="38" t="s">
        <v>488</v>
      </c>
      <c r="K841" s="38" t="s">
        <v>491</v>
      </c>
      <c r="L841" s="52" t="s">
        <v>213</v>
      </c>
      <c r="M841" s="53" t="s">
        <v>213</v>
      </c>
    </row>
    <row r="842" spans="1:13" x14ac:dyDescent="0.3">
      <c r="A842" s="37">
        <v>56</v>
      </c>
      <c r="B842" s="38" t="s">
        <v>528</v>
      </c>
      <c r="C842" s="51">
        <v>7899551309259</v>
      </c>
      <c r="D842" s="40" t="s">
        <v>66</v>
      </c>
      <c r="E842" s="40"/>
      <c r="F842" s="40">
        <v>931</v>
      </c>
      <c r="G842" s="38"/>
      <c r="H842" s="38" t="s">
        <v>529</v>
      </c>
      <c r="I842" s="38" t="s">
        <v>498</v>
      </c>
      <c r="J842" s="38" t="s">
        <v>499</v>
      </c>
      <c r="K842" s="38" t="s">
        <v>530</v>
      </c>
      <c r="L842" s="52" t="s">
        <v>213</v>
      </c>
      <c r="M842" s="53" t="s">
        <v>213</v>
      </c>
    </row>
    <row r="843" spans="1:13" x14ac:dyDescent="0.3">
      <c r="A843" s="37">
        <v>85</v>
      </c>
      <c r="B843" s="38" t="s">
        <v>531</v>
      </c>
      <c r="C843" s="51">
        <v>7898616360082</v>
      </c>
      <c r="D843" s="40" t="s">
        <v>72</v>
      </c>
      <c r="E843" s="40"/>
      <c r="F843" s="40">
        <v>990</v>
      </c>
      <c r="G843" s="38"/>
      <c r="H843" s="38" t="s">
        <v>532</v>
      </c>
      <c r="I843" s="38" t="s">
        <v>487</v>
      </c>
      <c r="J843" s="38" t="s">
        <v>499</v>
      </c>
      <c r="K843" s="38" t="s">
        <v>533</v>
      </c>
      <c r="L843" s="52" t="s">
        <v>213</v>
      </c>
      <c r="M843" s="53" t="s">
        <v>213</v>
      </c>
    </row>
    <row r="844" spans="1:13" x14ac:dyDescent="0.3">
      <c r="A844" s="37">
        <v>85</v>
      </c>
      <c r="B844" s="38" t="s">
        <v>531</v>
      </c>
      <c r="C844" s="51">
        <v>7898616360082</v>
      </c>
      <c r="D844" s="40" t="s">
        <v>72</v>
      </c>
      <c r="E844" s="40"/>
      <c r="F844" s="40">
        <v>991</v>
      </c>
      <c r="G844" s="38"/>
      <c r="H844" s="38" t="s">
        <v>534</v>
      </c>
      <c r="I844" s="38" t="s">
        <v>487</v>
      </c>
      <c r="J844" s="38" t="s">
        <v>499</v>
      </c>
      <c r="K844" s="38" t="s">
        <v>533</v>
      </c>
      <c r="L844" s="52" t="s">
        <v>213</v>
      </c>
      <c r="M844" s="53" t="s">
        <v>213</v>
      </c>
    </row>
    <row r="845" spans="1:13" x14ac:dyDescent="0.3">
      <c r="A845" s="37">
        <v>85</v>
      </c>
      <c r="B845" s="38" t="s">
        <v>535</v>
      </c>
      <c r="C845" s="51">
        <v>7898616360150</v>
      </c>
      <c r="D845" s="40" t="s">
        <v>72</v>
      </c>
      <c r="E845" s="40"/>
      <c r="F845" s="40">
        <v>957</v>
      </c>
      <c r="G845" s="38"/>
      <c r="H845" s="38" t="s">
        <v>536</v>
      </c>
      <c r="I845" s="38" t="s">
        <v>487</v>
      </c>
      <c r="J845" s="38" t="s">
        <v>323</v>
      </c>
      <c r="K845" s="38" t="s">
        <v>537</v>
      </c>
      <c r="L845" s="52" t="s">
        <v>213</v>
      </c>
      <c r="M845" s="53" t="s">
        <v>213</v>
      </c>
    </row>
    <row r="846" spans="1:13" x14ac:dyDescent="0.3">
      <c r="A846" s="37">
        <v>85</v>
      </c>
      <c r="B846" s="38" t="s">
        <v>535</v>
      </c>
      <c r="C846" s="51">
        <v>7898616360150</v>
      </c>
      <c r="D846" s="40" t="s">
        <v>72</v>
      </c>
      <c r="E846" s="40"/>
      <c r="F846" s="40">
        <v>982</v>
      </c>
      <c r="G846" s="38"/>
      <c r="H846" s="38" t="s">
        <v>538</v>
      </c>
      <c r="I846" s="38" t="s">
        <v>539</v>
      </c>
      <c r="J846" s="38" t="s">
        <v>499</v>
      </c>
      <c r="K846" s="38" t="s">
        <v>540</v>
      </c>
      <c r="L846" s="52" t="s">
        <v>213</v>
      </c>
      <c r="M846" s="53" t="s">
        <v>213</v>
      </c>
    </row>
    <row r="847" spans="1:13" x14ac:dyDescent="0.3">
      <c r="A847" s="37">
        <v>85</v>
      </c>
      <c r="B847" s="38" t="s">
        <v>541</v>
      </c>
      <c r="C847" s="51">
        <v>7898616360167</v>
      </c>
      <c r="D847" s="40" t="s">
        <v>72</v>
      </c>
      <c r="E847" s="40"/>
      <c r="F847" s="40">
        <v>982</v>
      </c>
      <c r="G847" s="38"/>
      <c r="H847" s="38" t="s">
        <v>538</v>
      </c>
      <c r="I847" s="38" t="s">
        <v>539</v>
      </c>
      <c r="J847" s="55" t="s">
        <v>499</v>
      </c>
      <c r="K847" s="55" t="s">
        <v>540</v>
      </c>
      <c r="L847" s="52" t="s">
        <v>213</v>
      </c>
      <c r="M847" s="53" t="s">
        <v>213</v>
      </c>
    </row>
    <row r="848" spans="1:13" x14ac:dyDescent="0.3">
      <c r="A848" s="37">
        <v>85</v>
      </c>
      <c r="B848" s="38" t="s">
        <v>541</v>
      </c>
      <c r="C848" s="51">
        <v>7898616360167</v>
      </c>
      <c r="D848" s="40" t="s">
        <v>72</v>
      </c>
      <c r="E848" s="40"/>
      <c r="F848" s="40">
        <v>957</v>
      </c>
      <c r="G848" s="38"/>
      <c r="H848" s="38" t="s">
        <v>536</v>
      </c>
      <c r="I848" s="38" t="s">
        <v>487</v>
      </c>
      <c r="J848" s="38" t="s">
        <v>323</v>
      </c>
      <c r="K848" s="38" t="s">
        <v>542</v>
      </c>
      <c r="L848" s="52" t="s">
        <v>213</v>
      </c>
      <c r="M848" s="53" t="s">
        <v>213</v>
      </c>
    </row>
    <row r="849" spans="1:13" x14ac:dyDescent="0.3">
      <c r="A849" s="37">
        <v>85</v>
      </c>
      <c r="B849" s="38" t="s">
        <v>543</v>
      </c>
      <c r="C849" s="51">
        <v>7898616360204</v>
      </c>
      <c r="D849" s="40" t="s">
        <v>72</v>
      </c>
      <c r="E849" s="40"/>
      <c r="F849" s="40">
        <v>957</v>
      </c>
      <c r="G849" s="38"/>
      <c r="H849" s="38" t="s">
        <v>536</v>
      </c>
      <c r="I849" s="38" t="s">
        <v>487</v>
      </c>
      <c r="J849" s="38" t="s">
        <v>323</v>
      </c>
      <c r="K849" s="38" t="s">
        <v>537</v>
      </c>
      <c r="L849" s="52" t="s">
        <v>213</v>
      </c>
      <c r="M849" s="53" t="s">
        <v>213</v>
      </c>
    </row>
    <row r="850" spans="1:13" x14ac:dyDescent="0.3">
      <c r="A850" s="37">
        <v>85</v>
      </c>
      <c r="B850" s="38" t="s">
        <v>543</v>
      </c>
      <c r="C850" s="51">
        <v>7898616360204</v>
      </c>
      <c r="D850" s="40" t="s">
        <v>72</v>
      </c>
      <c r="E850" s="40"/>
      <c r="F850" s="40">
        <v>982</v>
      </c>
      <c r="G850" s="38"/>
      <c r="H850" s="38" t="s">
        <v>538</v>
      </c>
      <c r="I850" s="38" t="s">
        <v>539</v>
      </c>
      <c r="J850" s="38" t="s">
        <v>499</v>
      </c>
      <c r="K850" s="38" t="s">
        <v>540</v>
      </c>
      <c r="L850" s="52" t="s">
        <v>213</v>
      </c>
      <c r="M850" s="53" t="s">
        <v>213</v>
      </c>
    </row>
    <row r="851" spans="1:13" x14ac:dyDescent="0.3">
      <c r="A851" s="37">
        <v>85</v>
      </c>
      <c r="B851" s="38" t="s">
        <v>42</v>
      </c>
      <c r="C851" s="51">
        <v>7898616360563</v>
      </c>
      <c r="D851" s="40" t="s">
        <v>72</v>
      </c>
      <c r="E851" s="40"/>
      <c r="F851" s="40">
        <v>980</v>
      </c>
      <c r="G851" s="38"/>
      <c r="H851" s="38" t="s">
        <v>544</v>
      </c>
      <c r="I851" s="38" t="s">
        <v>545</v>
      </c>
      <c r="J851" s="38" t="s">
        <v>499</v>
      </c>
      <c r="K851" s="38" t="s">
        <v>546</v>
      </c>
      <c r="L851" s="52" t="s">
        <v>213</v>
      </c>
      <c r="M851" s="53" t="s">
        <v>213</v>
      </c>
    </row>
    <row r="852" spans="1:13" x14ac:dyDescent="0.3">
      <c r="A852" s="37">
        <v>76</v>
      </c>
      <c r="B852" s="38" t="s">
        <v>547</v>
      </c>
      <c r="C852" s="51">
        <v>7896026302999</v>
      </c>
      <c r="D852" s="40" t="s">
        <v>71</v>
      </c>
      <c r="E852" s="40"/>
      <c r="F852" s="40">
        <v>287</v>
      </c>
      <c r="G852" s="38"/>
      <c r="H852" s="38" t="s">
        <v>548</v>
      </c>
      <c r="I852" s="38" t="s">
        <v>351</v>
      </c>
      <c r="J852" s="38" t="s">
        <v>549</v>
      </c>
      <c r="K852" s="38" t="s">
        <v>550</v>
      </c>
      <c r="L852" s="52" t="s">
        <v>213</v>
      </c>
      <c r="M852" s="53" t="s">
        <v>213</v>
      </c>
    </row>
    <row r="853" spans="1:13" x14ac:dyDescent="0.3">
      <c r="A853" s="37">
        <v>76</v>
      </c>
      <c r="B853" s="38" t="s">
        <v>547</v>
      </c>
      <c r="C853" s="51">
        <v>7896026302999</v>
      </c>
      <c r="D853" s="40" t="s">
        <v>71</v>
      </c>
      <c r="E853" s="40"/>
      <c r="F853" s="40">
        <v>950</v>
      </c>
      <c r="G853" s="38"/>
      <c r="H853" s="38" t="s">
        <v>551</v>
      </c>
      <c r="I853" s="38" t="s">
        <v>322</v>
      </c>
      <c r="J853" s="38" t="s">
        <v>552</v>
      </c>
      <c r="K853" s="38" t="s">
        <v>553</v>
      </c>
      <c r="L853" s="52" t="s">
        <v>213</v>
      </c>
      <c r="M853" s="53" t="s">
        <v>213</v>
      </c>
    </row>
    <row r="854" spans="1:13" x14ac:dyDescent="0.3">
      <c r="A854" s="37">
        <v>76</v>
      </c>
      <c r="B854" s="38" t="s">
        <v>38</v>
      </c>
      <c r="C854" s="51">
        <v>7896026304016</v>
      </c>
      <c r="D854" s="40" t="s">
        <v>71</v>
      </c>
      <c r="E854" s="40"/>
      <c r="F854" s="40">
        <v>843</v>
      </c>
      <c r="G854" s="38"/>
      <c r="H854" s="38" t="s">
        <v>554</v>
      </c>
      <c r="I854" s="38" t="s">
        <v>88</v>
      </c>
      <c r="J854" s="38" t="s">
        <v>488</v>
      </c>
      <c r="K854" s="38" t="s">
        <v>555</v>
      </c>
      <c r="L854" s="52" t="s">
        <v>213</v>
      </c>
      <c r="M854" s="53" t="s">
        <v>213</v>
      </c>
    </row>
    <row r="855" spans="1:13" x14ac:dyDescent="0.3">
      <c r="A855" s="37">
        <v>76</v>
      </c>
      <c r="B855" s="38" t="s">
        <v>38</v>
      </c>
      <c r="C855" s="51">
        <v>7896026304016</v>
      </c>
      <c r="D855" s="40" t="s">
        <v>71</v>
      </c>
      <c r="E855" s="40"/>
      <c r="F855" s="40">
        <v>849</v>
      </c>
      <c r="G855" s="38"/>
      <c r="H855" s="38" t="s">
        <v>556</v>
      </c>
      <c r="I855" s="38" t="s">
        <v>88</v>
      </c>
      <c r="J855" s="38" t="s">
        <v>557</v>
      </c>
      <c r="K855" s="38" t="s">
        <v>555</v>
      </c>
      <c r="L855" s="52" t="s">
        <v>213</v>
      </c>
      <c r="M855" s="53" t="s">
        <v>213</v>
      </c>
    </row>
    <row r="856" spans="1:13" x14ac:dyDescent="0.3">
      <c r="A856" s="37">
        <v>76</v>
      </c>
      <c r="B856" s="38" t="s">
        <v>38</v>
      </c>
      <c r="C856" s="51">
        <v>7896026304016</v>
      </c>
      <c r="D856" s="40" t="s">
        <v>71</v>
      </c>
      <c r="E856" s="40"/>
      <c r="F856" s="40">
        <v>853</v>
      </c>
      <c r="G856" s="38"/>
      <c r="H856" s="38" t="s">
        <v>558</v>
      </c>
      <c r="I856" s="38" t="s">
        <v>88</v>
      </c>
      <c r="J856" s="38" t="s">
        <v>559</v>
      </c>
      <c r="K856" s="38" t="s">
        <v>555</v>
      </c>
      <c r="L856" s="52" t="s">
        <v>213</v>
      </c>
      <c r="M856" s="53" t="s">
        <v>213</v>
      </c>
    </row>
    <row r="857" spans="1:13" x14ac:dyDescent="0.3">
      <c r="A857" s="37">
        <v>76</v>
      </c>
      <c r="B857" s="38" t="s">
        <v>560</v>
      </c>
      <c r="C857" s="51">
        <v>7896026304245</v>
      </c>
      <c r="D857" s="40" t="s">
        <v>71</v>
      </c>
      <c r="E857" s="40"/>
      <c r="F857" s="40">
        <v>844</v>
      </c>
      <c r="G857" s="38"/>
      <c r="H857" s="38" t="s">
        <v>561</v>
      </c>
      <c r="I857" s="38" t="s">
        <v>88</v>
      </c>
      <c r="J857" s="38" t="s">
        <v>488</v>
      </c>
      <c r="K857" s="38" t="s">
        <v>562</v>
      </c>
      <c r="L857" s="52" t="s">
        <v>213</v>
      </c>
      <c r="M857" s="53" t="s">
        <v>213</v>
      </c>
    </row>
    <row r="858" spans="1:13" x14ac:dyDescent="0.3">
      <c r="A858" s="37">
        <v>76</v>
      </c>
      <c r="B858" s="38" t="s">
        <v>563</v>
      </c>
      <c r="C858" s="51">
        <v>7896026304245</v>
      </c>
      <c r="D858" s="40" t="s">
        <v>71</v>
      </c>
      <c r="E858" s="40"/>
      <c r="F858" s="40">
        <v>844</v>
      </c>
      <c r="G858" s="38"/>
      <c r="H858" s="38" t="s">
        <v>561</v>
      </c>
      <c r="I858" s="38" t="s">
        <v>88</v>
      </c>
      <c r="J858" s="38" t="s">
        <v>488</v>
      </c>
      <c r="K858" s="38" t="s">
        <v>562</v>
      </c>
      <c r="L858" s="52" t="s">
        <v>213</v>
      </c>
      <c r="M858" s="53" t="s">
        <v>213</v>
      </c>
    </row>
    <row r="859" spans="1:13" x14ac:dyDescent="0.3">
      <c r="A859" s="37">
        <v>76</v>
      </c>
      <c r="B859" s="38" t="s">
        <v>560</v>
      </c>
      <c r="C859" s="51">
        <v>7896026304245</v>
      </c>
      <c r="D859" s="40" t="s">
        <v>71</v>
      </c>
      <c r="E859" s="40"/>
      <c r="F859" s="40">
        <v>850</v>
      </c>
      <c r="G859" s="38"/>
      <c r="H859" s="38" t="s">
        <v>564</v>
      </c>
      <c r="I859" s="38" t="s">
        <v>88</v>
      </c>
      <c r="J859" s="38" t="s">
        <v>557</v>
      </c>
      <c r="K859" s="38" t="s">
        <v>562</v>
      </c>
      <c r="L859" s="52" t="s">
        <v>213</v>
      </c>
      <c r="M859" s="53" t="s">
        <v>213</v>
      </c>
    </row>
    <row r="860" spans="1:13" x14ac:dyDescent="0.3">
      <c r="A860" s="37">
        <v>76</v>
      </c>
      <c r="B860" s="38" t="s">
        <v>563</v>
      </c>
      <c r="C860" s="51">
        <v>7896026304245</v>
      </c>
      <c r="D860" s="40" t="s">
        <v>71</v>
      </c>
      <c r="E860" s="40"/>
      <c r="F860" s="40">
        <v>850</v>
      </c>
      <c r="G860" s="38"/>
      <c r="H860" s="38" t="s">
        <v>564</v>
      </c>
      <c r="I860" s="38" t="s">
        <v>88</v>
      </c>
      <c r="J860" s="38" t="s">
        <v>557</v>
      </c>
      <c r="K860" s="38" t="s">
        <v>562</v>
      </c>
      <c r="L860" s="52" t="s">
        <v>213</v>
      </c>
      <c r="M860" s="53" t="s">
        <v>213</v>
      </c>
    </row>
    <row r="861" spans="1:13" x14ac:dyDescent="0.3">
      <c r="A861" s="37">
        <v>76</v>
      </c>
      <c r="B861" s="38" t="s">
        <v>560</v>
      </c>
      <c r="C861" s="51">
        <v>7896026304245</v>
      </c>
      <c r="D861" s="40" t="s">
        <v>71</v>
      </c>
      <c r="E861" s="40"/>
      <c r="F861" s="40">
        <v>854</v>
      </c>
      <c r="G861" s="38"/>
      <c r="H861" s="38" t="s">
        <v>565</v>
      </c>
      <c r="I861" s="38" t="s">
        <v>88</v>
      </c>
      <c r="J861" s="38" t="s">
        <v>559</v>
      </c>
      <c r="K861" s="38" t="s">
        <v>562</v>
      </c>
      <c r="L861" s="52" t="s">
        <v>213</v>
      </c>
      <c r="M861" s="53" t="s">
        <v>213</v>
      </c>
    </row>
    <row r="862" spans="1:13" x14ac:dyDescent="0.3">
      <c r="A862" s="37">
        <v>76</v>
      </c>
      <c r="B862" s="38" t="s">
        <v>563</v>
      </c>
      <c r="C862" s="51">
        <v>7896026304245</v>
      </c>
      <c r="D862" s="40" t="s">
        <v>71</v>
      </c>
      <c r="E862" s="40"/>
      <c r="F862" s="40">
        <v>854</v>
      </c>
      <c r="G862" s="38"/>
      <c r="H862" s="38" t="s">
        <v>565</v>
      </c>
      <c r="I862" s="38" t="s">
        <v>88</v>
      </c>
      <c r="J862" s="38" t="s">
        <v>559</v>
      </c>
      <c r="K862" s="38" t="s">
        <v>562</v>
      </c>
      <c r="L862" s="52" t="s">
        <v>213</v>
      </c>
      <c r="M862" s="53" t="s">
        <v>213</v>
      </c>
    </row>
    <row r="863" spans="1:13" x14ac:dyDescent="0.3">
      <c r="A863" s="37">
        <v>76</v>
      </c>
      <c r="B863" s="38" t="s">
        <v>566</v>
      </c>
      <c r="C863" s="51">
        <v>7896026304276</v>
      </c>
      <c r="D863" s="40" t="s">
        <v>71</v>
      </c>
      <c r="E863" s="40"/>
      <c r="F863" s="40">
        <v>844</v>
      </c>
      <c r="G863" s="38"/>
      <c r="H863" s="38" t="s">
        <v>561</v>
      </c>
      <c r="I863" s="38" t="s">
        <v>88</v>
      </c>
      <c r="J863" s="38" t="s">
        <v>488</v>
      </c>
      <c r="K863" s="38" t="s">
        <v>567</v>
      </c>
      <c r="L863" s="52" t="s">
        <v>213</v>
      </c>
      <c r="M863" s="53" t="s">
        <v>213</v>
      </c>
    </row>
    <row r="864" spans="1:13" x14ac:dyDescent="0.3">
      <c r="A864" s="37">
        <v>76</v>
      </c>
      <c r="B864" s="38" t="s">
        <v>566</v>
      </c>
      <c r="C864" s="51">
        <v>7896026304276</v>
      </c>
      <c r="D864" s="40" t="s">
        <v>71</v>
      </c>
      <c r="E864" s="40"/>
      <c r="F864" s="40">
        <v>850</v>
      </c>
      <c r="G864" s="38"/>
      <c r="H864" s="38" t="s">
        <v>564</v>
      </c>
      <c r="I864" s="38" t="s">
        <v>88</v>
      </c>
      <c r="J864" s="38" t="s">
        <v>557</v>
      </c>
      <c r="K864" s="38" t="s">
        <v>567</v>
      </c>
      <c r="L864" s="52" t="s">
        <v>213</v>
      </c>
      <c r="M864" s="53" t="s">
        <v>213</v>
      </c>
    </row>
    <row r="865" spans="1:13" x14ac:dyDescent="0.3">
      <c r="A865" s="37">
        <v>76</v>
      </c>
      <c r="B865" s="38" t="s">
        <v>566</v>
      </c>
      <c r="C865" s="51">
        <v>7896026304276</v>
      </c>
      <c r="D865" s="40" t="s">
        <v>71</v>
      </c>
      <c r="E865" s="40"/>
      <c r="F865" s="40">
        <v>854</v>
      </c>
      <c r="G865" s="38"/>
      <c r="H865" s="38" t="s">
        <v>565</v>
      </c>
      <c r="I865" s="38" t="s">
        <v>88</v>
      </c>
      <c r="J865" s="38" t="s">
        <v>559</v>
      </c>
      <c r="K865" s="38" t="s">
        <v>567</v>
      </c>
      <c r="L865" s="52" t="s">
        <v>213</v>
      </c>
      <c r="M865" s="53" t="s">
        <v>213</v>
      </c>
    </row>
    <row r="866" spans="1:13" x14ac:dyDescent="0.3">
      <c r="A866" s="37">
        <v>76</v>
      </c>
      <c r="B866" s="38" t="s">
        <v>568</v>
      </c>
      <c r="C866" s="51">
        <v>7896026304306</v>
      </c>
      <c r="D866" s="40" t="s">
        <v>71</v>
      </c>
      <c r="E866" s="40"/>
      <c r="F866" s="40">
        <v>843</v>
      </c>
      <c r="G866" s="38"/>
      <c r="H866" s="38" t="s">
        <v>554</v>
      </c>
      <c r="I866" s="38" t="s">
        <v>88</v>
      </c>
      <c r="J866" s="38" t="s">
        <v>488</v>
      </c>
      <c r="K866" s="38" t="s">
        <v>569</v>
      </c>
      <c r="L866" s="52" t="s">
        <v>213</v>
      </c>
      <c r="M866" s="53" t="s">
        <v>213</v>
      </c>
    </row>
    <row r="867" spans="1:13" x14ac:dyDescent="0.3">
      <c r="A867" s="37">
        <v>76</v>
      </c>
      <c r="B867" s="38" t="s">
        <v>570</v>
      </c>
      <c r="C867" s="51">
        <v>7896026304306</v>
      </c>
      <c r="D867" s="40" t="s">
        <v>71</v>
      </c>
      <c r="E867" s="40"/>
      <c r="F867" s="40">
        <v>843</v>
      </c>
      <c r="G867" s="38"/>
      <c r="H867" s="38" t="s">
        <v>554</v>
      </c>
      <c r="I867" s="38" t="s">
        <v>88</v>
      </c>
      <c r="J867" s="38" t="s">
        <v>488</v>
      </c>
      <c r="K867" s="38" t="s">
        <v>569</v>
      </c>
      <c r="L867" s="52" t="s">
        <v>213</v>
      </c>
      <c r="M867" s="53" t="s">
        <v>213</v>
      </c>
    </row>
    <row r="868" spans="1:13" x14ac:dyDescent="0.3">
      <c r="A868" s="37">
        <v>76</v>
      </c>
      <c r="B868" s="38" t="s">
        <v>568</v>
      </c>
      <c r="C868" s="51">
        <v>7896026304306</v>
      </c>
      <c r="D868" s="40" t="s">
        <v>71</v>
      </c>
      <c r="E868" s="40"/>
      <c r="F868" s="40">
        <v>849</v>
      </c>
      <c r="G868" s="38"/>
      <c r="H868" s="38" t="s">
        <v>556</v>
      </c>
      <c r="I868" s="38" t="s">
        <v>88</v>
      </c>
      <c r="J868" s="38" t="s">
        <v>557</v>
      </c>
      <c r="K868" s="38" t="s">
        <v>569</v>
      </c>
      <c r="L868" s="52" t="s">
        <v>213</v>
      </c>
      <c r="M868" s="53" t="s">
        <v>213</v>
      </c>
    </row>
    <row r="869" spans="1:13" x14ac:dyDescent="0.3">
      <c r="A869" s="37">
        <v>76</v>
      </c>
      <c r="B869" s="38" t="s">
        <v>570</v>
      </c>
      <c r="C869" s="51">
        <v>7896026304306</v>
      </c>
      <c r="D869" s="40" t="s">
        <v>71</v>
      </c>
      <c r="E869" s="40"/>
      <c r="F869" s="40">
        <v>849</v>
      </c>
      <c r="G869" s="38"/>
      <c r="H869" s="38" t="s">
        <v>556</v>
      </c>
      <c r="I869" s="38" t="s">
        <v>88</v>
      </c>
      <c r="J869" s="38" t="s">
        <v>557</v>
      </c>
      <c r="K869" s="38" t="s">
        <v>569</v>
      </c>
      <c r="L869" s="52" t="s">
        <v>213</v>
      </c>
      <c r="M869" s="53" t="s">
        <v>213</v>
      </c>
    </row>
    <row r="870" spans="1:13" x14ac:dyDescent="0.3">
      <c r="A870" s="37">
        <v>76</v>
      </c>
      <c r="B870" s="38" t="s">
        <v>568</v>
      </c>
      <c r="C870" s="51">
        <v>7896026304306</v>
      </c>
      <c r="D870" s="40" t="s">
        <v>71</v>
      </c>
      <c r="E870" s="40"/>
      <c r="F870" s="40">
        <v>853</v>
      </c>
      <c r="G870" s="38"/>
      <c r="H870" s="38" t="s">
        <v>558</v>
      </c>
      <c r="I870" s="38" t="s">
        <v>88</v>
      </c>
      <c r="J870" s="38" t="s">
        <v>559</v>
      </c>
      <c r="K870" s="38" t="s">
        <v>569</v>
      </c>
      <c r="L870" s="52" t="s">
        <v>213</v>
      </c>
      <c r="M870" s="53" t="s">
        <v>213</v>
      </c>
    </row>
    <row r="871" spans="1:13" x14ac:dyDescent="0.3">
      <c r="A871" s="37">
        <v>76</v>
      </c>
      <c r="B871" s="38" t="s">
        <v>570</v>
      </c>
      <c r="C871" s="51">
        <v>7896026304306</v>
      </c>
      <c r="D871" s="40" t="s">
        <v>71</v>
      </c>
      <c r="E871" s="40"/>
      <c r="F871" s="40">
        <v>853</v>
      </c>
      <c r="G871" s="38"/>
      <c r="H871" s="38" t="s">
        <v>558</v>
      </c>
      <c r="I871" s="38" t="s">
        <v>88</v>
      </c>
      <c r="J871" s="38" t="s">
        <v>559</v>
      </c>
      <c r="K871" s="38" t="s">
        <v>569</v>
      </c>
      <c r="L871" s="52" t="s">
        <v>213</v>
      </c>
      <c r="M871" s="53" t="s">
        <v>213</v>
      </c>
    </row>
    <row r="872" spans="1:13" x14ac:dyDescent="0.3">
      <c r="A872" s="37">
        <v>76</v>
      </c>
      <c r="B872" s="38" t="s">
        <v>571</v>
      </c>
      <c r="C872" s="51">
        <v>7896026304337</v>
      </c>
      <c r="D872" s="40" t="s">
        <v>71</v>
      </c>
      <c r="E872" s="40"/>
      <c r="F872" s="40">
        <v>843</v>
      </c>
      <c r="G872" s="38"/>
      <c r="H872" s="38" t="s">
        <v>554</v>
      </c>
      <c r="I872" s="38" t="s">
        <v>88</v>
      </c>
      <c r="J872" s="38" t="s">
        <v>488</v>
      </c>
      <c r="K872" s="38" t="s">
        <v>555</v>
      </c>
      <c r="L872" s="52" t="s">
        <v>213</v>
      </c>
      <c r="M872" s="53" t="s">
        <v>213</v>
      </c>
    </row>
    <row r="873" spans="1:13" x14ac:dyDescent="0.3">
      <c r="A873" s="37">
        <v>76</v>
      </c>
      <c r="B873" s="38" t="s">
        <v>571</v>
      </c>
      <c r="C873" s="51">
        <v>7896026304337</v>
      </c>
      <c r="D873" s="40" t="s">
        <v>71</v>
      </c>
      <c r="E873" s="40"/>
      <c r="F873" s="40">
        <v>849</v>
      </c>
      <c r="G873" s="38"/>
      <c r="H873" s="38" t="s">
        <v>556</v>
      </c>
      <c r="I873" s="38" t="s">
        <v>88</v>
      </c>
      <c r="J873" s="38" t="s">
        <v>557</v>
      </c>
      <c r="K873" s="38" t="s">
        <v>555</v>
      </c>
      <c r="L873" s="52" t="s">
        <v>213</v>
      </c>
      <c r="M873" s="53" t="s">
        <v>213</v>
      </c>
    </row>
    <row r="874" spans="1:13" x14ac:dyDescent="0.3">
      <c r="A874" s="37">
        <v>76</v>
      </c>
      <c r="B874" s="38" t="s">
        <v>571</v>
      </c>
      <c r="C874" s="51">
        <v>7896026304337</v>
      </c>
      <c r="D874" s="40" t="s">
        <v>71</v>
      </c>
      <c r="E874" s="40"/>
      <c r="F874" s="40">
        <v>853</v>
      </c>
      <c r="G874" s="38"/>
      <c r="H874" s="38" t="s">
        <v>558</v>
      </c>
      <c r="I874" s="38" t="s">
        <v>88</v>
      </c>
      <c r="J874" s="38" t="s">
        <v>559</v>
      </c>
      <c r="K874" s="38" t="s">
        <v>555</v>
      </c>
      <c r="L874" s="52" t="s">
        <v>213</v>
      </c>
      <c r="M874" s="53" t="s">
        <v>213</v>
      </c>
    </row>
    <row r="875" spans="1:13" x14ac:dyDescent="0.3">
      <c r="A875" s="37">
        <v>76</v>
      </c>
      <c r="B875" s="38" t="s">
        <v>572</v>
      </c>
      <c r="C875" s="51">
        <v>7896026305259</v>
      </c>
      <c r="D875" s="40" t="s">
        <v>71</v>
      </c>
      <c r="E875" s="40"/>
      <c r="F875" s="40">
        <v>842</v>
      </c>
      <c r="G875" s="38"/>
      <c r="H875" s="38" t="s">
        <v>573</v>
      </c>
      <c r="I875" s="38" t="s">
        <v>322</v>
      </c>
      <c r="J875" s="38" t="s">
        <v>552</v>
      </c>
      <c r="K875" s="38" t="s">
        <v>574</v>
      </c>
      <c r="L875" s="52" t="s">
        <v>213</v>
      </c>
      <c r="M875" s="53" t="s">
        <v>213</v>
      </c>
    </row>
    <row r="876" spans="1:13" x14ac:dyDescent="0.3">
      <c r="A876" s="37">
        <v>76</v>
      </c>
      <c r="B876" s="38" t="s">
        <v>572</v>
      </c>
      <c r="C876" s="51">
        <v>7896026305259</v>
      </c>
      <c r="D876" s="40" t="s">
        <v>71</v>
      </c>
      <c r="E876" s="40"/>
      <c r="F876" s="40">
        <v>848</v>
      </c>
      <c r="G876" s="38"/>
      <c r="H876" s="38" t="s">
        <v>575</v>
      </c>
      <c r="I876" s="38" t="s">
        <v>322</v>
      </c>
      <c r="J876" s="38" t="s">
        <v>557</v>
      </c>
      <c r="K876" s="38" t="s">
        <v>574</v>
      </c>
      <c r="L876" s="52" t="s">
        <v>213</v>
      </c>
      <c r="M876" s="53" t="s">
        <v>213</v>
      </c>
    </row>
    <row r="877" spans="1:13" x14ac:dyDescent="0.3">
      <c r="A877" s="37">
        <v>76</v>
      </c>
      <c r="B877" s="38" t="s">
        <v>576</v>
      </c>
      <c r="C877" s="51">
        <v>7896026306188</v>
      </c>
      <c r="D877" s="40" t="s">
        <v>71</v>
      </c>
      <c r="E877" s="40"/>
      <c r="F877" s="40">
        <v>841</v>
      </c>
      <c r="G877" s="38"/>
      <c r="H877" s="38" t="s">
        <v>577</v>
      </c>
      <c r="I877" s="38" t="s">
        <v>487</v>
      </c>
      <c r="J877" s="38" t="s">
        <v>488</v>
      </c>
      <c r="K877" s="38" t="s">
        <v>509</v>
      </c>
      <c r="L877" s="52" t="s">
        <v>213</v>
      </c>
      <c r="M877" s="53" t="s">
        <v>213</v>
      </c>
    </row>
    <row r="878" spans="1:13" x14ac:dyDescent="0.3">
      <c r="A878" s="37">
        <v>76</v>
      </c>
      <c r="B878" s="38" t="s">
        <v>576</v>
      </c>
      <c r="C878" s="51">
        <v>7896026306188</v>
      </c>
      <c r="D878" s="40" t="s">
        <v>71</v>
      </c>
      <c r="E878" s="40"/>
      <c r="F878" s="40">
        <v>847</v>
      </c>
      <c r="G878" s="38"/>
      <c r="H878" s="38" t="s">
        <v>578</v>
      </c>
      <c r="I878" s="38" t="s">
        <v>322</v>
      </c>
      <c r="J878" s="38" t="s">
        <v>557</v>
      </c>
      <c r="K878" s="38" t="s">
        <v>579</v>
      </c>
      <c r="L878" s="52" t="s">
        <v>213</v>
      </c>
      <c r="M878" s="53" t="s">
        <v>213</v>
      </c>
    </row>
    <row r="879" spans="1:13" x14ac:dyDescent="0.3">
      <c r="A879" s="37">
        <v>76</v>
      </c>
      <c r="B879" s="38" t="s">
        <v>576</v>
      </c>
      <c r="C879" s="51">
        <v>7896026306188</v>
      </c>
      <c r="D879" s="40" t="s">
        <v>71</v>
      </c>
      <c r="E879" s="40"/>
      <c r="F879" s="40">
        <v>960</v>
      </c>
      <c r="G879" s="38"/>
      <c r="H879" s="38" t="s">
        <v>580</v>
      </c>
      <c r="I879" s="38" t="s">
        <v>322</v>
      </c>
      <c r="J879" s="38" t="s">
        <v>552</v>
      </c>
      <c r="K879" s="38" t="s">
        <v>581</v>
      </c>
      <c r="L879" s="52" t="s">
        <v>213</v>
      </c>
      <c r="M879" s="53" t="s">
        <v>213</v>
      </c>
    </row>
    <row r="880" spans="1:13" x14ac:dyDescent="0.3">
      <c r="A880" s="37">
        <v>76</v>
      </c>
      <c r="B880" s="38" t="s">
        <v>582</v>
      </c>
      <c r="C880" s="51">
        <v>7896026306416</v>
      </c>
      <c r="D880" s="40" t="s">
        <v>71</v>
      </c>
      <c r="E880" s="40"/>
      <c r="F880" s="40">
        <v>841</v>
      </c>
      <c r="G880" s="38"/>
      <c r="H880" s="38" t="s">
        <v>577</v>
      </c>
      <c r="I880" s="38" t="s">
        <v>487</v>
      </c>
      <c r="J880" s="38" t="s">
        <v>488</v>
      </c>
      <c r="K880" s="38" t="s">
        <v>509</v>
      </c>
      <c r="L880" s="52" t="s">
        <v>213</v>
      </c>
      <c r="M880" s="53" t="s">
        <v>213</v>
      </c>
    </row>
    <row r="881" spans="1:13" x14ac:dyDescent="0.3">
      <c r="A881" s="37">
        <v>76</v>
      </c>
      <c r="B881" s="38" t="s">
        <v>582</v>
      </c>
      <c r="C881" s="51">
        <v>7896026306416</v>
      </c>
      <c r="D881" s="40" t="s">
        <v>71</v>
      </c>
      <c r="E881" s="40"/>
      <c r="F881" s="40">
        <v>847</v>
      </c>
      <c r="G881" s="38"/>
      <c r="H881" s="38" t="s">
        <v>578</v>
      </c>
      <c r="I881" s="38" t="s">
        <v>322</v>
      </c>
      <c r="J881" s="38" t="s">
        <v>557</v>
      </c>
      <c r="K881" s="38" t="s">
        <v>579</v>
      </c>
      <c r="L881" s="52" t="s">
        <v>213</v>
      </c>
      <c r="M881" s="53" t="s">
        <v>213</v>
      </c>
    </row>
    <row r="882" spans="1:13" x14ac:dyDescent="0.3">
      <c r="A882" s="37">
        <v>76</v>
      </c>
      <c r="B882" s="38" t="s">
        <v>582</v>
      </c>
      <c r="C882" s="51">
        <v>7896026306416</v>
      </c>
      <c r="D882" s="40" t="s">
        <v>71</v>
      </c>
      <c r="E882" s="40"/>
      <c r="F882" s="40">
        <v>960</v>
      </c>
      <c r="G882" s="38"/>
      <c r="H882" s="38" t="s">
        <v>580</v>
      </c>
      <c r="I882" s="38" t="s">
        <v>322</v>
      </c>
      <c r="J882" s="38" t="s">
        <v>552</v>
      </c>
      <c r="K882" s="38" t="s">
        <v>581</v>
      </c>
      <c r="L882" s="52" t="s">
        <v>213</v>
      </c>
      <c r="M882" s="53" t="s">
        <v>213</v>
      </c>
    </row>
    <row r="883" spans="1:13" x14ac:dyDescent="0.3">
      <c r="A883" s="37">
        <v>76</v>
      </c>
      <c r="B883" s="38" t="s">
        <v>583</v>
      </c>
      <c r="C883" s="51">
        <v>7896026306720</v>
      </c>
      <c r="D883" s="40" t="s">
        <v>71</v>
      </c>
      <c r="E883" s="40"/>
      <c r="F883" s="40">
        <v>889</v>
      </c>
      <c r="G883" s="38"/>
      <c r="H883" s="38" t="s">
        <v>584</v>
      </c>
      <c r="I883" s="38" t="s">
        <v>487</v>
      </c>
      <c r="J883" s="38" t="s">
        <v>488</v>
      </c>
      <c r="K883" s="38" t="s">
        <v>585</v>
      </c>
      <c r="L883" s="52" t="s">
        <v>213</v>
      </c>
      <c r="M883" s="53" t="s">
        <v>213</v>
      </c>
    </row>
    <row r="884" spans="1:13" x14ac:dyDescent="0.3">
      <c r="A884" s="37">
        <v>76</v>
      </c>
      <c r="B884" s="38" t="s">
        <v>583</v>
      </c>
      <c r="C884" s="51">
        <v>7896026306720</v>
      </c>
      <c r="D884" s="40" t="s">
        <v>71</v>
      </c>
      <c r="E884" s="40"/>
      <c r="F884" s="40">
        <v>958</v>
      </c>
      <c r="G884" s="38"/>
      <c r="H884" s="38" t="s">
        <v>586</v>
      </c>
      <c r="I884" s="38" t="s">
        <v>487</v>
      </c>
      <c r="J884" s="38" t="s">
        <v>557</v>
      </c>
      <c r="K884" s="38" t="s">
        <v>585</v>
      </c>
      <c r="L884" s="52" t="s">
        <v>213</v>
      </c>
      <c r="M884" s="53" t="s">
        <v>213</v>
      </c>
    </row>
    <row r="885" spans="1:13" x14ac:dyDescent="0.3">
      <c r="A885" s="37">
        <v>76</v>
      </c>
      <c r="B885" s="38" t="s">
        <v>587</v>
      </c>
      <c r="C885" s="51">
        <v>7896026306751</v>
      </c>
      <c r="D885" s="40" t="s">
        <v>71</v>
      </c>
      <c r="E885" s="40"/>
      <c r="F885" s="40">
        <v>889</v>
      </c>
      <c r="G885" s="38"/>
      <c r="H885" s="38" t="s">
        <v>584</v>
      </c>
      <c r="I885" s="38" t="s">
        <v>487</v>
      </c>
      <c r="J885" s="38" t="s">
        <v>488</v>
      </c>
      <c r="K885" s="38" t="s">
        <v>585</v>
      </c>
      <c r="L885" s="52" t="s">
        <v>213</v>
      </c>
      <c r="M885" s="53" t="s">
        <v>213</v>
      </c>
    </row>
    <row r="886" spans="1:13" x14ac:dyDescent="0.3">
      <c r="A886" s="37">
        <v>76</v>
      </c>
      <c r="B886" s="38" t="s">
        <v>587</v>
      </c>
      <c r="C886" s="51">
        <v>7896026306751</v>
      </c>
      <c r="D886" s="40" t="s">
        <v>71</v>
      </c>
      <c r="E886" s="40"/>
      <c r="F886" s="40">
        <v>958</v>
      </c>
      <c r="G886" s="38"/>
      <c r="H886" s="38" t="s">
        <v>586</v>
      </c>
      <c r="I886" s="38" t="s">
        <v>487</v>
      </c>
      <c r="J886" s="38" t="s">
        <v>557</v>
      </c>
      <c r="K886" s="38" t="s">
        <v>585</v>
      </c>
      <c r="L886" s="52" t="s">
        <v>213</v>
      </c>
      <c r="M886" s="53" t="s">
        <v>213</v>
      </c>
    </row>
    <row r="887" spans="1:13" x14ac:dyDescent="0.3">
      <c r="A887" s="37">
        <v>76</v>
      </c>
      <c r="B887" s="38" t="s">
        <v>588</v>
      </c>
      <c r="C887" s="51">
        <v>7896026306799</v>
      </c>
      <c r="D887" s="40" t="s">
        <v>71</v>
      </c>
      <c r="E887" s="40"/>
      <c r="F887" s="40">
        <v>288</v>
      </c>
      <c r="G887" s="38"/>
      <c r="H887" s="38" t="s">
        <v>589</v>
      </c>
      <c r="I887" s="38" t="s">
        <v>351</v>
      </c>
      <c r="J887" s="38" t="s">
        <v>549</v>
      </c>
      <c r="K887" s="38" t="s">
        <v>550</v>
      </c>
      <c r="L887" s="52" t="s">
        <v>213</v>
      </c>
      <c r="M887" s="53" t="s">
        <v>213</v>
      </c>
    </row>
    <row r="888" spans="1:13" x14ac:dyDescent="0.3">
      <c r="A888" s="37">
        <v>76</v>
      </c>
      <c r="B888" s="38" t="s">
        <v>588</v>
      </c>
      <c r="C888" s="51">
        <v>7896026306799</v>
      </c>
      <c r="D888" s="40" t="s">
        <v>71</v>
      </c>
      <c r="E888" s="40"/>
      <c r="F888" s="40">
        <v>934</v>
      </c>
      <c r="G888" s="38"/>
      <c r="H888" s="38" t="s">
        <v>590</v>
      </c>
      <c r="I888" s="38" t="s">
        <v>322</v>
      </c>
      <c r="J888" s="38" t="s">
        <v>552</v>
      </c>
      <c r="K888" s="38" t="s">
        <v>591</v>
      </c>
      <c r="L888" s="52" t="s">
        <v>213</v>
      </c>
      <c r="M888" s="53" t="s">
        <v>213</v>
      </c>
    </row>
    <row r="889" spans="1:13" x14ac:dyDescent="0.3">
      <c r="A889" s="37">
        <v>76</v>
      </c>
      <c r="B889" s="38" t="s">
        <v>588</v>
      </c>
      <c r="C889" s="51">
        <v>7896026306799</v>
      </c>
      <c r="D889" s="40" t="s">
        <v>71</v>
      </c>
      <c r="E889" s="40"/>
      <c r="F889" s="40">
        <v>959</v>
      </c>
      <c r="G889" s="38"/>
      <c r="H889" s="38" t="s">
        <v>592</v>
      </c>
      <c r="I889" s="38" t="s">
        <v>322</v>
      </c>
      <c r="J889" s="38" t="s">
        <v>557</v>
      </c>
      <c r="K889" s="38" t="s">
        <v>591</v>
      </c>
      <c r="L889" s="52" t="s">
        <v>213</v>
      </c>
      <c r="M889" s="53" t="s">
        <v>213</v>
      </c>
    </row>
    <row r="890" spans="1:13" x14ac:dyDescent="0.3">
      <c r="A890" s="37">
        <v>88</v>
      </c>
      <c r="B890" s="38" t="s">
        <v>593</v>
      </c>
      <c r="C890" s="51">
        <v>7800066026395</v>
      </c>
      <c r="D890" s="40" t="s">
        <v>594</v>
      </c>
      <c r="E890" s="40"/>
      <c r="F890" s="40">
        <v>995</v>
      </c>
      <c r="G890" s="38"/>
      <c r="H890" s="38" t="s">
        <v>595</v>
      </c>
      <c r="I890" s="38" t="s">
        <v>596</v>
      </c>
      <c r="J890" s="38" t="s">
        <v>597</v>
      </c>
      <c r="K890" s="38" t="s">
        <v>598</v>
      </c>
      <c r="L890" s="52" t="s">
        <v>213</v>
      </c>
      <c r="M890" s="53" t="s">
        <v>213</v>
      </c>
    </row>
    <row r="891" spans="1:13" x14ac:dyDescent="0.3">
      <c r="A891" s="37">
        <v>88</v>
      </c>
      <c r="B891" s="38" t="s">
        <v>599</v>
      </c>
      <c r="C891" s="51">
        <v>7898053770239</v>
      </c>
      <c r="D891" s="40" t="s">
        <v>594</v>
      </c>
      <c r="E891" s="40"/>
      <c r="F891" s="40">
        <v>995</v>
      </c>
      <c r="G891" s="38"/>
      <c r="H891" s="38" t="s">
        <v>595</v>
      </c>
      <c r="I891" s="38" t="s">
        <v>596</v>
      </c>
      <c r="J891" s="38" t="s">
        <v>597</v>
      </c>
      <c r="K891" s="38" t="s">
        <v>598</v>
      </c>
      <c r="L891" s="52" t="s">
        <v>213</v>
      </c>
      <c r="M891" s="53" t="s">
        <v>213</v>
      </c>
    </row>
    <row r="892" spans="1:13" x14ac:dyDescent="0.3">
      <c r="A892" s="37">
        <v>88</v>
      </c>
      <c r="B892" s="38" t="s">
        <v>600</v>
      </c>
      <c r="C892" s="51">
        <v>7898053770246</v>
      </c>
      <c r="D892" s="40" t="s">
        <v>594</v>
      </c>
      <c r="E892" s="40"/>
      <c r="F892" s="40">
        <v>995</v>
      </c>
      <c r="G892" s="38"/>
      <c r="H892" s="38" t="s">
        <v>595</v>
      </c>
      <c r="I892" s="38" t="s">
        <v>596</v>
      </c>
      <c r="J892" s="38" t="s">
        <v>597</v>
      </c>
      <c r="K892" s="38" t="s">
        <v>598</v>
      </c>
      <c r="L892" s="52" t="s">
        <v>213</v>
      </c>
      <c r="M892" s="53" t="s">
        <v>213</v>
      </c>
    </row>
    <row r="893" spans="1:13" x14ac:dyDescent="0.3">
      <c r="A893" s="37">
        <v>88</v>
      </c>
      <c r="B893" s="38" t="s">
        <v>601</v>
      </c>
      <c r="C893" s="51">
        <v>7898053771427</v>
      </c>
      <c r="D893" s="40" t="s">
        <v>594</v>
      </c>
      <c r="E893" s="40"/>
      <c r="F893" s="40">
        <v>995</v>
      </c>
      <c r="G893" s="38"/>
      <c r="H893" s="38" t="s">
        <v>595</v>
      </c>
      <c r="I893" s="38" t="s">
        <v>596</v>
      </c>
      <c r="J893" s="38" t="s">
        <v>597</v>
      </c>
      <c r="K893" s="38" t="s">
        <v>598</v>
      </c>
      <c r="L893" s="52" t="s">
        <v>213</v>
      </c>
      <c r="M893" s="53" t="s">
        <v>213</v>
      </c>
    </row>
    <row r="894" spans="1:13" x14ac:dyDescent="0.3">
      <c r="A894" s="37">
        <v>88</v>
      </c>
      <c r="B894" s="38" t="s">
        <v>602</v>
      </c>
      <c r="C894" s="51">
        <v>7898053772547</v>
      </c>
      <c r="D894" s="40" t="s">
        <v>594</v>
      </c>
      <c r="E894" s="40"/>
      <c r="F894" s="40">
        <v>995</v>
      </c>
      <c r="G894" s="38"/>
      <c r="H894" s="38" t="s">
        <v>595</v>
      </c>
      <c r="I894" s="38" t="s">
        <v>596</v>
      </c>
      <c r="J894" s="38" t="s">
        <v>597</v>
      </c>
      <c r="K894" s="38" t="s">
        <v>598</v>
      </c>
      <c r="L894" s="52" t="s">
        <v>213</v>
      </c>
      <c r="M894" s="53" t="s">
        <v>213</v>
      </c>
    </row>
    <row r="895" spans="1:13" x14ac:dyDescent="0.3">
      <c r="A895" s="37">
        <v>88</v>
      </c>
      <c r="B895" s="38" t="s">
        <v>603</v>
      </c>
      <c r="C895" s="51">
        <v>7898053772554</v>
      </c>
      <c r="D895" s="40" t="s">
        <v>594</v>
      </c>
      <c r="E895" s="40"/>
      <c r="F895" s="40">
        <v>995</v>
      </c>
      <c r="G895" s="38"/>
      <c r="H895" s="38" t="s">
        <v>595</v>
      </c>
      <c r="I895" s="38" t="s">
        <v>596</v>
      </c>
      <c r="J895" s="38" t="s">
        <v>597</v>
      </c>
      <c r="K895" s="38" t="s">
        <v>598</v>
      </c>
      <c r="L895" s="52" t="s">
        <v>213</v>
      </c>
      <c r="M895" s="53" t="s">
        <v>213</v>
      </c>
    </row>
    <row r="896" spans="1:13" x14ac:dyDescent="0.3">
      <c r="A896" s="37">
        <v>88</v>
      </c>
      <c r="B896" s="38" t="s">
        <v>604</v>
      </c>
      <c r="C896" s="51">
        <v>7898053772578</v>
      </c>
      <c r="D896" s="40" t="s">
        <v>594</v>
      </c>
      <c r="E896" s="40"/>
      <c r="F896" s="40">
        <v>995</v>
      </c>
      <c r="G896" s="38"/>
      <c r="H896" s="38" t="s">
        <v>595</v>
      </c>
      <c r="I896" s="38" t="s">
        <v>596</v>
      </c>
      <c r="J896" s="38" t="s">
        <v>597</v>
      </c>
      <c r="K896" s="38" t="s">
        <v>598</v>
      </c>
      <c r="L896" s="52" t="s">
        <v>213</v>
      </c>
      <c r="M896" s="53" t="s">
        <v>213</v>
      </c>
    </row>
    <row r="897" spans="1:13" x14ac:dyDescent="0.3">
      <c r="A897" s="37">
        <v>88</v>
      </c>
      <c r="B897" s="38" t="s">
        <v>605</v>
      </c>
      <c r="C897" s="51">
        <v>7898053772875</v>
      </c>
      <c r="D897" s="40" t="s">
        <v>594</v>
      </c>
      <c r="E897" s="40"/>
      <c r="F897" s="40">
        <v>995</v>
      </c>
      <c r="G897" s="38"/>
      <c r="H897" s="38" t="s">
        <v>595</v>
      </c>
      <c r="I897" s="38" t="s">
        <v>596</v>
      </c>
      <c r="J897" s="38" t="s">
        <v>597</v>
      </c>
      <c r="K897" s="38" t="s">
        <v>598</v>
      </c>
      <c r="L897" s="52" t="s">
        <v>213</v>
      </c>
      <c r="M897" s="53" t="s">
        <v>213</v>
      </c>
    </row>
    <row r="898" spans="1:13" x14ac:dyDescent="0.3">
      <c r="A898" s="37">
        <v>88</v>
      </c>
      <c r="B898" s="38" t="s">
        <v>606</v>
      </c>
      <c r="C898" s="51">
        <v>7898053772905</v>
      </c>
      <c r="D898" s="40" t="s">
        <v>594</v>
      </c>
      <c r="E898" s="40"/>
      <c r="F898" s="40">
        <v>995</v>
      </c>
      <c r="G898" s="38"/>
      <c r="H898" s="38" t="s">
        <v>595</v>
      </c>
      <c r="I898" s="38" t="s">
        <v>596</v>
      </c>
      <c r="J898" s="38" t="s">
        <v>597</v>
      </c>
      <c r="K898" s="38" t="s">
        <v>598</v>
      </c>
      <c r="L898" s="52" t="s">
        <v>213</v>
      </c>
      <c r="M898" s="53" t="s">
        <v>213</v>
      </c>
    </row>
    <row r="899" spans="1:13" x14ac:dyDescent="0.3">
      <c r="A899" s="37">
        <v>88</v>
      </c>
      <c r="B899" s="38" t="s">
        <v>607</v>
      </c>
      <c r="C899" s="51">
        <v>7898053774251</v>
      </c>
      <c r="D899" s="40" t="s">
        <v>594</v>
      </c>
      <c r="E899" s="40"/>
      <c r="F899" s="40">
        <v>995</v>
      </c>
      <c r="G899" s="38"/>
      <c r="H899" s="38" t="s">
        <v>595</v>
      </c>
      <c r="I899" s="38" t="s">
        <v>596</v>
      </c>
      <c r="J899" s="38" t="s">
        <v>597</v>
      </c>
      <c r="K899" s="38" t="s">
        <v>598</v>
      </c>
      <c r="L899" s="52" t="s">
        <v>213</v>
      </c>
      <c r="M899" s="53" t="s">
        <v>213</v>
      </c>
    </row>
    <row r="900" spans="1:13" x14ac:dyDescent="0.3">
      <c r="A900" s="37">
        <v>88</v>
      </c>
      <c r="B900" s="38" t="s">
        <v>608</v>
      </c>
      <c r="C900" s="51">
        <v>7898053774312</v>
      </c>
      <c r="D900" s="40" t="s">
        <v>594</v>
      </c>
      <c r="E900" s="40"/>
      <c r="F900" s="40">
        <v>995</v>
      </c>
      <c r="G900" s="38"/>
      <c r="H900" s="38" t="s">
        <v>595</v>
      </c>
      <c r="I900" s="38" t="s">
        <v>596</v>
      </c>
      <c r="J900" s="38" t="s">
        <v>597</v>
      </c>
      <c r="K900" s="38" t="s">
        <v>598</v>
      </c>
      <c r="L900" s="52" t="s">
        <v>213</v>
      </c>
      <c r="M900" s="53" t="s">
        <v>213</v>
      </c>
    </row>
    <row r="901" spans="1:13" x14ac:dyDescent="0.3">
      <c r="A901" s="37">
        <v>88</v>
      </c>
      <c r="B901" s="38" t="s">
        <v>609</v>
      </c>
      <c r="C901" s="51">
        <v>7898053774343</v>
      </c>
      <c r="D901" s="40" t="s">
        <v>594</v>
      </c>
      <c r="E901" s="40"/>
      <c r="F901" s="40">
        <v>995</v>
      </c>
      <c r="G901" s="38"/>
      <c r="H901" s="38" t="s">
        <v>595</v>
      </c>
      <c r="I901" s="38" t="s">
        <v>596</v>
      </c>
      <c r="J901" s="38" t="s">
        <v>597</v>
      </c>
      <c r="K901" s="38" t="s">
        <v>598</v>
      </c>
      <c r="L901" s="52" t="s">
        <v>213</v>
      </c>
      <c r="M901" s="53" t="s">
        <v>213</v>
      </c>
    </row>
    <row r="902" spans="1:13" x14ac:dyDescent="0.3">
      <c r="A902" s="37">
        <v>88</v>
      </c>
      <c r="B902" s="38" t="s">
        <v>610</v>
      </c>
      <c r="C902" s="51">
        <v>7898053774404</v>
      </c>
      <c r="D902" s="40" t="s">
        <v>594</v>
      </c>
      <c r="E902" s="40"/>
      <c r="F902" s="40">
        <v>995</v>
      </c>
      <c r="G902" s="38"/>
      <c r="H902" s="38" t="s">
        <v>595</v>
      </c>
      <c r="I902" s="38" t="s">
        <v>596</v>
      </c>
      <c r="J902" s="38" t="s">
        <v>597</v>
      </c>
      <c r="K902" s="38" t="s">
        <v>598</v>
      </c>
      <c r="L902" s="52" t="s">
        <v>213</v>
      </c>
      <c r="M902" s="53" t="s">
        <v>213</v>
      </c>
    </row>
    <row r="903" spans="1:13" x14ac:dyDescent="0.3">
      <c r="A903" s="37">
        <v>88</v>
      </c>
      <c r="B903" s="38" t="s">
        <v>611</v>
      </c>
      <c r="C903" s="51">
        <v>7898053774435</v>
      </c>
      <c r="D903" s="40" t="s">
        <v>594</v>
      </c>
      <c r="E903" s="40"/>
      <c r="F903" s="40">
        <v>995</v>
      </c>
      <c r="G903" s="38"/>
      <c r="H903" s="38" t="s">
        <v>595</v>
      </c>
      <c r="I903" s="38" t="s">
        <v>596</v>
      </c>
      <c r="J903" s="38" t="s">
        <v>597</v>
      </c>
      <c r="K903" s="38" t="s">
        <v>598</v>
      </c>
      <c r="L903" s="52" t="s">
        <v>213</v>
      </c>
      <c r="M903" s="53" t="s">
        <v>213</v>
      </c>
    </row>
    <row r="904" spans="1:13" x14ac:dyDescent="0.3">
      <c r="A904" s="37">
        <v>88</v>
      </c>
      <c r="B904" s="38" t="s">
        <v>612</v>
      </c>
      <c r="C904" s="51">
        <v>7898053774527</v>
      </c>
      <c r="D904" s="40" t="s">
        <v>594</v>
      </c>
      <c r="E904" s="40"/>
      <c r="F904" s="40">
        <v>995</v>
      </c>
      <c r="G904" s="38"/>
      <c r="H904" s="38" t="s">
        <v>595</v>
      </c>
      <c r="I904" s="38" t="s">
        <v>596</v>
      </c>
      <c r="J904" s="38" t="s">
        <v>597</v>
      </c>
      <c r="K904" s="38" t="s">
        <v>598</v>
      </c>
      <c r="L904" s="52" t="s">
        <v>213</v>
      </c>
      <c r="M904" s="53" t="s">
        <v>213</v>
      </c>
    </row>
    <row r="905" spans="1:13" x14ac:dyDescent="0.3">
      <c r="A905" s="37">
        <v>93</v>
      </c>
      <c r="B905" s="38" t="s">
        <v>613</v>
      </c>
      <c r="C905" s="51">
        <v>7896676424607</v>
      </c>
      <c r="D905" s="40" t="s">
        <v>614</v>
      </c>
      <c r="E905" s="40"/>
      <c r="F905" s="40">
        <v>900</v>
      </c>
      <c r="G905" s="38"/>
      <c r="H905" s="38" t="s">
        <v>615</v>
      </c>
      <c r="I905" s="38" t="s">
        <v>480</v>
      </c>
      <c r="J905" s="49" t="s">
        <v>213</v>
      </c>
      <c r="K905" s="38" t="s">
        <v>480</v>
      </c>
      <c r="L905" s="49" t="s">
        <v>213</v>
      </c>
      <c r="M905" s="54" t="s">
        <v>213</v>
      </c>
    </row>
    <row r="906" spans="1:13" x14ac:dyDescent="0.3">
      <c r="A906" s="37">
        <v>93</v>
      </c>
      <c r="B906" s="38" t="s">
        <v>616</v>
      </c>
      <c r="C906" s="51">
        <v>7896676424614</v>
      </c>
      <c r="D906" s="40" t="s">
        <v>614</v>
      </c>
      <c r="E906" s="40"/>
      <c r="F906" s="40">
        <v>900</v>
      </c>
      <c r="G906" s="38"/>
      <c r="H906" s="38" t="s">
        <v>615</v>
      </c>
      <c r="I906" s="38" t="s">
        <v>480</v>
      </c>
      <c r="J906" s="49" t="s">
        <v>213</v>
      </c>
      <c r="K906" s="38" t="s">
        <v>480</v>
      </c>
      <c r="L906" s="49" t="s">
        <v>213</v>
      </c>
      <c r="M906" s="54" t="s">
        <v>213</v>
      </c>
    </row>
    <row r="907" spans="1:13" x14ac:dyDescent="0.3">
      <c r="A907" s="37">
        <v>93</v>
      </c>
      <c r="B907" s="38" t="s">
        <v>617</v>
      </c>
      <c r="C907" s="51">
        <v>7896676424621</v>
      </c>
      <c r="D907" s="40" t="s">
        <v>614</v>
      </c>
      <c r="E907" s="40"/>
      <c r="F907" s="40">
        <v>900</v>
      </c>
      <c r="G907" s="38"/>
      <c r="H907" s="38" t="s">
        <v>615</v>
      </c>
      <c r="I907" s="38" t="s">
        <v>480</v>
      </c>
      <c r="J907" s="49" t="s">
        <v>213</v>
      </c>
      <c r="K907" s="38" t="s">
        <v>480</v>
      </c>
      <c r="L907" s="49" t="s">
        <v>213</v>
      </c>
      <c r="M907" s="54" t="s">
        <v>213</v>
      </c>
    </row>
    <row r="908" spans="1:13" x14ac:dyDescent="0.3">
      <c r="A908" s="37">
        <v>40</v>
      </c>
      <c r="B908" s="38" t="s">
        <v>618</v>
      </c>
      <c r="C908" s="51">
        <v>7894916500746</v>
      </c>
      <c r="D908" s="40" t="s">
        <v>619</v>
      </c>
      <c r="E908" s="40"/>
      <c r="F908" s="40">
        <v>834</v>
      </c>
      <c r="G908" s="38"/>
      <c r="H908" s="38" t="s">
        <v>620</v>
      </c>
      <c r="I908" s="38" t="s">
        <v>480</v>
      </c>
      <c r="J908" s="49" t="s">
        <v>213</v>
      </c>
      <c r="K908" s="38" t="s">
        <v>480</v>
      </c>
      <c r="L908" s="49" t="s">
        <v>213</v>
      </c>
      <c r="M908" s="54" t="s">
        <v>213</v>
      </c>
    </row>
    <row r="909" spans="1:13" x14ac:dyDescent="0.3">
      <c r="A909" s="37">
        <v>40</v>
      </c>
      <c r="B909" s="38" t="s">
        <v>621</v>
      </c>
      <c r="C909" s="51">
        <v>7894916500869</v>
      </c>
      <c r="D909" s="40" t="s">
        <v>619</v>
      </c>
      <c r="E909" s="40"/>
      <c r="F909" s="40">
        <v>834</v>
      </c>
      <c r="G909" s="38"/>
      <c r="H909" s="38" t="s">
        <v>620</v>
      </c>
      <c r="I909" s="38" t="s">
        <v>480</v>
      </c>
      <c r="J909" s="49" t="s">
        <v>213</v>
      </c>
      <c r="K909" s="38" t="s">
        <v>480</v>
      </c>
      <c r="L909" s="49" t="s">
        <v>213</v>
      </c>
      <c r="M909" s="54" t="s">
        <v>213</v>
      </c>
    </row>
    <row r="910" spans="1:13" x14ac:dyDescent="0.3">
      <c r="A910" s="37">
        <v>40</v>
      </c>
      <c r="B910" s="38" t="s">
        <v>622</v>
      </c>
      <c r="C910" s="51">
        <v>7894916502962</v>
      </c>
      <c r="D910" s="40" t="s">
        <v>619</v>
      </c>
      <c r="E910" s="40"/>
      <c r="F910" s="40">
        <v>832</v>
      </c>
      <c r="G910" s="38"/>
      <c r="H910" s="38" t="s">
        <v>623</v>
      </c>
      <c r="I910" s="38" t="s">
        <v>624</v>
      </c>
      <c r="J910" s="38">
        <v>3</v>
      </c>
      <c r="K910" s="38" t="s">
        <v>625</v>
      </c>
      <c r="L910" s="52" t="s">
        <v>213</v>
      </c>
      <c r="M910" s="53" t="s">
        <v>213</v>
      </c>
    </row>
    <row r="911" spans="1:13" x14ac:dyDescent="0.3">
      <c r="A911" s="37">
        <v>40</v>
      </c>
      <c r="B911" s="38" t="s">
        <v>626</v>
      </c>
      <c r="C911" s="51">
        <v>7894916503129</v>
      </c>
      <c r="D911" s="40" t="s">
        <v>619</v>
      </c>
      <c r="E911" s="40"/>
      <c r="F911" s="40">
        <v>676</v>
      </c>
      <c r="G911" s="38"/>
      <c r="H911" s="38" t="s">
        <v>627</v>
      </c>
      <c r="I911" s="38" t="s">
        <v>480</v>
      </c>
      <c r="J911" s="49" t="s">
        <v>213</v>
      </c>
      <c r="K911" s="38" t="s">
        <v>480</v>
      </c>
      <c r="L911" s="49" t="s">
        <v>213</v>
      </c>
      <c r="M911" s="54" t="s">
        <v>213</v>
      </c>
    </row>
    <row r="912" spans="1:13" x14ac:dyDescent="0.3">
      <c r="A912" s="37">
        <v>40</v>
      </c>
      <c r="B912" s="38" t="s">
        <v>626</v>
      </c>
      <c r="C912" s="51">
        <v>7894916503129</v>
      </c>
      <c r="D912" s="40" t="s">
        <v>619</v>
      </c>
      <c r="E912" s="40"/>
      <c r="F912" s="40">
        <v>837</v>
      </c>
      <c r="G912" s="38"/>
      <c r="H912" s="38" t="s">
        <v>628</v>
      </c>
      <c r="I912" s="38" t="s">
        <v>480</v>
      </c>
      <c r="J912" s="49" t="s">
        <v>213</v>
      </c>
      <c r="K912" s="38" t="s">
        <v>480</v>
      </c>
      <c r="L912" s="49" t="s">
        <v>213</v>
      </c>
      <c r="M912" s="54" t="s">
        <v>213</v>
      </c>
    </row>
    <row r="913" spans="1:13" x14ac:dyDescent="0.3">
      <c r="A913" s="37">
        <v>40</v>
      </c>
      <c r="B913" s="38" t="s">
        <v>629</v>
      </c>
      <c r="C913" s="51">
        <v>7894916503143</v>
      </c>
      <c r="D913" s="40" t="s">
        <v>619</v>
      </c>
      <c r="E913" s="40"/>
      <c r="F913" s="40">
        <v>676</v>
      </c>
      <c r="G913" s="38"/>
      <c r="H913" s="38" t="s">
        <v>627</v>
      </c>
      <c r="I913" s="38" t="s">
        <v>480</v>
      </c>
      <c r="J913" s="49" t="s">
        <v>213</v>
      </c>
      <c r="K913" s="38" t="s">
        <v>480</v>
      </c>
      <c r="L913" s="49" t="s">
        <v>213</v>
      </c>
      <c r="M913" s="54" t="s">
        <v>213</v>
      </c>
    </row>
    <row r="914" spans="1:13" x14ac:dyDescent="0.3">
      <c r="A914" s="37">
        <v>40</v>
      </c>
      <c r="B914" s="38" t="s">
        <v>629</v>
      </c>
      <c r="C914" s="51">
        <v>7894916503143</v>
      </c>
      <c r="D914" s="40" t="s">
        <v>619</v>
      </c>
      <c r="E914" s="40"/>
      <c r="F914" s="40">
        <v>837</v>
      </c>
      <c r="G914" s="38"/>
      <c r="H914" s="38" t="s">
        <v>628</v>
      </c>
      <c r="I914" s="38" t="s">
        <v>480</v>
      </c>
      <c r="J914" s="49" t="s">
        <v>213</v>
      </c>
      <c r="K914" s="38" t="s">
        <v>480</v>
      </c>
      <c r="L914" s="49" t="s">
        <v>213</v>
      </c>
      <c r="M914" s="54" t="s">
        <v>213</v>
      </c>
    </row>
    <row r="915" spans="1:13" x14ac:dyDescent="0.3">
      <c r="A915" s="37">
        <v>40</v>
      </c>
      <c r="B915" s="38" t="s">
        <v>630</v>
      </c>
      <c r="C915" s="51">
        <v>7894916507738</v>
      </c>
      <c r="D915" s="40" t="s">
        <v>619</v>
      </c>
      <c r="E915" s="40"/>
      <c r="F915" s="40">
        <v>379</v>
      </c>
      <c r="G915" s="38"/>
      <c r="H915" s="38" t="s">
        <v>631</v>
      </c>
      <c r="I915" s="38" t="s">
        <v>480</v>
      </c>
      <c r="J915" s="49" t="s">
        <v>213</v>
      </c>
      <c r="K915" s="38" t="s">
        <v>480</v>
      </c>
      <c r="L915" s="49" t="s">
        <v>213</v>
      </c>
      <c r="M915" s="54" t="s">
        <v>213</v>
      </c>
    </row>
    <row r="916" spans="1:13" x14ac:dyDescent="0.3">
      <c r="A916" s="37">
        <v>40</v>
      </c>
      <c r="B916" s="38" t="s">
        <v>630</v>
      </c>
      <c r="C916" s="51">
        <v>7894916507738</v>
      </c>
      <c r="D916" s="40" t="s">
        <v>619</v>
      </c>
      <c r="E916" s="40"/>
      <c r="F916" s="40">
        <v>382</v>
      </c>
      <c r="G916" s="38"/>
      <c r="H916" s="38" t="s">
        <v>632</v>
      </c>
      <c r="I916" s="38" t="s">
        <v>88</v>
      </c>
      <c r="J916" s="38">
        <v>4</v>
      </c>
      <c r="K916" s="56">
        <v>0.25</v>
      </c>
      <c r="L916" s="52" t="s">
        <v>213</v>
      </c>
      <c r="M916" s="53" t="s">
        <v>213</v>
      </c>
    </row>
    <row r="917" spans="1:13" x14ac:dyDescent="0.3">
      <c r="A917" s="37">
        <v>40</v>
      </c>
      <c r="B917" s="38" t="s">
        <v>630</v>
      </c>
      <c r="C917" s="51">
        <v>7894916507738</v>
      </c>
      <c r="D917" s="40" t="s">
        <v>619</v>
      </c>
      <c r="E917" s="40"/>
      <c r="F917" s="40">
        <v>390</v>
      </c>
      <c r="G917" s="38"/>
      <c r="H917" s="38" t="s">
        <v>633</v>
      </c>
      <c r="I917" s="38" t="s">
        <v>480</v>
      </c>
      <c r="J917" s="49" t="s">
        <v>213</v>
      </c>
      <c r="K917" s="38" t="s">
        <v>480</v>
      </c>
      <c r="L917" s="49" t="s">
        <v>213</v>
      </c>
      <c r="M917" s="54" t="s">
        <v>213</v>
      </c>
    </row>
    <row r="918" spans="1:13" x14ac:dyDescent="0.3">
      <c r="A918" s="37">
        <v>40</v>
      </c>
      <c r="B918" s="38" t="s">
        <v>630</v>
      </c>
      <c r="C918" s="51">
        <v>7894916507738</v>
      </c>
      <c r="D918" s="40" t="s">
        <v>619</v>
      </c>
      <c r="E918" s="40"/>
      <c r="F918" s="40">
        <v>593</v>
      </c>
      <c r="G918" s="38"/>
      <c r="H918" s="38" t="s">
        <v>634</v>
      </c>
      <c r="I918" s="38" t="s">
        <v>88</v>
      </c>
      <c r="J918" s="38">
        <v>4</v>
      </c>
      <c r="K918" s="56">
        <v>0.25</v>
      </c>
      <c r="L918" s="52" t="s">
        <v>213</v>
      </c>
      <c r="M918" s="53" t="s">
        <v>213</v>
      </c>
    </row>
    <row r="919" spans="1:13" x14ac:dyDescent="0.3">
      <c r="A919" s="37">
        <v>40</v>
      </c>
      <c r="B919" s="38" t="s">
        <v>635</v>
      </c>
      <c r="C919" s="51">
        <v>7894916507752</v>
      </c>
      <c r="D919" s="40" t="s">
        <v>619</v>
      </c>
      <c r="E919" s="40"/>
      <c r="F919" s="40">
        <v>379</v>
      </c>
      <c r="G919" s="38"/>
      <c r="H919" s="38" t="s">
        <v>631</v>
      </c>
      <c r="I919" s="38" t="s">
        <v>480</v>
      </c>
      <c r="J919" s="49" t="s">
        <v>213</v>
      </c>
      <c r="K919" s="38" t="s">
        <v>480</v>
      </c>
      <c r="L919" s="49" t="s">
        <v>213</v>
      </c>
      <c r="M919" s="54" t="s">
        <v>213</v>
      </c>
    </row>
    <row r="920" spans="1:13" x14ac:dyDescent="0.3">
      <c r="A920" s="37">
        <v>40</v>
      </c>
      <c r="B920" s="38" t="s">
        <v>635</v>
      </c>
      <c r="C920" s="51">
        <v>7894916507752</v>
      </c>
      <c r="D920" s="40" t="s">
        <v>619</v>
      </c>
      <c r="E920" s="40"/>
      <c r="F920" s="40">
        <v>382</v>
      </c>
      <c r="G920" s="38"/>
      <c r="H920" s="38" t="s">
        <v>632</v>
      </c>
      <c r="I920" s="38" t="s">
        <v>88</v>
      </c>
      <c r="J920" s="38">
        <v>4</v>
      </c>
      <c r="K920" s="56">
        <v>0.25</v>
      </c>
      <c r="L920" s="52" t="s">
        <v>213</v>
      </c>
      <c r="M920" s="53" t="s">
        <v>213</v>
      </c>
    </row>
    <row r="921" spans="1:13" x14ac:dyDescent="0.3">
      <c r="A921" s="37">
        <v>40</v>
      </c>
      <c r="B921" s="38" t="s">
        <v>635</v>
      </c>
      <c r="C921" s="51">
        <v>7894916507752</v>
      </c>
      <c r="D921" s="40" t="s">
        <v>619</v>
      </c>
      <c r="E921" s="40"/>
      <c r="F921" s="40">
        <v>390</v>
      </c>
      <c r="G921" s="38"/>
      <c r="H921" s="38" t="s">
        <v>633</v>
      </c>
      <c r="I921" s="38" t="s">
        <v>480</v>
      </c>
      <c r="J921" s="49" t="s">
        <v>213</v>
      </c>
      <c r="K921" s="38" t="s">
        <v>480</v>
      </c>
      <c r="L921" s="49" t="s">
        <v>213</v>
      </c>
      <c r="M921" s="54" t="s">
        <v>213</v>
      </c>
    </row>
    <row r="922" spans="1:13" x14ac:dyDescent="0.3">
      <c r="A922" s="37">
        <v>40</v>
      </c>
      <c r="B922" s="38" t="s">
        <v>635</v>
      </c>
      <c r="C922" s="51">
        <v>7894916507752</v>
      </c>
      <c r="D922" s="40" t="s">
        <v>619</v>
      </c>
      <c r="E922" s="40"/>
      <c r="F922" s="40">
        <v>593</v>
      </c>
      <c r="G922" s="38"/>
      <c r="H922" s="38" t="s">
        <v>634</v>
      </c>
      <c r="I922" s="38" t="s">
        <v>88</v>
      </c>
      <c r="J922" s="38">
        <v>4</v>
      </c>
      <c r="K922" s="56">
        <v>0.25</v>
      </c>
      <c r="L922" s="52" t="s">
        <v>213</v>
      </c>
      <c r="M922" s="53" t="s">
        <v>213</v>
      </c>
    </row>
    <row r="923" spans="1:13" x14ac:dyDescent="0.3">
      <c r="A923" s="37">
        <v>40</v>
      </c>
      <c r="B923" s="38" t="s">
        <v>635</v>
      </c>
      <c r="C923" s="51">
        <v>7894916507752</v>
      </c>
      <c r="D923" s="40" t="s">
        <v>619</v>
      </c>
      <c r="E923" s="40"/>
      <c r="F923" s="40">
        <v>978</v>
      </c>
      <c r="G923" s="38"/>
      <c r="H923" s="38" t="s">
        <v>636</v>
      </c>
      <c r="I923" s="38" t="s">
        <v>480</v>
      </c>
      <c r="J923" s="49" t="s">
        <v>213</v>
      </c>
      <c r="K923" s="38" t="s">
        <v>480</v>
      </c>
      <c r="L923" s="49" t="s">
        <v>213</v>
      </c>
      <c r="M923" s="54" t="s">
        <v>213</v>
      </c>
    </row>
    <row r="924" spans="1:13" x14ac:dyDescent="0.3">
      <c r="A924" s="37">
        <v>40</v>
      </c>
      <c r="B924" s="38" t="s">
        <v>637</v>
      </c>
      <c r="C924" s="51">
        <v>7894916507912</v>
      </c>
      <c r="D924" s="40" t="s">
        <v>619</v>
      </c>
      <c r="E924" s="40"/>
      <c r="F924" s="40">
        <v>530</v>
      </c>
      <c r="G924" s="38"/>
      <c r="H924" s="38" t="s">
        <v>638</v>
      </c>
      <c r="I924" s="38" t="s">
        <v>639</v>
      </c>
      <c r="J924" s="38">
        <v>3</v>
      </c>
      <c r="K924" s="38" t="s">
        <v>640</v>
      </c>
      <c r="L924" s="52" t="s">
        <v>213</v>
      </c>
      <c r="M924" s="53" t="s">
        <v>213</v>
      </c>
    </row>
    <row r="925" spans="1:13" x14ac:dyDescent="0.3">
      <c r="A925" s="37">
        <v>40</v>
      </c>
      <c r="B925" s="38" t="s">
        <v>641</v>
      </c>
      <c r="C925" s="51">
        <v>7894916507936</v>
      </c>
      <c r="D925" s="40" t="s">
        <v>619</v>
      </c>
      <c r="E925" s="40"/>
      <c r="F925" s="40">
        <v>530</v>
      </c>
      <c r="G925" s="38"/>
      <c r="H925" s="38" t="s">
        <v>638</v>
      </c>
      <c r="I925" s="38" t="s">
        <v>639</v>
      </c>
      <c r="J925" s="38">
        <v>3</v>
      </c>
      <c r="K925" s="38" t="s">
        <v>640</v>
      </c>
      <c r="L925" s="52" t="s">
        <v>213</v>
      </c>
      <c r="M925" s="53" t="s">
        <v>213</v>
      </c>
    </row>
    <row r="926" spans="1:13" x14ac:dyDescent="0.3">
      <c r="A926" s="37">
        <v>40</v>
      </c>
      <c r="B926" s="38" t="s">
        <v>642</v>
      </c>
      <c r="C926" s="51">
        <v>7894916507950</v>
      </c>
      <c r="D926" s="40" t="s">
        <v>619</v>
      </c>
      <c r="E926" s="40"/>
      <c r="F926" s="40">
        <v>530</v>
      </c>
      <c r="G926" s="38"/>
      <c r="H926" s="38" t="s">
        <v>638</v>
      </c>
      <c r="I926" s="38" t="s">
        <v>639</v>
      </c>
      <c r="J926" s="38">
        <v>3</v>
      </c>
      <c r="K926" s="38" t="s">
        <v>640</v>
      </c>
      <c r="L926" s="52" t="s">
        <v>213</v>
      </c>
      <c r="M926" s="53" t="s">
        <v>213</v>
      </c>
    </row>
    <row r="927" spans="1:13" x14ac:dyDescent="0.3">
      <c r="A927" s="37">
        <v>40</v>
      </c>
      <c r="B927" s="38" t="s">
        <v>643</v>
      </c>
      <c r="C927" s="51">
        <v>7894916508346</v>
      </c>
      <c r="D927" s="40" t="s">
        <v>619</v>
      </c>
      <c r="E927" s="40"/>
      <c r="F927" s="40">
        <v>836</v>
      </c>
      <c r="G927" s="38"/>
      <c r="H927" s="38" t="s">
        <v>644</v>
      </c>
      <c r="I927" s="38" t="s">
        <v>639</v>
      </c>
      <c r="J927" s="38">
        <v>3</v>
      </c>
      <c r="K927" s="38" t="s">
        <v>645</v>
      </c>
      <c r="L927" s="52" t="s">
        <v>213</v>
      </c>
      <c r="M927" s="53" t="s">
        <v>213</v>
      </c>
    </row>
    <row r="928" spans="1:13" x14ac:dyDescent="0.3">
      <c r="A928" s="37">
        <v>40</v>
      </c>
      <c r="B928" s="38" t="s">
        <v>646</v>
      </c>
      <c r="C928" s="51">
        <v>7894916508353</v>
      </c>
      <c r="D928" s="40" t="s">
        <v>619</v>
      </c>
      <c r="E928" s="40"/>
      <c r="F928" s="40">
        <v>836</v>
      </c>
      <c r="G928" s="38"/>
      <c r="H928" s="38" t="s">
        <v>644</v>
      </c>
      <c r="I928" s="38" t="s">
        <v>639</v>
      </c>
      <c r="J928" s="38">
        <v>3</v>
      </c>
      <c r="K928" s="38" t="s">
        <v>645</v>
      </c>
      <c r="L928" s="52" t="s">
        <v>213</v>
      </c>
      <c r="M928" s="53" t="s">
        <v>213</v>
      </c>
    </row>
    <row r="929" spans="1:13" x14ac:dyDescent="0.3">
      <c r="A929" s="37">
        <v>40</v>
      </c>
      <c r="B929" s="38" t="s">
        <v>647</v>
      </c>
      <c r="C929" s="51">
        <v>7894916508360</v>
      </c>
      <c r="D929" s="40" t="s">
        <v>619</v>
      </c>
      <c r="E929" s="40"/>
      <c r="F929" s="40">
        <v>836</v>
      </c>
      <c r="G929" s="38"/>
      <c r="H929" s="38" t="s">
        <v>644</v>
      </c>
      <c r="I929" s="38" t="s">
        <v>639</v>
      </c>
      <c r="J929" s="38">
        <v>3</v>
      </c>
      <c r="K929" s="38" t="s">
        <v>645</v>
      </c>
      <c r="L929" s="52" t="s">
        <v>213</v>
      </c>
      <c r="M929" s="53" t="s">
        <v>213</v>
      </c>
    </row>
    <row r="930" spans="1:13" x14ac:dyDescent="0.3">
      <c r="A930" s="37">
        <v>40</v>
      </c>
      <c r="B930" s="38" t="s">
        <v>648</v>
      </c>
      <c r="C930" s="51">
        <v>7894916508377</v>
      </c>
      <c r="D930" s="40" t="s">
        <v>619</v>
      </c>
      <c r="E930" s="40"/>
      <c r="F930" s="40">
        <v>836</v>
      </c>
      <c r="G930" s="38"/>
      <c r="H930" s="38" t="s">
        <v>644</v>
      </c>
      <c r="I930" s="38" t="s">
        <v>639</v>
      </c>
      <c r="J930" s="38">
        <v>3</v>
      </c>
      <c r="K930" s="38" t="s">
        <v>645</v>
      </c>
      <c r="L930" s="52" t="s">
        <v>213</v>
      </c>
      <c r="M930" s="53" t="s">
        <v>213</v>
      </c>
    </row>
    <row r="931" spans="1:13" x14ac:dyDescent="0.3">
      <c r="A931" s="37">
        <v>40</v>
      </c>
      <c r="B931" s="38" t="s">
        <v>649</v>
      </c>
      <c r="C931" s="51">
        <v>7894916508964</v>
      </c>
      <c r="D931" s="40" t="s">
        <v>619</v>
      </c>
      <c r="E931" s="40"/>
      <c r="F931" s="40">
        <v>343</v>
      </c>
      <c r="G931" s="38"/>
      <c r="H931" s="38" t="s">
        <v>650</v>
      </c>
      <c r="I931" s="38" t="s">
        <v>88</v>
      </c>
      <c r="J931" s="38">
        <v>4</v>
      </c>
      <c r="K931" s="56">
        <v>0.35</v>
      </c>
      <c r="L931" s="52" t="s">
        <v>213</v>
      </c>
      <c r="M931" s="53" t="s">
        <v>213</v>
      </c>
    </row>
    <row r="932" spans="1:13" x14ac:dyDescent="0.3">
      <c r="A932" s="37">
        <v>40</v>
      </c>
      <c r="B932" s="38" t="s">
        <v>651</v>
      </c>
      <c r="C932" s="51">
        <v>7894916508971</v>
      </c>
      <c r="D932" s="40" t="s">
        <v>619</v>
      </c>
      <c r="E932" s="40"/>
      <c r="F932" s="40">
        <v>343</v>
      </c>
      <c r="G932" s="38"/>
      <c r="H932" s="38" t="s">
        <v>650</v>
      </c>
      <c r="I932" s="38" t="s">
        <v>88</v>
      </c>
      <c r="J932" s="38">
        <v>4</v>
      </c>
      <c r="K932" s="56">
        <v>0.25</v>
      </c>
      <c r="L932" s="52" t="s">
        <v>213</v>
      </c>
      <c r="M932" s="53" t="s">
        <v>213</v>
      </c>
    </row>
    <row r="933" spans="1:13" x14ac:dyDescent="0.3">
      <c r="A933" s="37">
        <v>40</v>
      </c>
      <c r="B933" s="38" t="s">
        <v>652</v>
      </c>
      <c r="C933" s="51">
        <v>7894916508988</v>
      </c>
      <c r="D933" s="40" t="s">
        <v>619</v>
      </c>
      <c r="E933" s="40"/>
      <c r="F933" s="40">
        <v>384</v>
      </c>
      <c r="G933" s="38"/>
      <c r="H933" s="38" t="s">
        <v>653</v>
      </c>
      <c r="I933" s="38" t="s">
        <v>88</v>
      </c>
      <c r="J933" s="38">
        <v>2</v>
      </c>
      <c r="K933" s="56">
        <v>0.35</v>
      </c>
      <c r="L933" s="52" t="s">
        <v>213</v>
      </c>
      <c r="M933" s="53" t="s">
        <v>213</v>
      </c>
    </row>
    <row r="934" spans="1:13" x14ac:dyDescent="0.3">
      <c r="A934" s="37">
        <v>40</v>
      </c>
      <c r="B934" s="38" t="s">
        <v>652</v>
      </c>
      <c r="C934" s="51">
        <v>7894916508988</v>
      </c>
      <c r="D934" s="40" t="s">
        <v>619</v>
      </c>
      <c r="E934" s="40"/>
      <c r="F934" s="40">
        <v>640</v>
      </c>
      <c r="G934" s="38"/>
      <c r="H934" s="38" t="s">
        <v>654</v>
      </c>
      <c r="I934" s="38" t="s">
        <v>88</v>
      </c>
      <c r="J934" s="38">
        <v>2</v>
      </c>
      <c r="K934" s="56">
        <v>0.35</v>
      </c>
      <c r="L934" s="52" t="s">
        <v>213</v>
      </c>
      <c r="M934" s="53" t="s">
        <v>213</v>
      </c>
    </row>
    <row r="935" spans="1:13" x14ac:dyDescent="0.3">
      <c r="A935" s="37">
        <v>40</v>
      </c>
      <c r="B935" s="38" t="s">
        <v>652</v>
      </c>
      <c r="C935" s="51">
        <v>7894916508988</v>
      </c>
      <c r="D935" s="40" t="s">
        <v>619</v>
      </c>
      <c r="E935" s="40"/>
      <c r="F935" s="40">
        <v>641</v>
      </c>
      <c r="G935" s="38"/>
      <c r="H935" s="38" t="s">
        <v>655</v>
      </c>
      <c r="I935" s="38" t="s">
        <v>88</v>
      </c>
      <c r="J935" s="38">
        <v>2</v>
      </c>
      <c r="K935" s="56">
        <v>0.35</v>
      </c>
      <c r="L935" s="52" t="s">
        <v>213</v>
      </c>
      <c r="M935" s="53" t="s">
        <v>213</v>
      </c>
    </row>
    <row r="936" spans="1:13" x14ac:dyDescent="0.3">
      <c r="A936" s="37">
        <v>40</v>
      </c>
      <c r="B936" s="38" t="s">
        <v>656</v>
      </c>
      <c r="C936" s="51">
        <v>7894916509084</v>
      </c>
      <c r="D936" s="40" t="s">
        <v>619</v>
      </c>
      <c r="E936" s="40"/>
      <c r="F936" s="40">
        <v>836</v>
      </c>
      <c r="G936" s="38"/>
      <c r="H936" s="38" t="s">
        <v>644</v>
      </c>
      <c r="I936" s="38" t="s">
        <v>639</v>
      </c>
      <c r="J936" s="38">
        <v>3</v>
      </c>
      <c r="K936" s="38" t="s">
        <v>645</v>
      </c>
      <c r="L936" s="52" t="s">
        <v>213</v>
      </c>
      <c r="M936" s="53" t="s">
        <v>213</v>
      </c>
    </row>
    <row r="937" spans="1:13" x14ac:dyDescent="0.3">
      <c r="A937" s="37">
        <v>40</v>
      </c>
      <c r="B937" s="38" t="s">
        <v>657</v>
      </c>
      <c r="C937" s="51">
        <v>7894916509190</v>
      </c>
      <c r="D937" s="40" t="s">
        <v>619</v>
      </c>
      <c r="E937" s="40"/>
      <c r="F937" s="40">
        <v>382</v>
      </c>
      <c r="G937" s="38"/>
      <c r="H937" s="38" t="s">
        <v>632</v>
      </c>
      <c r="I937" s="38" t="s">
        <v>88</v>
      </c>
      <c r="J937" s="38">
        <v>4</v>
      </c>
      <c r="K937" s="56">
        <v>0.25</v>
      </c>
      <c r="L937" s="52" t="s">
        <v>213</v>
      </c>
      <c r="M937" s="53" t="s">
        <v>213</v>
      </c>
    </row>
    <row r="938" spans="1:13" x14ac:dyDescent="0.3">
      <c r="A938" s="37">
        <v>40</v>
      </c>
      <c r="B938" s="38" t="s">
        <v>657</v>
      </c>
      <c r="C938" s="51">
        <v>7894916509190</v>
      </c>
      <c r="D938" s="40" t="s">
        <v>619</v>
      </c>
      <c r="E938" s="40"/>
      <c r="F938" s="40">
        <v>390</v>
      </c>
      <c r="G938" s="38"/>
      <c r="H938" s="38" t="s">
        <v>633</v>
      </c>
      <c r="I938" s="38" t="s">
        <v>480</v>
      </c>
      <c r="J938" s="49" t="s">
        <v>213</v>
      </c>
      <c r="K938" s="38" t="s">
        <v>480</v>
      </c>
      <c r="L938" s="49" t="s">
        <v>213</v>
      </c>
      <c r="M938" s="54" t="s">
        <v>213</v>
      </c>
    </row>
    <row r="939" spans="1:13" x14ac:dyDescent="0.3">
      <c r="A939" s="37">
        <v>40</v>
      </c>
      <c r="B939" s="38" t="s">
        <v>657</v>
      </c>
      <c r="C939" s="51">
        <v>7894916509190</v>
      </c>
      <c r="D939" s="40" t="s">
        <v>619</v>
      </c>
      <c r="E939" s="40"/>
      <c r="F939" s="40">
        <v>593</v>
      </c>
      <c r="G939" s="38"/>
      <c r="H939" s="38" t="s">
        <v>634</v>
      </c>
      <c r="I939" s="38" t="s">
        <v>88</v>
      </c>
      <c r="J939" s="38">
        <v>4</v>
      </c>
      <c r="K939" s="56">
        <v>0.25</v>
      </c>
      <c r="L939" s="52" t="s">
        <v>213</v>
      </c>
      <c r="M939" s="53" t="s">
        <v>213</v>
      </c>
    </row>
    <row r="940" spans="1:13" x14ac:dyDescent="0.3">
      <c r="A940" s="37">
        <v>40</v>
      </c>
      <c r="B940" s="38" t="s">
        <v>658</v>
      </c>
      <c r="C940" s="51">
        <v>7894916509299</v>
      </c>
      <c r="D940" s="40" t="s">
        <v>619</v>
      </c>
      <c r="E940" s="40"/>
      <c r="F940" s="40">
        <v>835</v>
      </c>
      <c r="G940" s="38"/>
      <c r="H940" s="38" t="s">
        <v>659</v>
      </c>
      <c r="I940" s="38" t="s">
        <v>639</v>
      </c>
      <c r="J940" s="38">
        <v>3</v>
      </c>
      <c r="K940" s="38" t="s">
        <v>645</v>
      </c>
      <c r="L940" s="52" t="s">
        <v>213</v>
      </c>
      <c r="M940" s="53" t="s">
        <v>213</v>
      </c>
    </row>
    <row r="941" spans="1:13" x14ac:dyDescent="0.3">
      <c r="A941" s="37">
        <v>40</v>
      </c>
      <c r="B941" s="38" t="s">
        <v>660</v>
      </c>
      <c r="C941" s="51">
        <v>7894916509305</v>
      </c>
      <c r="D941" s="40" t="s">
        <v>619</v>
      </c>
      <c r="E941" s="40"/>
      <c r="F941" s="40">
        <v>835</v>
      </c>
      <c r="G941" s="38"/>
      <c r="H941" s="38" t="s">
        <v>659</v>
      </c>
      <c r="I941" s="38" t="s">
        <v>639</v>
      </c>
      <c r="J941" s="38">
        <v>3</v>
      </c>
      <c r="K941" s="38" t="s">
        <v>645</v>
      </c>
      <c r="L941" s="52" t="s">
        <v>213</v>
      </c>
      <c r="M941" s="53" t="s">
        <v>213</v>
      </c>
    </row>
    <row r="942" spans="1:13" x14ac:dyDescent="0.3">
      <c r="A942" s="37">
        <v>40</v>
      </c>
      <c r="B942" s="38" t="s">
        <v>661</v>
      </c>
      <c r="C942" s="51">
        <v>7894916509329</v>
      </c>
      <c r="D942" s="40" t="s">
        <v>619</v>
      </c>
      <c r="E942" s="40"/>
      <c r="F942" s="40">
        <v>835</v>
      </c>
      <c r="G942" s="38"/>
      <c r="H942" s="38" t="s">
        <v>659</v>
      </c>
      <c r="I942" s="38" t="s">
        <v>639</v>
      </c>
      <c r="J942" s="38">
        <v>3</v>
      </c>
      <c r="K942" s="38" t="s">
        <v>645</v>
      </c>
      <c r="L942" s="52" t="s">
        <v>213</v>
      </c>
      <c r="M942" s="53" t="s">
        <v>213</v>
      </c>
    </row>
    <row r="943" spans="1:13" x14ac:dyDescent="0.3">
      <c r="A943" s="37">
        <v>40</v>
      </c>
      <c r="B943" s="38" t="s">
        <v>662</v>
      </c>
      <c r="C943" s="51">
        <v>7894916509336</v>
      </c>
      <c r="D943" s="40" t="s">
        <v>619</v>
      </c>
      <c r="E943" s="40"/>
      <c r="F943" s="40">
        <v>835</v>
      </c>
      <c r="G943" s="38"/>
      <c r="H943" s="38" t="s">
        <v>659</v>
      </c>
      <c r="I943" s="38" t="s">
        <v>639</v>
      </c>
      <c r="J943" s="38">
        <v>3</v>
      </c>
      <c r="K943" s="38" t="s">
        <v>645</v>
      </c>
      <c r="L943" s="52" t="s">
        <v>213</v>
      </c>
      <c r="M943" s="53" t="s">
        <v>213</v>
      </c>
    </row>
    <row r="944" spans="1:13" x14ac:dyDescent="0.3">
      <c r="A944" s="37">
        <v>40</v>
      </c>
      <c r="B944" s="38" t="s">
        <v>663</v>
      </c>
      <c r="C944" s="51">
        <v>7894916509343</v>
      </c>
      <c r="D944" s="40" t="s">
        <v>619</v>
      </c>
      <c r="E944" s="40"/>
      <c r="F944" s="40">
        <v>344</v>
      </c>
      <c r="G944" s="38"/>
      <c r="H944" s="38" t="s">
        <v>664</v>
      </c>
      <c r="I944" s="38" t="s">
        <v>88</v>
      </c>
      <c r="J944" s="38">
        <v>4</v>
      </c>
      <c r="K944" s="56">
        <v>0.3</v>
      </c>
      <c r="L944" s="52" t="s">
        <v>213</v>
      </c>
      <c r="M944" s="53" t="s">
        <v>213</v>
      </c>
    </row>
    <row r="945" spans="1:13" x14ac:dyDescent="0.3">
      <c r="A945" s="37">
        <v>40</v>
      </c>
      <c r="B945" s="38" t="s">
        <v>663</v>
      </c>
      <c r="C945" s="51">
        <v>7894916509343</v>
      </c>
      <c r="D945" s="40" t="s">
        <v>619</v>
      </c>
      <c r="E945" s="40"/>
      <c r="F945" s="40">
        <v>592</v>
      </c>
      <c r="G945" s="38"/>
      <c r="H945" s="38" t="s">
        <v>665</v>
      </c>
      <c r="I945" s="38" t="s">
        <v>88</v>
      </c>
      <c r="J945" s="38">
        <v>4</v>
      </c>
      <c r="K945" s="56">
        <v>0.3</v>
      </c>
      <c r="L945" s="52" t="s">
        <v>213</v>
      </c>
      <c r="M945" s="53" t="s">
        <v>213</v>
      </c>
    </row>
    <row r="946" spans="1:13" x14ac:dyDescent="0.3">
      <c r="A946" s="37">
        <v>40</v>
      </c>
      <c r="B946" s="38" t="s">
        <v>666</v>
      </c>
      <c r="C946" s="51">
        <v>7894916509350</v>
      </c>
      <c r="D946" s="40" t="s">
        <v>619</v>
      </c>
      <c r="E946" s="40"/>
      <c r="F946" s="40">
        <v>344</v>
      </c>
      <c r="G946" s="38"/>
      <c r="H946" s="38" t="s">
        <v>664</v>
      </c>
      <c r="I946" s="38" t="s">
        <v>88</v>
      </c>
      <c r="J946" s="38">
        <v>4</v>
      </c>
      <c r="K946" s="56">
        <v>0.3</v>
      </c>
      <c r="L946" s="52" t="s">
        <v>213</v>
      </c>
      <c r="M946" s="53" t="s">
        <v>213</v>
      </c>
    </row>
    <row r="947" spans="1:13" x14ac:dyDescent="0.3">
      <c r="A947" s="37">
        <v>40</v>
      </c>
      <c r="B947" s="38" t="s">
        <v>666</v>
      </c>
      <c r="C947" s="51">
        <v>7894916509350</v>
      </c>
      <c r="D947" s="40" t="s">
        <v>619</v>
      </c>
      <c r="E947" s="40"/>
      <c r="F947" s="40">
        <v>592</v>
      </c>
      <c r="G947" s="38"/>
      <c r="H947" s="38" t="s">
        <v>665</v>
      </c>
      <c r="I947" s="38" t="s">
        <v>88</v>
      </c>
      <c r="J947" s="38">
        <v>4</v>
      </c>
      <c r="K947" s="56">
        <v>0.3</v>
      </c>
      <c r="L947" s="52" t="s">
        <v>213</v>
      </c>
      <c r="M947" s="53" t="s">
        <v>213</v>
      </c>
    </row>
    <row r="948" spans="1:13" x14ac:dyDescent="0.3">
      <c r="A948" s="37">
        <v>40</v>
      </c>
      <c r="B948" s="38" t="s">
        <v>667</v>
      </c>
      <c r="C948" s="51">
        <v>7894916509510</v>
      </c>
      <c r="D948" s="40" t="s">
        <v>619</v>
      </c>
      <c r="E948" s="40"/>
      <c r="F948" s="40">
        <v>385</v>
      </c>
      <c r="G948" s="38"/>
      <c r="H948" s="38" t="s">
        <v>668</v>
      </c>
      <c r="I948" s="38" t="s">
        <v>351</v>
      </c>
      <c r="J948" s="38">
        <v>1</v>
      </c>
      <c r="K948" s="38" t="s">
        <v>669</v>
      </c>
      <c r="L948" s="52" t="s">
        <v>213</v>
      </c>
      <c r="M948" s="53" t="s">
        <v>213</v>
      </c>
    </row>
    <row r="949" spans="1:13" x14ac:dyDescent="0.3">
      <c r="A949" s="37">
        <v>40</v>
      </c>
      <c r="B949" s="38" t="s">
        <v>670</v>
      </c>
      <c r="C949" s="51">
        <v>7894916509541</v>
      </c>
      <c r="D949" s="40" t="s">
        <v>619</v>
      </c>
      <c r="E949" s="40"/>
      <c r="F949" s="40">
        <v>347</v>
      </c>
      <c r="G949" s="38"/>
      <c r="H949" s="38" t="s">
        <v>671</v>
      </c>
      <c r="I949" s="38" t="s">
        <v>672</v>
      </c>
      <c r="J949" s="38">
        <v>2</v>
      </c>
      <c r="K949" s="38" t="s">
        <v>673</v>
      </c>
      <c r="L949" s="52" t="s">
        <v>213</v>
      </c>
      <c r="M949" s="53" t="s">
        <v>213</v>
      </c>
    </row>
    <row r="950" spans="1:13" x14ac:dyDescent="0.3">
      <c r="A950" s="37">
        <v>40</v>
      </c>
      <c r="B950" s="38" t="s">
        <v>670</v>
      </c>
      <c r="C950" s="51">
        <v>7894916509541</v>
      </c>
      <c r="D950" s="40" t="s">
        <v>619</v>
      </c>
      <c r="E950" s="40"/>
      <c r="F950" s="40">
        <v>656</v>
      </c>
      <c r="G950" s="38"/>
      <c r="H950" s="38" t="s">
        <v>674</v>
      </c>
      <c r="I950" s="38" t="s">
        <v>672</v>
      </c>
      <c r="J950" s="38">
        <v>2</v>
      </c>
      <c r="K950" s="38" t="s">
        <v>673</v>
      </c>
      <c r="L950" s="52" t="s">
        <v>213</v>
      </c>
      <c r="M950" s="53" t="s">
        <v>213</v>
      </c>
    </row>
    <row r="951" spans="1:13" x14ac:dyDescent="0.3">
      <c r="A951" s="37">
        <v>40</v>
      </c>
      <c r="B951" s="38" t="s">
        <v>675</v>
      </c>
      <c r="C951" s="51">
        <v>7894916509626</v>
      </c>
      <c r="D951" s="40" t="s">
        <v>619</v>
      </c>
      <c r="E951" s="40"/>
      <c r="F951" s="40">
        <v>382</v>
      </c>
      <c r="G951" s="38"/>
      <c r="H951" s="38" t="s">
        <v>632</v>
      </c>
      <c r="I951" s="38" t="s">
        <v>88</v>
      </c>
      <c r="J951" s="38">
        <v>4</v>
      </c>
      <c r="K951" s="56">
        <v>0.25</v>
      </c>
      <c r="L951" s="52" t="s">
        <v>213</v>
      </c>
      <c r="M951" s="53" t="s">
        <v>213</v>
      </c>
    </row>
    <row r="952" spans="1:13" x14ac:dyDescent="0.3">
      <c r="A952" s="37">
        <v>40</v>
      </c>
      <c r="B952" s="38" t="s">
        <v>675</v>
      </c>
      <c r="C952" s="51">
        <v>7894916509626</v>
      </c>
      <c r="D952" s="40" t="s">
        <v>619</v>
      </c>
      <c r="E952" s="40"/>
      <c r="F952" s="40">
        <v>390</v>
      </c>
      <c r="G952" s="38"/>
      <c r="H952" s="38" t="s">
        <v>633</v>
      </c>
      <c r="I952" s="38" t="s">
        <v>480</v>
      </c>
      <c r="J952" s="49" t="s">
        <v>213</v>
      </c>
      <c r="K952" s="38" t="s">
        <v>480</v>
      </c>
      <c r="L952" s="49" t="s">
        <v>213</v>
      </c>
      <c r="M952" s="54" t="s">
        <v>213</v>
      </c>
    </row>
    <row r="953" spans="1:13" x14ac:dyDescent="0.3">
      <c r="A953" s="37">
        <v>40</v>
      </c>
      <c r="B953" s="38" t="s">
        <v>675</v>
      </c>
      <c r="C953" s="51">
        <v>7894916509626</v>
      </c>
      <c r="D953" s="40" t="s">
        <v>619</v>
      </c>
      <c r="E953" s="40"/>
      <c r="F953" s="40">
        <v>593</v>
      </c>
      <c r="G953" s="38"/>
      <c r="H953" s="38" t="s">
        <v>634</v>
      </c>
      <c r="I953" s="38" t="s">
        <v>88</v>
      </c>
      <c r="J953" s="38">
        <v>4</v>
      </c>
      <c r="K953" s="56">
        <v>0.25</v>
      </c>
      <c r="L953" s="52" t="s">
        <v>213</v>
      </c>
      <c r="M953" s="53" t="s">
        <v>213</v>
      </c>
    </row>
    <row r="954" spans="1:13" x14ac:dyDescent="0.3">
      <c r="A954" s="37">
        <v>40</v>
      </c>
      <c r="B954" s="38" t="s">
        <v>675</v>
      </c>
      <c r="C954" s="51">
        <v>7894916509626</v>
      </c>
      <c r="D954" s="40" t="s">
        <v>619</v>
      </c>
      <c r="E954" s="40"/>
      <c r="F954" s="40">
        <v>978</v>
      </c>
      <c r="G954" s="38"/>
      <c r="H954" s="38" t="s">
        <v>636</v>
      </c>
      <c r="I954" s="38" t="s">
        <v>480</v>
      </c>
      <c r="J954" s="49" t="s">
        <v>213</v>
      </c>
      <c r="K954" s="38" t="s">
        <v>480</v>
      </c>
      <c r="L954" s="49" t="s">
        <v>213</v>
      </c>
      <c r="M954" s="54" t="s">
        <v>213</v>
      </c>
    </row>
    <row r="955" spans="1:13" x14ac:dyDescent="0.3">
      <c r="A955" s="37">
        <v>40</v>
      </c>
      <c r="B955" s="38" t="s">
        <v>676</v>
      </c>
      <c r="C955" s="51">
        <v>7894916509831</v>
      </c>
      <c r="D955" s="40" t="s">
        <v>619</v>
      </c>
      <c r="E955" s="40"/>
      <c r="F955" s="40">
        <v>384</v>
      </c>
      <c r="G955" s="38"/>
      <c r="H955" s="38" t="s">
        <v>653</v>
      </c>
      <c r="I955" s="38" t="s">
        <v>88</v>
      </c>
      <c r="J955" s="38">
        <v>2</v>
      </c>
      <c r="K955" s="56">
        <v>0.35</v>
      </c>
      <c r="L955" s="52" t="s">
        <v>213</v>
      </c>
      <c r="M955" s="53" t="s">
        <v>213</v>
      </c>
    </row>
    <row r="956" spans="1:13" x14ac:dyDescent="0.3">
      <c r="A956" s="37">
        <v>40</v>
      </c>
      <c r="B956" s="38" t="s">
        <v>676</v>
      </c>
      <c r="C956" s="51">
        <v>7894916509831</v>
      </c>
      <c r="D956" s="40" t="s">
        <v>619</v>
      </c>
      <c r="E956" s="40"/>
      <c r="F956" s="40">
        <v>640</v>
      </c>
      <c r="G956" s="38"/>
      <c r="H956" s="38" t="s">
        <v>654</v>
      </c>
      <c r="I956" s="38" t="s">
        <v>88</v>
      </c>
      <c r="J956" s="38">
        <v>2</v>
      </c>
      <c r="K956" s="56">
        <v>0.35</v>
      </c>
      <c r="L956" s="52" t="s">
        <v>213</v>
      </c>
      <c r="M956" s="53" t="s">
        <v>213</v>
      </c>
    </row>
    <row r="957" spans="1:13" x14ac:dyDescent="0.3">
      <c r="A957" s="37">
        <v>40</v>
      </c>
      <c r="B957" s="38" t="s">
        <v>676</v>
      </c>
      <c r="C957" s="51">
        <v>7894916509831</v>
      </c>
      <c r="D957" s="40" t="s">
        <v>619</v>
      </c>
      <c r="E957" s="40"/>
      <c r="F957" s="40">
        <v>641</v>
      </c>
      <c r="G957" s="38"/>
      <c r="H957" s="38" t="s">
        <v>655</v>
      </c>
      <c r="I957" s="38" t="s">
        <v>88</v>
      </c>
      <c r="J957" s="38">
        <v>2</v>
      </c>
      <c r="K957" s="56">
        <v>0.35</v>
      </c>
      <c r="L957" s="52" t="s">
        <v>213</v>
      </c>
      <c r="M957" s="53" t="s">
        <v>213</v>
      </c>
    </row>
    <row r="958" spans="1:13" x14ac:dyDescent="0.3">
      <c r="A958" s="37">
        <v>40</v>
      </c>
      <c r="B958" s="38" t="s">
        <v>677</v>
      </c>
      <c r="C958" s="51">
        <v>7894916510103</v>
      </c>
      <c r="D958" s="40" t="s">
        <v>619</v>
      </c>
      <c r="E958" s="40"/>
      <c r="F958" s="40">
        <v>835</v>
      </c>
      <c r="G958" s="38"/>
      <c r="H958" s="38" t="s">
        <v>659</v>
      </c>
      <c r="I958" s="38" t="s">
        <v>639</v>
      </c>
      <c r="J958" s="38">
        <v>3</v>
      </c>
      <c r="K958" s="38" t="s">
        <v>645</v>
      </c>
      <c r="L958" s="52" t="s">
        <v>213</v>
      </c>
      <c r="M958" s="53" t="s">
        <v>213</v>
      </c>
    </row>
    <row r="959" spans="1:13" x14ac:dyDescent="0.3">
      <c r="A959" s="37">
        <v>40</v>
      </c>
      <c r="B959" s="38" t="s">
        <v>678</v>
      </c>
      <c r="C959" s="51">
        <v>7894916510271</v>
      </c>
      <c r="D959" s="40" t="s">
        <v>619</v>
      </c>
      <c r="E959" s="40"/>
      <c r="F959" s="40">
        <v>509</v>
      </c>
      <c r="G959" s="38"/>
      <c r="H959" s="38" t="s">
        <v>679</v>
      </c>
      <c r="I959" s="38" t="s">
        <v>88</v>
      </c>
      <c r="J959" s="38">
        <v>4</v>
      </c>
      <c r="K959" s="56">
        <v>0.35</v>
      </c>
      <c r="L959" s="52" t="s">
        <v>213</v>
      </c>
      <c r="M959" s="53" t="s">
        <v>213</v>
      </c>
    </row>
    <row r="960" spans="1:13" x14ac:dyDescent="0.3">
      <c r="A960" s="37">
        <v>40</v>
      </c>
      <c r="B960" s="38" t="s">
        <v>678</v>
      </c>
      <c r="C960" s="51">
        <v>7894916510271</v>
      </c>
      <c r="D960" s="40" t="s">
        <v>619</v>
      </c>
      <c r="E960" s="40"/>
      <c r="F960" s="40">
        <v>638</v>
      </c>
      <c r="G960" s="38"/>
      <c r="H960" s="38" t="s">
        <v>680</v>
      </c>
      <c r="I960" s="38" t="s">
        <v>88</v>
      </c>
      <c r="J960" s="38">
        <v>4</v>
      </c>
      <c r="K960" s="56">
        <v>0.35</v>
      </c>
      <c r="L960" s="52" t="s">
        <v>213</v>
      </c>
      <c r="M960" s="53" t="s">
        <v>213</v>
      </c>
    </row>
    <row r="961" spans="1:13" x14ac:dyDescent="0.3">
      <c r="A961" s="37">
        <v>40</v>
      </c>
      <c r="B961" s="38" t="s">
        <v>678</v>
      </c>
      <c r="C961" s="51">
        <v>7894916510271</v>
      </c>
      <c r="D961" s="40" t="s">
        <v>619</v>
      </c>
      <c r="E961" s="40"/>
      <c r="F961" s="40">
        <v>639</v>
      </c>
      <c r="G961" s="38"/>
      <c r="H961" s="38" t="s">
        <v>681</v>
      </c>
      <c r="I961" s="38" t="s">
        <v>88</v>
      </c>
      <c r="J961" s="38">
        <v>4</v>
      </c>
      <c r="K961" s="56">
        <v>0.35</v>
      </c>
      <c r="L961" s="52" t="s">
        <v>213</v>
      </c>
      <c r="M961" s="53" t="s">
        <v>213</v>
      </c>
    </row>
    <row r="962" spans="1:13" x14ac:dyDescent="0.3">
      <c r="A962" s="37">
        <v>40</v>
      </c>
      <c r="B962" s="38" t="s">
        <v>682</v>
      </c>
      <c r="C962" s="51">
        <v>7894916510288</v>
      </c>
      <c r="D962" s="40" t="s">
        <v>619</v>
      </c>
      <c r="E962" s="40"/>
      <c r="F962" s="40">
        <v>509</v>
      </c>
      <c r="G962" s="38"/>
      <c r="H962" s="38" t="s">
        <v>679</v>
      </c>
      <c r="I962" s="38" t="s">
        <v>88</v>
      </c>
      <c r="J962" s="38">
        <v>4</v>
      </c>
      <c r="K962" s="56">
        <v>0.35</v>
      </c>
      <c r="L962" s="52" t="s">
        <v>213</v>
      </c>
      <c r="M962" s="53" t="s">
        <v>213</v>
      </c>
    </row>
    <row r="963" spans="1:13" x14ac:dyDescent="0.3">
      <c r="A963" s="37">
        <v>40</v>
      </c>
      <c r="B963" s="38" t="s">
        <v>682</v>
      </c>
      <c r="C963" s="51">
        <v>7894916510288</v>
      </c>
      <c r="D963" s="40" t="s">
        <v>619</v>
      </c>
      <c r="E963" s="40"/>
      <c r="F963" s="40">
        <v>638</v>
      </c>
      <c r="G963" s="38"/>
      <c r="H963" s="38" t="s">
        <v>680</v>
      </c>
      <c r="I963" s="38" t="s">
        <v>88</v>
      </c>
      <c r="J963" s="38">
        <v>4</v>
      </c>
      <c r="K963" s="56">
        <v>0.35</v>
      </c>
      <c r="L963" s="52" t="s">
        <v>213</v>
      </c>
      <c r="M963" s="53" t="s">
        <v>213</v>
      </c>
    </row>
    <row r="964" spans="1:13" x14ac:dyDescent="0.3">
      <c r="A964" s="37">
        <v>40</v>
      </c>
      <c r="B964" s="38" t="s">
        <v>682</v>
      </c>
      <c r="C964" s="51">
        <v>7894916510288</v>
      </c>
      <c r="D964" s="40" t="s">
        <v>619</v>
      </c>
      <c r="E964" s="40"/>
      <c r="F964" s="40">
        <v>639</v>
      </c>
      <c r="G964" s="38"/>
      <c r="H964" s="38" t="s">
        <v>681</v>
      </c>
      <c r="I964" s="38" t="s">
        <v>88</v>
      </c>
      <c r="J964" s="38">
        <v>4</v>
      </c>
      <c r="K964" s="56">
        <v>0.35</v>
      </c>
      <c r="L964" s="52" t="s">
        <v>213</v>
      </c>
      <c r="M964" s="53" t="s">
        <v>213</v>
      </c>
    </row>
    <row r="965" spans="1:13" x14ac:dyDescent="0.3">
      <c r="A965" s="37">
        <v>40</v>
      </c>
      <c r="B965" s="38" t="s">
        <v>32</v>
      </c>
      <c r="C965" s="51">
        <v>7894916510486</v>
      </c>
      <c r="D965" s="40" t="s">
        <v>619</v>
      </c>
      <c r="E965" s="40"/>
      <c r="F965" s="40">
        <v>759</v>
      </c>
      <c r="G965" s="38"/>
      <c r="H965" s="38" t="s">
        <v>683</v>
      </c>
      <c r="I965" s="38" t="s">
        <v>684</v>
      </c>
      <c r="J965" s="38">
        <v>4</v>
      </c>
      <c r="K965" s="38">
        <v>115.11</v>
      </c>
      <c r="L965" s="52" t="s">
        <v>213</v>
      </c>
      <c r="M965" s="53" t="s">
        <v>213</v>
      </c>
    </row>
    <row r="966" spans="1:13" x14ac:dyDescent="0.3">
      <c r="A966" s="37">
        <v>40</v>
      </c>
      <c r="B966" s="38" t="s">
        <v>685</v>
      </c>
      <c r="C966" s="51">
        <v>7894916510493</v>
      </c>
      <c r="D966" s="40" t="s">
        <v>619</v>
      </c>
      <c r="E966" s="40"/>
      <c r="F966" s="40">
        <v>759</v>
      </c>
      <c r="G966" s="38"/>
      <c r="H966" s="38" t="s">
        <v>683</v>
      </c>
      <c r="I966" s="38" t="s">
        <v>684</v>
      </c>
      <c r="J966" s="38">
        <v>2</v>
      </c>
      <c r="K966" s="38">
        <v>190.75</v>
      </c>
      <c r="L966" s="52" t="s">
        <v>213</v>
      </c>
      <c r="M966" s="53" t="s">
        <v>213</v>
      </c>
    </row>
    <row r="967" spans="1:13" x14ac:dyDescent="0.3">
      <c r="A967" s="37">
        <v>40</v>
      </c>
      <c r="B967" s="38" t="s">
        <v>686</v>
      </c>
      <c r="C967" s="51">
        <v>7894916510554</v>
      </c>
      <c r="D967" s="40" t="s">
        <v>619</v>
      </c>
      <c r="E967" s="40"/>
      <c r="F967" s="40">
        <v>638</v>
      </c>
      <c r="G967" s="38"/>
      <c r="H967" s="38" t="s">
        <v>680</v>
      </c>
      <c r="I967" s="38" t="s">
        <v>88</v>
      </c>
      <c r="J967" s="38">
        <v>4</v>
      </c>
      <c r="K967" s="56">
        <v>0.35</v>
      </c>
      <c r="L967" s="52" t="s">
        <v>213</v>
      </c>
      <c r="M967" s="53" t="s">
        <v>213</v>
      </c>
    </row>
    <row r="968" spans="1:13" x14ac:dyDescent="0.3">
      <c r="A968" s="37">
        <v>40</v>
      </c>
      <c r="B968" s="38" t="s">
        <v>686</v>
      </c>
      <c r="C968" s="51">
        <v>7894916510554</v>
      </c>
      <c r="D968" s="40" t="s">
        <v>619</v>
      </c>
      <c r="E968" s="40"/>
      <c r="F968" s="40">
        <v>639</v>
      </c>
      <c r="G968" s="38"/>
      <c r="H968" s="38" t="s">
        <v>681</v>
      </c>
      <c r="I968" s="38" t="s">
        <v>88</v>
      </c>
      <c r="J968" s="38">
        <v>4</v>
      </c>
      <c r="K968" s="56">
        <v>0.35</v>
      </c>
      <c r="L968" s="52" t="s">
        <v>213</v>
      </c>
      <c r="M968" s="53" t="s">
        <v>213</v>
      </c>
    </row>
    <row r="969" spans="1:13" x14ac:dyDescent="0.3">
      <c r="A969" s="37">
        <v>40</v>
      </c>
      <c r="B969" s="38" t="s">
        <v>687</v>
      </c>
      <c r="C969" s="51">
        <v>7894916512008</v>
      </c>
      <c r="D969" s="40" t="s">
        <v>619</v>
      </c>
      <c r="E969" s="40"/>
      <c r="F969" s="40">
        <v>344</v>
      </c>
      <c r="G969" s="38"/>
      <c r="H969" s="38" t="s">
        <v>664</v>
      </c>
      <c r="I969" s="38" t="s">
        <v>88</v>
      </c>
      <c r="J969" s="38">
        <v>4</v>
      </c>
      <c r="K969" s="56">
        <v>0.3</v>
      </c>
      <c r="L969" s="52" t="s">
        <v>213</v>
      </c>
      <c r="M969" s="53" t="s">
        <v>213</v>
      </c>
    </row>
    <row r="970" spans="1:13" x14ac:dyDescent="0.3">
      <c r="A970" s="37">
        <v>40</v>
      </c>
      <c r="B970" s="38" t="s">
        <v>687</v>
      </c>
      <c r="C970" s="51">
        <v>7894916512008</v>
      </c>
      <c r="D970" s="40" t="s">
        <v>619</v>
      </c>
      <c r="E970" s="40"/>
      <c r="F970" s="40">
        <v>592</v>
      </c>
      <c r="G970" s="38"/>
      <c r="H970" s="38" t="s">
        <v>665</v>
      </c>
      <c r="I970" s="38" t="s">
        <v>88</v>
      </c>
      <c r="J970" s="38">
        <v>4</v>
      </c>
      <c r="K970" s="56">
        <v>0.3</v>
      </c>
      <c r="L970" s="52" t="s">
        <v>213</v>
      </c>
      <c r="M970" s="53" t="s">
        <v>213</v>
      </c>
    </row>
    <row r="971" spans="1:13" x14ac:dyDescent="0.3">
      <c r="A971" s="37">
        <v>40</v>
      </c>
      <c r="B971" s="38" t="s">
        <v>688</v>
      </c>
      <c r="C971" s="51">
        <v>7894916512015</v>
      </c>
      <c r="D971" s="40" t="s">
        <v>619</v>
      </c>
      <c r="E971" s="40"/>
      <c r="F971" s="40">
        <v>344</v>
      </c>
      <c r="G971" s="38"/>
      <c r="H971" s="38" t="s">
        <v>664</v>
      </c>
      <c r="I971" s="38" t="s">
        <v>88</v>
      </c>
      <c r="J971" s="38">
        <v>4</v>
      </c>
      <c r="K971" s="56">
        <v>0.3</v>
      </c>
      <c r="L971" s="52" t="s">
        <v>213</v>
      </c>
      <c r="M971" s="53" t="s">
        <v>213</v>
      </c>
    </row>
    <row r="972" spans="1:13" x14ac:dyDescent="0.3">
      <c r="A972" s="37">
        <v>40</v>
      </c>
      <c r="B972" s="38" t="s">
        <v>688</v>
      </c>
      <c r="C972" s="51">
        <v>7894916512015</v>
      </c>
      <c r="D972" s="40" t="s">
        <v>619</v>
      </c>
      <c r="E972" s="40"/>
      <c r="F972" s="40">
        <v>592</v>
      </c>
      <c r="G972" s="38"/>
      <c r="H972" s="38" t="s">
        <v>665</v>
      </c>
      <c r="I972" s="38" t="s">
        <v>88</v>
      </c>
      <c r="J972" s="38">
        <v>4</v>
      </c>
      <c r="K972" s="56">
        <v>0.3</v>
      </c>
      <c r="L972" s="52" t="s">
        <v>213</v>
      </c>
      <c r="M972" s="53" t="s">
        <v>213</v>
      </c>
    </row>
    <row r="973" spans="1:13" x14ac:dyDescent="0.3">
      <c r="A973" s="37">
        <v>40</v>
      </c>
      <c r="B973" s="38" t="s">
        <v>689</v>
      </c>
      <c r="C973" s="51">
        <v>7894916512442</v>
      </c>
      <c r="D973" s="40" t="s">
        <v>619</v>
      </c>
      <c r="E973" s="40"/>
      <c r="F973" s="40">
        <v>981</v>
      </c>
      <c r="G973" s="38"/>
      <c r="H973" s="38" t="s">
        <v>690</v>
      </c>
      <c r="I973" s="38" t="s">
        <v>672</v>
      </c>
      <c r="J973" s="38">
        <v>4</v>
      </c>
      <c r="K973" s="38" t="s">
        <v>691</v>
      </c>
      <c r="L973" s="52" t="s">
        <v>213</v>
      </c>
      <c r="M973" s="53" t="s">
        <v>213</v>
      </c>
    </row>
    <row r="974" spans="1:13" x14ac:dyDescent="0.3">
      <c r="A974" s="37">
        <v>40</v>
      </c>
      <c r="B974" s="38" t="s">
        <v>692</v>
      </c>
      <c r="C974" s="51">
        <v>7894916512466</v>
      </c>
      <c r="D974" s="40" t="s">
        <v>619</v>
      </c>
      <c r="E974" s="40"/>
      <c r="F974" s="40">
        <v>981</v>
      </c>
      <c r="G974" s="38"/>
      <c r="H974" s="38" t="s">
        <v>690</v>
      </c>
      <c r="I974" s="38" t="s">
        <v>672</v>
      </c>
      <c r="J974" s="38">
        <v>4</v>
      </c>
      <c r="K974" s="38" t="s">
        <v>691</v>
      </c>
      <c r="L974" s="52" t="s">
        <v>213</v>
      </c>
      <c r="M974" s="53" t="s">
        <v>213</v>
      </c>
    </row>
    <row r="975" spans="1:13" x14ac:dyDescent="0.3">
      <c r="A975" s="37">
        <v>40</v>
      </c>
      <c r="B975" s="38" t="s">
        <v>693</v>
      </c>
      <c r="C975" s="51">
        <v>7894916512480</v>
      </c>
      <c r="D975" s="40" t="s">
        <v>619</v>
      </c>
      <c r="E975" s="40"/>
      <c r="F975" s="40">
        <v>836</v>
      </c>
      <c r="G975" s="38"/>
      <c r="H975" s="38" t="s">
        <v>644</v>
      </c>
      <c r="I975" s="38" t="s">
        <v>639</v>
      </c>
      <c r="J975" s="38">
        <v>3</v>
      </c>
      <c r="K975" s="38" t="s">
        <v>645</v>
      </c>
      <c r="L975" s="52" t="s">
        <v>213</v>
      </c>
      <c r="M975" s="53" t="s">
        <v>213</v>
      </c>
    </row>
    <row r="976" spans="1:13" x14ac:dyDescent="0.3">
      <c r="A976" s="37">
        <v>40</v>
      </c>
      <c r="B976" s="38" t="s">
        <v>694</v>
      </c>
      <c r="C976" s="51">
        <v>7894916512565</v>
      </c>
      <c r="D976" s="40" t="s">
        <v>619</v>
      </c>
      <c r="E976" s="40"/>
      <c r="F976" s="40">
        <v>347</v>
      </c>
      <c r="G976" s="38"/>
      <c r="H976" s="38" t="s">
        <v>671</v>
      </c>
      <c r="I976" s="38" t="s">
        <v>672</v>
      </c>
      <c r="J976" s="38">
        <v>2</v>
      </c>
      <c r="K976" s="38" t="s">
        <v>673</v>
      </c>
      <c r="L976" s="52" t="s">
        <v>213</v>
      </c>
      <c r="M976" s="53" t="s">
        <v>213</v>
      </c>
    </row>
    <row r="977" spans="1:13" x14ac:dyDescent="0.3">
      <c r="A977" s="37">
        <v>40</v>
      </c>
      <c r="B977" s="38" t="s">
        <v>694</v>
      </c>
      <c r="C977" s="51">
        <v>7894916512565</v>
      </c>
      <c r="D977" s="40" t="s">
        <v>619</v>
      </c>
      <c r="E977" s="40"/>
      <c r="F977" s="40">
        <v>656</v>
      </c>
      <c r="G977" s="38"/>
      <c r="H977" s="38" t="s">
        <v>674</v>
      </c>
      <c r="I977" s="38" t="s">
        <v>672</v>
      </c>
      <c r="J977" s="38">
        <v>2</v>
      </c>
      <c r="K977" s="38" t="s">
        <v>673</v>
      </c>
      <c r="L977" s="52" t="s">
        <v>213</v>
      </c>
      <c r="M977" s="53" t="s">
        <v>213</v>
      </c>
    </row>
    <row r="978" spans="1:13" x14ac:dyDescent="0.3">
      <c r="A978" s="37">
        <v>40</v>
      </c>
      <c r="B978" s="38" t="s">
        <v>694</v>
      </c>
      <c r="C978" s="51">
        <v>7894916512565</v>
      </c>
      <c r="D978" s="40" t="s">
        <v>619</v>
      </c>
      <c r="E978" s="40"/>
      <c r="F978" s="40">
        <v>995</v>
      </c>
      <c r="G978" s="38"/>
      <c r="H978" s="38" t="s">
        <v>695</v>
      </c>
      <c r="I978" s="38" t="s">
        <v>88</v>
      </c>
      <c r="J978" s="38">
        <v>2</v>
      </c>
      <c r="K978" s="56">
        <v>0.4</v>
      </c>
      <c r="L978" s="52" t="s">
        <v>213</v>
      </c>
      <c r="M978" s="53" t="s">
        <v>213</v>
      </c>
    </row>
    <row r="979" spans="1:13" x14ac:dyDescent="0.3">
      <c r="A979" s="37">
        <v>40</v>
      </c>
      <c r="B979" s="38" t="s">
        <v>667</v>
      </c>
      <c r="C979" s="51">
        <v>7894916512992</v>
      </c>
      <c r="D979" s="40" t="s">
        <v>619</v>
      </c>
      <c r="E979" s="40"/>
      <c r="F979" s="40">
        <v>385</v>
      </c>
      <c r="G979" s="38"/>
      <c r="H979" s="38" t="s">
        <v>668</v>
      </c>
      <c r="I979" s="38" t="s">
        <v>351</v>
      </c>
      <c r="J979" s="38">
        <v>1</v>
      </c>
      <c r="K979" s="38" t="s">
        <v>669</v>
      </c>
      <c r="L979" s="52" t="s">
        <v>213</v>
      </c>
      <c r="M979" s="53" t="s">
        <v>213</v>
      </c>
    </row>
    <row r="980" spans="1:13" x14ac:dyDescent="0.3">
      <c r="A980" s="37">
        <v>40</v>
      </c>
      <c r="B980" s="38" t="s">
        <v>667</v>
      </c>
      <c r="C980" s="51">
        <v>7894916512992</v>
      </c>
      <c r="D980" s="40" t="s">
        <v>619</v>
      </c>
      <c r="E980" s="40"/>
      <c r="F980" s="40">
        <v>386</v>
      </c>
      <c r="G980" s="38"/>
      <c r="H980" s="38" t="s">
        <v>696</v>
      </c>
      <c r="I980" s="38" t="s">
        <v>88</v>
      </c>
      <c r="J980" s="38">
        <v>4</v>
      </c>
      <c r="K980" s="56">
        <v>0.35</v>
      </c>
      <c r="L980" s="52" t="s">
        <v>213</v>
      </c>
      <c r="M980" s="53" t="s">
        <v>213</v>
      </c>
    </row>
    <row r="981" spans="1:13" x14ac:dyDescent="0.3">
      <c r="A981" s="37">
        <v>40</v>
      </c>
      <c r="B981" s="38" t="s">
        <v>697</v>
      </c>
      <c r="C981" s="51">
        <v>7894916513012</v>
      </c>
      <c r="D981" s="40" t="s">
        <v>619</v>
      </c>
      <c r="E981" s="40"/>
      <c r="F981" s="40">
        <v>981</v>
      </c>
      <c r="G981" s="38"/>
      <c r="H981" s="38" t="s">
        <v>690</v>
      </c>
      <c r="I981" s="38" t="s">
        <v>88</v>
      </c>
      <c r="J981" s="38">
        <v>4</v>
      </c>
      <c r="K981" s="56">
        <v>0.2</v>
      </c>
      <c r="L981" s="52" t="s">
        <v>213</v>
      </c>
      <c r="M981" s="53" t="s">
        <v>213</v>
      </c>
    </row>
    <row r="982" spans="1:13" x14ac:dyDescent="0.3">
      <c r="A982" s="37">
        <v>40</v>
      </c>
      <c r="B982" s="38" t="s">
        <v>698</v>
      </c>
      <c r="C982" s="51">
        <v>7894916513029</v>
      </c>
      <c r="D982" s="40" t="s">
        <v>619</v>
      </c>
      <c r="E982" s="40"/>
      <c r="F982" s="40">
        <v>981</v>
      </c>
      <c r="G982" s="38"/>
      <c r="H982" s="38" t="s">
        <v>690</v>
      </c>
      <c r="I982" s="38" t="s">
        <v>88</v>
      </c>
      <c r="J982" s="38">
        <v>4</v>
      </c>
      <c r="K982" s="56">
        <v>0.2</v>
      </c>
      <c r="L982" s="52" t="s">
        <v>213</v>
      </c>
      <c r="M982" s="53" t="s">
        <v>213</v>
      </c>
    </row>
    <row r="983" spans="1:13" x14ac:dyDescent="0.3">
      <c r="A983" s="37">
        <v>40</v>
      </c>
      <c r="B983" s="38" t="s">
        <v>699</v>
      </c>
      <c r="C983" s="51">
        <v>7894916513173</v>
      </c>
      <c r="D983" s="40" t="s">
        <v>619</v>
      </c>
      <c r="E983" s="40"/>
      <c r="F983" s="40">
        <v>978</v>
      </c>
      <c r="G983" s="38"/>
      <c r="H983" s="38" t="s">
        <v>636</v>
      </c>
      <c r="I983" s="38" t="s">
        <v>480</v>
      </c>
      <c r="J983" s="49" t="s">
        <v>213</v>
      </c>
      <c r="K983" s="38" t="s">
        <v>480</v>
      </c>
      <c r="L983" s="49" t="s">
        <v>213</v>
      </c>
      <c r="M983" s="54" t="s">
        <v>213</v>
      </c>
    </row>
    <row r="984" spans="1:13" x14ac:dyDescent="0.3">
      <c r="A984" s="37">
        <v>40</v>
      </c>
      <c r="B984" s="38" t="s">
        <v>700</v>
      </c>
      <c r="C984" s="51">
        <v>7894916513197</v>
      </c>
      <c r="D984" s="40" t="s">
        <v>619</v>
      </c>
      <c r="E984" s="40"/>
      <c r="F984" s="40">
        <v>978</v>
      </c>
      <c r="G984" s="38"/>
      <c r="H984" s="38" t="s">
        <v>636</v>
      </c>
      <c r="I984" s="38" t="s">
        <v>480</v>
      </c>
      <c r="J984" s="49" t="s">
        <v>213</v>
      </c>
      <c r="K984" s="38" t="s">
        <v>480</v>
      </c>
      <c r="L984" s="49" t="s">
        <v>213</v>
      </c>
      <c r="M984" s="54" t="s">
        <v>213</v>
      </c>
    </row>
    <row r="985" spans="1:13" x14ac:dyDescent="0.3">
      <c r="A985" s="37">
        <v>40</v>
      </c>
      <c r="B985" s="38" t="s">
        <v>39</v>
      </c>
      <c r="C985" s="51">
        <v>7894916513234</v>
      </c>
      <c r="D985" s="40" t="s">
        <v>619</v>
      </c>
      <c r="E985" s="40"/>
      <c r="F985" s="40">
        <v>833</v>
      </c>
      <c r="G985" s="38"/>
      <c r="H985" s="38" t="s">
        <v>701</v>
      </c>
      <c r="I985" s="38" t="s">
        <v>684</v>
      </c>
      <c r="J985" s="38">
        <v>4</v>
      </c>
      <c r="K985" s="38">
        <v>131.88</v>
      </c>
      <c r="L985" s="52" t="s">
        <v>213</v>
      </c>
      <c r="M985" s="53" t="s">
        <v>213</v>
      </c>
    </row>
    <row r="986" spans="1:13" x14ac:dyDescent="0.3">
      <c r="A986" s="37">
        <v>40</v>
      </c>
      <c r="B986" s="38" t="s">
        <v>702</v>
      </c>
      <c r="C986" s="51">
        <v>7894916513241</v>
      </c>
      <c r="D986" s="40" t="s">
        <v>619</v>
      </c>
      <c r="E986" s="40"/>
      <c r="F986" s="40">
        <v>833</v>
      </c>
      <c r="G986" s="38"/>
      <c r="H986" s="38" t="s">
        <v>701</v>
      </c>
      <c r="I986" s="38" t="s">
        <v>684</v>
      </c>
      <c r="J986" s="38">
        <v>2</v>
      </c>
      <c r="K986" s="38">
        <v>218.99</v>
      </c>
      <c r="L986" s="52" t="s">
        <v>213</v>
      </c>
      <c r="M986" s="53" t="s">
        <v>213</v>
      </c>
    </row>
    <row r="987" spans="1:13" x14ac:dyDescent="0.3">
      <c r="A987" s="37">
        <v>40</v>
      </c>
      <c r="B987" s="38" t="s">
        <v>703</v>
      </c>
      <c r="C987" s="51">
        <v>7894916514712</v>
      </c>
      <c r="D987" s="40" t="s">
        <v>619</v>
      </c>
      <c r="E987" s="40"/>
      <c r="F987" s="40">
        <v>997</v>
      </c>
      <c r="G987" s="38"/>
      <c r="H987" s="38" t="s">
        <v>704</v>
      </c>
      <c r="I987" s="38" t="s">
        <v>88</v>
      </c>
      <c r="J987" s="38">
        <v>4</v>
      </c>
      <c r="K987" s="56">
        <v>0.3</v>
      </c>
      <c r="L987" s="52" t="s">
        <v>213</v>
      </c>
      <c r="M987" s="53" t="s">
        <v>213</v>
      </c>
    </row>
    <row r="988" spans="1:13" x14ac:dyDescent="0.3">
      <c r="A988" s="37">
        <v>40</v>
      </c>
      <c r="B988" s="38" t="s">
        <v>705</v>
      </c>
      <c r="C988" s="51">
        <v>7894916514729</v>
      </c>
      <c r="D988" s="40" t="s">
        <v>619</v>
      </c>
      <c r="E988" s="40"/>
      <c r="F988" s="40">
        <v>997</v>
      </c>
      <c r="G988" s="38"/>
      <c r="H988" s="38" t="s">
        <v>704</v>
      </c>
      <c r="I988" s="38" t="s">
        <v>88</v>
      </c>
      <c r="J988" s="38">
        <v>4</v>
      </c>
      <c r="K988" s="56">
        <v>0.3</v>
      </c>
      <c r="L988" s="52" t="s">
        <v>213</v>
      </c>
      <c r="M988" s="53" t="s">
        <v>213</v>
      </c>
    </row>
    <row r="989" spans="1:13" x14ac:dyDescent="0.3">
      <c r="A989" s="37">
        <v>40</v>
      </c>
      <c r="B989" s="38" t="s">
        <v>706</v>
      </c>
      <c r="C989" s="51">
        <v>7894916514736</v>
      </c>
      <c r="D989" s="40" t="s">
        <v>619</v>
      </c>
      <c r="E989" s="40"/>
      <c r="F989" s="40">
        <v>997</v>
      </c>
      <c r="G989" s="38"/>
      <c r="H989" s="38" t="s">
        <v>704</v>
      </c>
      <c r="I989" s="38" t="s">
        <v>88</v>
      </c>
      <c r="J989" s="38">
        <v>4</v>
      </c>
      <c r="K989" s="56">
        <v>0.3</v>
      </c>
      <c r="L989" s="52" t="s">
        <v>213</v>
      </c>
      <c r="M989" s="53" t="s">
        <v>213</v>
      </c>
    </row>
    <row r="990" spans="1:13" x14ac:dyDescent="0.3">
      <c r="A990" s="37">
        <v>40</v>
      </c>
      <c r="B990" s="38" t="s">
        <v>707</v>
      </c>
      <c r="C990" s="51">
        <v>7894916515207</v>
      </c>
      <c r="D990" s="40" t="s">
        <v>619</v>
      </c>
      <c r="E990" s="40"/>
      <c r="F990" s="40">
        <v>759</v>
      </c>
      <c r="G990" s="38"/>
      <c r="H990" s="38" t="s">
        <v>683</v>
      </c>
      <c r="I990" s="38" t="s">
        <v>684</v>
      </c>
      <c r="J990" s="38">
        <v>2</v>
      </c>
      <c r="K990" s="38">
        <v>190.75</v>
      </c>
      <c r="L990" s="52" t="s">
        <v>213</v>
      </c>
      <c r="M990" s="53" t="s">
        <v>213</v>
      </c>
    </row>
    <row r="991" spans="1:13" x14ac:dyDescent="0.3">
      <c r="A991" s="37">
        <v>40</v>
      </c>
      <c r="B991" s="38" t="s">
        <v>44</v>
      </c>
      <c r="C991" s="51">
        <v>7894916515214</v>
      </c>
      <c r="D991" s="40" t="s">
        <v>619</v>
      </c>
      <c r="E991" s="40"/>
      <c r="F991" s="40">
        <v>833</v>
      </c>
      <c r="G991" s="38"/>
      <c r="H991" s="38" t="s">
        <v>701</v>
      </c>
      <c r="I991" s="38" t="s">
        <v>684</v>
      </c>
      <c r="J991" s="38">
        <v>2</v>
      </c>
      <c r="K991" s="38">
        <v>218.99</v>
      </c>
      <c r="L991" s="52" t="s">
        <v>213</v>
      </c>
      <c r="M991" s="53" t="s">
        <v>213</v>
      </c>
    </row>
    <row r="992" spans="1:13" x14ac:dyDescent="0.3">
      <c r="A992" s="37">
        <v>40</v>
      </c>
      <c r="B992" s="38" t="s">
        <v>708</v>
      </c>
      <c r="C992" s="51">
        <v>7894916515559</v>
      </c>
      <c r="D992" s="40" t="s">
        <v>619</v>
      </c>
      <c r="E992" s="40"/>
      <c r="F992" s="40">
        <v>385</v>
      </c>
      <c r="G992" s="38"/>
      <c r="H992" s="38" t="s">
        <v>668</v>
      </c>
      <c r="I992" s="38" t="s">
        <v>351</v>
      </c>
      <c r="J992" s="38">
        <v>1</v>
      </c>
      <c r="K992" s="38" t="s">
        <v>669</v>
      </c>
      <c r="L992" s="52" t="s">
        <v>213</v>
      </c>
      <c r="M992" s="53" t="s">
        <v>213</v>
      </c>
    </row>
    <row r="993" spans="1:13" x14ac:dyDescent="0.3">
      <c r="A993" s="37">
        <v>40</v>
      </c>
      <c r="B993" s="38" t="s">
        <v>708</v>
      </c>
      <c r="C993" s="51">
        <v>7894916515559</v>
      </c>
      <c r="D993" s="40" t="s">
        <v>619</v>
      </c>
      <c r="E993" s="40"/>
      <c r="F993" s="40">
        <v>386</v>
      </c>
      <c r="G993" s="38"/>
      <c r="H993" s="38" t="s">
        <v>696</v>
      </c>
      <c r="I993" s="38" t="s">
        <v>88</v>
      </c>
      <c r="J993" s="38">
        <v>4</v>
      </c>
      <c r="K993" s="56">
        <v>0.35</v>
      </c>
      <c r="L993" s="52" t="s">
        <v>213</v>
      </c>
      <c r="M993" s="53" t="s">
        <v>213</v>
      </c>
    </row>
    <row r="994" spans="1:13" x14ac:dyDescent="0.3">
      <c r="A994" s="37">
        <v>40</v>
      </c>
      <c r="B994" s="38" t="s">
        <v>28</v>
      </c>
      <c r="C994" s="51">
        <v>7896004724843</v>
      </c>
      <c r="D994" s="40" t="s">
        <v>619</v>
      </c>
      <c r="E994" s="40"/>
      <c r="F994" s="40">
        <v>771</v>
      </c>
      <c r="G994" s="38"/>
      <c r="H994" s="38" t="s">
        <v>709</v>
      </c>
      <c r="I994" s="38" t="s">
        <v>639</v>
      </c>
      <c r="J994" s="38">
        <v>4</v>
      </c>
      <c r="K994" s="38" t="s">
        <v>710</v>
      </c>
      <c r="L994" s="52" t="s">
        <v>213</v>
      </c>
      <c r="M994" s="53" t="s">
        <v>213</v>
      </c>
    </row>
    <row r="995" spans="1:13" x14ac:dyDescent="0.3">
      <c r="A995" s="37">
        <v>40</v>
      </c>
      <c r="B995" s="38" t="s">
        <v>711</v>
      </c>
      <c r="C995" s="51">
        <v>7896004725222</v>
      </c>
      <c r="D995" s="40" t="s">
        <v>619</v>
      </c>
      <c r="E995" s="40"/>
      <c r="F995" s="40">
        <v>773</v>
      </c>
      <c r="G995" s="38"/>
      <c r="H995" s="38" t="s">
        <v>712</v>
      </c>
      <c r="I995" s="38" t="s">
        <v>639</v>
      </c>
      <c r="J995" s="38">
        <v>3</v>
      </c>
      <c r="K995" s="38" t="s">
        <v>713</v>
      </c>
      <c r="L995" s="52" t="s">
        <v>213</v>
      </c>
      <c r="M995" s="53" t="s">
        <v>213</v>
      </c>
    </row>
    <row r="996" spans="1:13" x14ac:dyDescent="0.3">
      <c r="A996" s="37">
        <v>40</v>
      </c>
      <c r="B996" s="38" t="s">
        <v>41</v>
      </c>
      <c r="C996" s="51">
        <v>7896004725536</v>
      </c>
      <c r="D996" s="40" t="s">
        <v>619</v>
      </c>
      <c r="E996" s="40"/>
      <c r="F996" s="40">
        <v>774</v>
      </c>
      <c r="G996" s="38"/>
      <c r="H996" s="38" t="s">
        <v>714</v>
      </c>
      <c r="I996" s="38" t="s">
        <v>639</v>
      </c>
      <c r="J996" s="38">
        <v>3</v>
      </c>
      <c r="K996" s="38" t="s">
        <v>715</v>
      </c>
      <c r="L996" s="52" t="s">
        <v>213</v>
      </c>
      <c r="M996" s="53" t="s">
        <v>213</v>
      </c>
    </row>
    <row r="997" spans="1:13" x14ac:dyDescent="0.3">
      <c r="A997" s="37">
        <v>40</v>
      </c>
      <c r="B997" s="38" t="s">
        <v>716</v>
      </c>
      <c r="C997" s="51">
        <v>7896004726137</v>
      </c>
      <c r="D997" s="40" t="s">
        <v>619</v>
      </c>
      <c r="E997" s="40"/>
      <c r="F997" s="40">
        <v>772</v>
      </c>
      <c r="G997" s="38"/>
      <c r="H997" s="38" t="s">
        <v>717</v>
      </c>
      <c r="I997" s="38" t="s">
        <v>639</v>
      </c>
      <c r="J997" s="38">
        <v>3</v>
      </c>
      <c r="K997" s="38" t="s">
        <v>718</v>
      </c>
      <c r="L997" s="52" t="s">
        <v>213</v>
      </c>
      <c r="M997" s="53" t="s">
        <v>213</v>
      </c>
    </row>
    <row r="998" spans="1:13" x14ac:dyDescent="0.3">
      <c r="A998" s="37">
        <v>40</v>
      </c>
      <c r="B998" s="38" t="s">
        <v>719</v>
      </c>
      <c r="C998" s="51">
        <v>7896004749013</v>
      </c>
      <c r="D998" s="40" t="s">
        <v>619</v>
      </c>
      <c r="E998" s="40"/>
      <c r="F998" s="40">
        <v>706</v>
      </c>
      <c r="G998" s="38"/>
      <c r="H998" s="38" t="s">
        <v>720</v>
      </c>
      <c r="I998" s="38" t="s">
        <v>639</v>
      </c>
      <c r="J998" s="38">
        <v>3</v>
      </c>
      <c r="K998" s="38" t="s">
        <v>721</v>
      </c>
      <c r="L998" s="52" t="s">
        <v>213</v>
      </c>
      <c r="M998" s="53" t="s">
        <v>213</v>
      </c>
    </row>
    <row r="999" spans="1:13" x14ac:dyDescent="0.3">
      <c r="A999" s="37">
        <v>40</v>
      </c>
      <c r="B999" s="38" t="s">
        <v>722</v>
      </c>
      <c r="C999" s="51">
        <v>7896004749020</v>
      </c>
      <c r="D999" s="40" t="s">
        <v>619</v>
      </c>
      <c r="E999" s="40"/>
      <c r="F999" s="40">
        <v>705</v>
      </c>
      <c r="G999" s="38"/>
      <c r="H999" s="38" t="s">
        <v>723</v>
      </c>
      <c r="I999" s="38" t="s">
        <v>639</v>
      </c>
      <c r="J999" s="38">
        <v>3</v>
      </c>
      <c r="K999" s="38" t="s">
        <v>724</v>
      </c>
      <c r="L999" s="52" t="s">
        <v>213</v>
      </c>
      <c r="M999" s="53" t="s">
        <v>213</v>
      </c>
    </row>
    <row r="1000" spans="1:13" x14ac:dyDescent="0.3">
      <c r="A1000" s="37">
        <v>40</v>
      </c>
      <c r="B1000" s="38" t="s">
        <v>725</v>
      </c>
      <c r="C1000" s="51">
        <v>7896004756035</v>
      </c>
      <c r="D1000" s="40" t="s">
        <v>619</v>
      </c>
      <c r="E1000" s="40"/>
      <c r="F1000" s="40">
        <v>778</v>
      </c>
      <c r="G1000" s="38"/>
      <c r="H1000" s="38" t="s">
        <v>726</v>
      </c>
      <c r="I1000" s="38" t="s">
        <v>639</v>
      </c>
      <c r="J1000" s="38">
        <v>3</v>
      </c>
      <c r="K1000" s="38" t="s">
        <v>727</v>
      </c>
      <c r="L1000" s="52" t="s">
        <v>213</v>
      </c>
      <c r="M1000" s="53" t="s">
        <v>213</v>
      </c>
    </row>
    <row r="1001" spans="1:13" x14ac:dyDescent="0.3">
      <c r="A1001" s="37">
        <v>40</v>
      </c>
      <c r="B1001" s="38" t="s">
        <v>728</v>
      </c>
      <c r="C1001" s="51">
        <v>7896004757445</v>
      </c>
      <c r="D1001" s="40" t="s">
        <v>619</v>
      </c>
      <c r="E1001" s="40"/>
      <c r="F1001" s="40">
        <v>777</v>
      </c>
      <c r="G1001" s="38"/>
      <c r="H1001" s="38" t="s">
        <v>729</v>
      </c>
      <c r="I1001" s="38" t="s">
        <v>639</v>
      </c>
      <c r="J1001" s="38">
        <v>3</v>
      </c>
      <c r="K1001" s="38" t="s">
        <v>730</v>
      </c>
      <c r="L1001" s="52" t="s">
        <v>213</v>
      </c>
      <c r="M1001" s="53" t="s">
        <v>213</v>
      </c>
    </row>
    <row r="1002" spans="1:13" x14ac:dyDescent="0.3">
      <c r="A1002" s="37">
        <v>40</v>
      </c>
      <c r="B1002" s="38" t="s">
        <v>731</v>
      </c>
      <c r="C1002" s="51">
        <v>7896004757957</v>
      </c>
      <c r="D1002" s="40" t="s">
        <v>619</v>
      </c>
      <c r="E1002" s="40"/>
      <c r="F1002" s="40">
        <v>917</v>
      </c>
      <c r="G1002" s="38"/>
      <c r="H1002" s="38" t="s">
        <v>732</v>
      </c>
      <c r="I1002" s="38" t="s">
        <v>639</v>
      </c>
      <c r="J1002" s="38">
        <v>3</v>
      </c>
      <c r="K1002" s="38" t="s">
        <v>733</v>
      </c>
      <c r="L1002" s="52" t="s">
        <v>213</v>
      </c>
      <c r="M1002" s="53" t="s">
        <v>213</v>
      </c>
    </row>
    <row r="1003" spans="1:13" x14ac:dyDescent="0.3">
      <c r="A1003" s="37">
        <v>40</v>
      </c>
      <c r="B1003" s="38" t="s">
        <v>734</v>
      </c>
      <c r="C1003" s="51">
        <v>7896004759432</v>
      </c>
      <c r="D1003" s="40" t="s">
        <v>619</v>
      </c>
      <c r="E1003" s="40"/>
      <c r="F1003" s="40">
        <v>782</v>
      </c>
      <c r="G1003" s="38"/>
      <c r="H1003" s="38" t="s">
        <v>735</v>
      </c>
      <c r="I1003" s="38" t="s">
        <v>88</v>
      </c>
      <c r="J1003" s="38">
        <v>2</v>
      </c>
      <c r="K1003" s="56">
        <v>0.45</v>
      </c>
      <c r="L1003" s="52" t="s">
        <v>213</v>
      </c>
      <c r="M1003" s="53" t="s">
        <v>213</v>
      </c>
    </row>
    <row r="1004" spans="1:13" x14ac:dyDescent="0.3">
      <c r="A1004" s="37">
        <v>40</v>
      </c>
      <c r="B1004" s="38" t="s">
        <v>736</v>
      </c>
      <c r="C1004" s="51">
        <v>7896004760957</v>
      </c>
      <c r="D1004" s="40" t="s">
        <v>619</v>
      </c>
      <c r="E1004" s="40"/>
      <c r="F1004" s="40">
        <v>776</v>
      </c>
      <c r="G1004" s="38"/>
      <c r="H1004" s="38" t="s">
        <v>737</v>
      </c>
      <c r="I1004" s="38" t="s">
        <v>88</v>
      </c>
      <c r="J1004" s="38">
        <v>3</v>
      </c>
      <c r="K1004" s="56">
        <v>0.05</v>
      </c>
      <c r="L1004" s="52" t="s">
        <v>213</v>
      </c>
      <c r="M1004" s="53" t="s">
        <v>213</v>
      </c>
    </row>
    <row r="1005" spans="1:13" x14ac:dyDescent="0.3">
      <c r="A1005" s="37">
        <v>40</v>
      </c>
      <c r="B1005" s="38" t="s">
        <v>738</v>
      </c>
      <c r="C1005" s="51">
        <v>7896004762951</v>
      </c>
      <c r="D1005" s="40" t="s">
        <v>619</v>
      </c>
      <c r="E1005" s="40"/>
      <c r="F1005" s="40">
        <v>706</v>
      </c>
      <c r="G1005" s="38"/>
      <c r="H1005" s="38" t="s">
        <v>720</v>
      </c>
      <c r="I1005" s="38" t="s">
        <v>639</v>
      </c>
      <c r="J1005" s="38">
        <v>3</v>
      </c>
      <c r="K1005" s="38" t="s">
        <v>721</v>
      </c>
      <c r="L1005" s="52" t="s">
        <v>213</v>
      </c>
      <c r="M1005" s="53" t="s">
        <v>213</v>
      </c>
    </row>
    <row r="1006" spans="1:13" x14ac:dyDescent="0.3">
      <c r="A1006" s="37">
        <v>40</v>
      </c>
      <c r="B1006" s="38" t="s">
        <v>739</v>
      </c>
      <c r="C1006" s="51">
        <v>7896004767680</v>
      </c>
      <c r="D1006" s="40" t="s">
        <v>619</v>
      </c>
      <c r="E1006" s="40"/>
      <c r="F1006" s="40">
        <v>778</v>
      </c>
      <c r="G1006" s="38"/>
      <c r="H1006" s="38" t="s">
        <v>726</v>
      </c>
      <c r="I1006" s="38" t="s">
        <v>639</v>
      </c>
      <c r="J1006" s="38">
        <v>3</v>
      </c>
      <c r="K1006" s="38" t="s">
        <v>727</v>
      </c>
      <c r="L1006" s="52" t="s">
        <v>213</v>
      </c>
      <c r="M1006" s="53" t="s">
        <v>213</v>
      </c>
    </row>
    <row r="1007" spans="1:13" x14ac:dyDescent="0.3">
      <c r="A1007" s="37">
        <v>40</v>
      </c>
      <c r="B1007" s="38" t="s">
        <v>740</v>
      </c>
      <c r="C1007" s="51">
        <v>7896004769325</v>
      </c>
      <c r="D1007" s="40" t="s">
        <v>619</v>
      </c>
      <c r="E1007" s="40"/>
      <c r="F1007" s="40">
        <v>705</v>
      </c>
      <c r="G1007" s="38"/>
      <c r="H1007" s="38" t="s">
        <v>723</v>
      </c>
      <c r="I1007" s="38" t="s">
        <v>639</v>
      </c>
      <c r="J1007" s="38">
        <v>3</v>
      </c>
      <c r="K1007" s="38" t="s">
        <v>724</v>
      </c>
      <c r="L1007" s="52" t="s">
        <v>213</v>
      </c>
      <c r="M1007" s="53" t="s">
        <v>213</v>
      </c>
    </row>
    <row r="1008" spans="1:13" x14ac:dyDescent="0.3">
      <c r="A1008" s="37">
        <v>60</v>
      </c>
      <c r="B1008" s="38" t="s">
        <v>741</v>
      </c>
      <c r="C1008" s="51">
        <v>7898040321499</v>
      </c>
      <c r="D1008" s="40" t="s">
        <v>742</v>
      </c>
      <c r="E1008" s="40"/>
      <c r="F1008" s="40">
        <v>654</v>
      </c>
      <c r="G1008" s="38"/>
      <c r="H1008" s="38" t="s">
        <v>743</v>
      </c>
      <c r="I1008" s="38" t="s">
        <v>88</v>
      </c>
      <c r="J1008" s="38" t="s">
        <v>744</v>
      </c>
      <c r="K1008" s="38" t="s">
        <v>745</v>
      </c>
      <c r="L1008" s="52" t="s">
        <v>213</v>
      </c>
      <c r="M1008" s="53" t="s">
        <v>213</v>
      </c>
    </row>
    <row r="1009" spans="1:13" x14ac:dyDescent="0.3">
      <c r="A1009" s="37">
        <v>60</v>
      </c>
      <c r="B1009" s="38" t="s">
        <v>746</v>
      </c>
      <c r="C1009" s="51">
        <v>7898040322441</v>
      </c>
      <c r="D1009" s="40" t="s">
        <v>742</v>
      </c>
      <c r="E1009" s="40"/>
      <c r="F1009" s="40">
        <v>660</v>
      </c>
      <c r="G1009" s="38"/>
      <c r="H1009" s="38" t="s">
        <v>747</v>
      </c>
      <c r="I1009" s="38" t="s">
        <v>88</v>
      </c>
      <c r="J1009" s="38" t="s">
        <v>748</v>
      </c>
      <c r="K1009" s="38" t="s">
        <v>749</v>
      </c>
      <c r="L1009" s="52" t="s">
        <v>213</v>
      </c>
      <c r="M1009" s="53" t="s">
        <v>213</v>
      </c>
    </row>
    <row r="1010" spans="1:13" x14ac:dyDescent="0.3">
      <c r="A1010" s="37">
        <v>60</v>
      </c>
      <c r="B1010" s="38" t="s">
        <v>750</v>
      </c>
      <c r="C1010" s="51">
        <v>7898040325466</v>
      </c>
      <c r="D1010" s="40" t="s">
        <v>742</v>
      </c>
      <c r="E1010" s="40"/>
      <c r="F1010" s="40">
        <v>989</v>
      </c>
      <c r="G1010" s="38"/>
      <c r="H1010" s="38" t="s">
        <v>751</v>
      </c>
      <c r="I1010" s="38" t="s">
        <v>480</v>
      </c>
      <c r="J1010" s="49" t="s">
        <v>213</v>
      </c>
      <c r="K1010" s="38" t="s">
        <v>480</v>
      </c>
      <c r="L1010" s="49" t="s">
        <v>213</v>
      </c>
      <c r="M1010" s="54" t="s">
        <v>213</v>
      </c>
    </row>
    <row r="1011" spans="1:13" x14ac:dyDescent="0.3">
      <c r="A1011" s="37">
        <v>38</v>
      </c>
      <c r="B1011" s="38" t="s">
        <v>752</v>
      </c>
      <c r="C1011" s="51">
        <v>7894916507066</v>
      </c>
      <c r="D1011" s="40" t="s">
        <v>753</v>
      </c>
      <c r="E1011" s="40"/>
      <c r="F1011" s="40">
        <v>265</v>
      </c>
      <c r="G1011" s="38"/>
      <c r="H1011" s="38" t="s">
        <v>754</v>
      </c>
      <c r="I1011" s="38" t="s">
        <v>88</v>
      </c>
      <c r="J1011" s="38">
        <v>8</v>
      </c>
      <c r="K1011" s="56">
        <v>0.2</v>
      </c>
      <c r="L1011" s="52" t="s">
        <v>213</v>
      </c>
      <c r="M1011" s="53" t="s">
        <v>213</v>
      </c>
    </row>
    <row r="1012" spans="1:13" x14ac:dyDescent="0.3">
      <c r="A1012" s="37">
        <v>38</v>
      </c>
      <c r="B1012" s="38" t="s">
        <v>755</v>
      </c>
      <c r="C1012" s="51">
        <v>7894916507073</v>
      </c>
      <c r="D1012" s="40" t="s">
        <v>753</v>
      </c>
      <c r="E1012" s="40"/>
      <c r="F1012" s="40">
        <v>265</v>
      </c>
      <c r="G1012" s="38"/>
      <c r="H1012" s="38" t="s">
        <v>754</v>
      </c>
      <c r="I1012" s="38" t="s">
        <v>88</v>
      </c>
      <c r="J1012" s="38">
        <v>8</v>
      </c>
      <c r="K1012" s="56">
        <v>0.2</v>
      </c>
      <c r="L1012" s="52" t="s">
        <v>213</v>
      </c>
      <c r="M1012" s="53" t="s">
        <v>213</v>
      </c>
    </row>
    <row r="1013" spans="1:13" x14ac:dyDescent="0.3">
      <c r="A1013" s="37">
        <v>38</v>
      </c>
      <c r="B1013" s="38" t="s">
        <v>756</v>
      </c>
      <c r="C1013" s="51">
        <v>7896004729404</v>
      </c>
      <c r="D1013" s="40" t="s">
        <v>753</v>
      </c>
      <c r="E1013" s="40"/>
      <c r="F1013" s="40">
        <v>542</v>
      </c>
      <c r="G1013" s="38"/>
      <c r="H1013" s="38" t="s">
        <v>757</v>
      </c>
      <c r="I1013" s="38" t="s">
        <v>480</v>
      </c>
      <c r="J1013" s="49" t="s">
        <v>213</v>
      </c>
      <c r="K1013" s="38" t="s">
        <v>480</v>
      </c>
      <c r="L1013" s="49" t="s">
        <v>213</v>
      </c>
      <c r="M1013" s="54" t="s">
        <v>213</v>
      </c>
    </row>
    <row r="1014" spans="1:13" x14ac:dyDescent="0.3">
      <c r="A1014" s="37">
        <v>38</v>
      </c>
      <c r="B1014" s="38" t="s">
        <v>758</v>
      </c>
      <c r="C1014" s="51">
        <v>7896004729411</v>
      </c>
      <c r="D1014" s="40" t="s">
        <v>753</v>
      </c>
      <c r="E1014" s="40"/>
      <c r="F1014" s="40">
        <v>542</v>
      </c>
      <c r="G1014" s="38"/>
      <c r="H1014" s="38" t="s">
        <v>757</v>
      </c>
      <c r="I1014" s="38" t="s">
        <v>480</v>
      </c>
      <c r="J1014" s="49" t="s">
        <v>213</v>
      </c>
      <c r="K1014" s="38" t="s">
        <v>480</v>
      </c>
      <c r="L1014" s="49" t="s">
        <v>213</v>
      </c>
      <c r="M1014" s="54" t="s">
        <v>213</v>
      </c>
    </row>
    <row r="1015" spans="1:13" x14ac:dyDescent="0.3">
      <c r="A1015" s="37">
        <v>38</v>
      </c>
      <c r="B1015" s="38" t="s">
        <v>759</v>
      </c>
      <c r="C1015" s="51">
        <v>7896004743424</v>
      </c>
      <c r="D1015" s="40" t="s">
        <v>753</v>
      </c>
      <c r="E1015" s="40"/>
      <c r="F1015" s="40">
        <v>265</v>
      </c>
      <c r="G1015" s="38"/>
      <c r="H1015" s="38" t="s">
        <v>754</v>
      </c>
      <c r="I1015" s="38" t="s">
        <v>624</v>
      </c>
      <c r="J1015" s="38">
        <v>8</v>
      </c>
      <c r="K1015" s="38" t="s">
        <v>760</v>
      </c>
      <c r="L1015" s="52" t="s">
        <v>213</v>
      </c>
      <c r="M1015" s="53" t="s">
        <v>213</v>
      </c>
    </row>
    <row r="1016" spans="1:13" x14ac:dyDescent="0.3">
      <c r="A1016" s="37">
        <v>34</v>
      </c>
      <c r="B1016" s="38" t="s">
        <v>761</v>
      </c>
      <c r="C1016" s="51">
        <v>7896009419324</v>
      </c>
      <c r="D1016" s="40" t="s">
        <v>762</v>
      </c>
      <c r="E1016" s="40"/>
      <c r="F1016" s="40">
        <v>254</v>
      </c>
      <c r="G1016" s="38"/>
      <c r="H1016" s="38" t="s">
        <v>763</v>
      </c>
      <c r="I1016" s="38" t="s">
        <v>88</v>
      </c>
      <c r="J1016" s="38" t="s">
        <v>764</v>
      </c>
      <c r="K1016" s="38" t="s">
        <v>765</v>
      </c>
      <c r="L1016" s="52" t="s">
        <v>213</v>
      </c>
      <c r="M1016" s="53" t="s">
        <v>213</v>
      </c>
    </row>
    <row r="1017" spans="1:13" x14ac:dyDescent="0.3">
      <c r="A1017" s="37">
        <v>34</v>
      </c>
      <c r="B1017" s="38" t="s">
        <v>766</v>
      </c>
      <c r="C1017" s="51">
        <v>7896009490651</v>
      </c>
      <c r="D1017" s="40" t="s">
        <v>762</v>
      </c>
      <c r="E1017" s="40"/>
      <c r="F1017" s="40">
        <v>254</v>
      </c>
      <c r="G1017" s="38"/>
      <c r="H1017" s="38" t="s">
        <v>763</v>
      </c>
      <c r="I1017" s="38" t="s">
        <v>88</v>
      </c>
      <c r="J1017" s="38" t="s">
        <v>764</v>
      </c>
      <c r="K1017" s="38" t="s">
        <v>765</v>
      </c>
      <c r="L1017" s="52" t="s">
        <v>213</v>
      </c>
      <c r="M1017" s="53" t="s">
        <v>213</v>
      </c>
    </row>
    <row r="1018" spans="1:13" x14ac:dyDescent="0.3">
      <c r="A1018" s="37">
        <v>34</v>
      </c>
      <c r="B1018" s="38" t="s">
        <v>767</v>
      </c>
      <c r="C1018" s="51">
        <v>7896009490675</v>
      </c>
      <c r="D1018" s="40" t="s">
        <v>762</v>
      </c>
      <c r="E1018" s="40"/>
      <c r="F1018" s="40">
        <v>254</v>
      </c>
      <c r="G1018" s="38"/>
      <c r="H1018" s="38" t="s">
        <v>763</v>
      </c>
      <c r="I1018" s="38" t="s">
        <v>88</v>
      </c>
      <c r="J1018" s="38" t="s">
        <v>764</v>
      </c>
      <c r="K1018" s="38" t="s">
        <v>765</v>
      </c>
      <c r="L1018" s="52" t="s">
        <v>213</v>
      </c>
      <c r="M1018" s="53" t="s">
        <v>213</v>
      </c>
    </row>
    <row r="1019" spans="1:13" x14ac:dyDescent="0.3">
      <c r="A1019" s="37">
        <v>34</v>
      </c>
      <c r="B1019" s="38" t="s">
        <v>768</v>
      </c>
      <c r="C1019" s="51">
        <v>7896009490682</v>
      </c>
      <c r="D1019" s="40" t="s">
        <v>762</v>
      </c>
      <c r="E1019" s="40"/>
      <c r="F1019" s="40">
        <v>254</v>
      </c>
      <c r="G1019" s="38"/>
      <c r="H1019" s="38" t="s">
        <v>763</v>
      </c>
      <c r="I1019" s="38" t="s">
        <v>88</v>
      </c>
      <c r="J1019" s="38" t="s">
        <v>764</v>
      </c>
      <c r="K1019" s="38" t="s">
        <v>765</v>
      </c>
      <c r="L1019" s="52" t="s">
        <v>213</v>
      </c>
      <c r="M1019" s="53" t="s">
        <v>213</v>
      </c>
    </row>
    <row r="1020" spans="1:13" x14ac:dyDescent="0.3">
      <c r="A1020" s="37">
        <v>34</v>
      </c>
      <c r="B1020" s="38" t="s">
        <v>769</v>
      </c>
      <c r="C1020" s="51">
        <v>7896015511159</v>
      </c>
      <c r="D1020" s="40" t="s">
        <v>762</v>
      </c>
      <c r="E1020" s="40"/>
      <c r="F1020" s="40">
        <v>254</v>
      </c>
      <c r="G1020" s="38"/>
      <c r="H1020" s="38" t="s">
        <v>763</v>
      </c>
      <c r="I1020" s="38" t="s">
        <v>88</v>
      </c>
      <c r="J1020" s="38" t="s">
        <v>764</v>
      </c>
      <c r="K1020" s="38" t="s">
        <v>765</v>
      </c>
      <c r="L1020" s="52" t="s">
        <v>213</v>
      </c>
      <c r="M1020" s="53" t="s">
        <v>213</v>
      </c>
    </row>
    <row r="1021" spans="1:13" x14ac:dyDescent="0.3">
      <c r="A1021" s="37">
        <v>34</v>
      </c>
      <c r="B1021" s="38" t="s">
        <v>770</v>
      </c>
      <c r="C1021" s="51">
        <v>7896015511166</v>
      </c>
      <c r="D1021" s="40" t="s">
        <v>762</v>
      </c>
      <c r="E1021" s="40"/>
      <c r="F1021" s="40">
        <v>254</v>
      </c>
      <c r="G1021" s="38"/>
      <c r="H1021" s="38" t="s">
        <v>763</v>
      </c>
      <c r="I1021" s="38" t="s">
        <v>88</v>
      </c>
      <c r="J1021" s="38" t="s">
        <v>764</v>
      </c>
      <c r="K1021" s="38" t="s">
        <v>765</v>
      </c>
      <c r="L1021" s="52" t="s">
        <v>213</v>
      </c>
      <c r="M1021" s="53" t="s">
        <v>213</v>
      </c>
    </row>
    <row r="1022" spans="1:13" x14ac:dyDescent="0.3">
      <c r="A1022" s="37">
        <v>34</v>
      </c>
      <c r="B1022" s="38" t="s">
        <v>771</v>
      </c>
      <c r="C1022" s="51">
        <v>7896015516970</v>
      </c>
      <c r="D1022" s="40" t="s">
        <v>762</v>
      </c>
      <c r="E1022" s="40"/>
      <c r="F1022" s="40">
        <v>254</v>
      </c>
      <c r="G1022" s="38"/>
      <c r="H1022" s="38" t="s">
        <v>763</v>
      </c>
      <c r="I1022" s="38" t="s">
        <v>88</v>
      </c>
      <c r="J1022" s="38" t="s">
        <v>764</v>
      </c>
      <c r="K1022" s="38" t="s">
        <v>765</v>
      </c>
      <c r="L1022" s="52" t="s">
        <v>213</v>
      </c>
      <c r="M1022" s="53" t="s">
        <v>213</v>
      </c>
    </row>
    <row r="1023" spans="1:13" x14ac:dyDescent="0.3">
      <c r="A1023" s="37">
        <v>34</v>
      </c>
      <c r="B1023" s="38" t="s">
        <v>772</v>
      </c>
      <c r="C1023" s="51">
        <v>7896015517045</v>
      </c>
      <c r="D1023" s="40" t="s">
        <v>762</v>
      </c>
      <c r="E1023" s="40"/>
      <c r="F1023" s="40">
        <v>254</v>
      </c>
      <c r="G1023" s="38"/>
      <c r="H1023" s="38" t="s">
        <v>763</v>
      </c>
      <c r="I1023" s="38" t="s">
        <v>88</v>
      </c>
      <c r="J1023" s="38" t="s">
        <v>764</v>
      </c>
      <c r="K1023" s="38" t="s">
        <v>765</v>
      </c>
      <c r="L1023" s="52" t="s">
        <v>213</v>
      </c>
      <c r="M1023" s="53" t="s">
        <v>213</v>
      </c>
    </row>
    <row r="1024" spans="1:13" x14ac:dyDescent="0.3">
      <c r="A1024" s="37">
        <v>34</v>
      </c>
      <c r="B1024" s="38" t="s">
        <v>773</v>
      </c>
      <c r="C1024" s="51">
        <v>7896015517083</v>
      </c>
      <c r="D1024" s="40" t="s">
        <v>762</v>
      </c>
      <c r="E1024" s="40"/>
      <c r="F1024" s="40">
        <v>254</v>
      </c>
      <c r="G1024" s="38"/>
      <c r="H1024" s="38" t="s">
        <v>763</v>
      </c>
      <c r="I1024" s="38" t="s">
        <v>88</v>
      </c>
      <c r="J1024" s="38" t="s">
        <v>764</v>
      </c>
      <c r="K1024" s="38" t="s">
        <v>765</v>
      </c>
      <c r="L1024" s="52" t="s">
        <v>213</v>
      </c>
      <c r="M1024" s="53" t="s">
        <v>213</v>
      </c>
    </row>
    <row r="1025" spans="1:13" x14ac:dyDescent="0.3">
      <c r="A1025" s="37">
        <v>34</v>
      </c>
      <c r="B1025" s="38" t="s">
        <v>774</v>
      </c>
      <c r="C1025" s="51">
        <v>7896015517090</v>
      </c>
      <c r="D1025" s="40" t="s">
        <v>762</v>
      </c>
      <c r="E1025" s="40"/>
      <c r="F1025" s="40">
        <v>254</v>
      </c>
      <c r="G1025" s="38"/>
      <c r="H1025" s="38" t="s">
        <v>763</v>
      </c>
      <c r="I1025" s="38" t="s">
        <v>88</v>
      </c>
      <c r="J1025" s="38" t="s">
        <v>764</v>
      </c>
      <c r="K1025" s="38" t="s">
        <v>765</v>
      </c>
      <c r="L1025" s="52" t="s">
        <v>213</v>
      </c>
      <c r="M1025" s="53" t="s">
        <v>213</v>
      </c>
    </row>
    <row r="1026" spans="1:13" x14ac:dyDescent="0.3">
      <c r="A1026" s="37">
        <v>34</v>
      </c>
      <c r="B1026" s="38" t="s">
        <v>775</v>
      </c>
      <c r="C1026" s="51">
        <v>7896015518325</v>
      </c>
      <c r="D1026" s="40" t="s">
        <v>762</v>
      </c>
      <c r="E1026" s="40"/>
      <c r="F1026" s="40">
        <v>254</v>
      </c>
      <c r="G1026" s="38"/>
      <c r="H1026" s="38" t="s">
        <v>763</v>
      </c>
      <c r="I1026" s="38" t="s">
        <v>88</v>
      </c>
      <c r="J1026" s="38" t="s">
        <v>764</v>
      </c>
      <c r="K1026" s="38" t="s">
        <v>765</v>
      </c>
      <c r="L1026" s="52" t="s">
        <v>213</v>
      </c>
      <c r="M1026" s="53" t="s">
        <v>213</v>
      </c>
    </row>
    <row r="1027" spans="1:13" x14ac:dyDescent="0.3">
      <c r="A1027" s="37">
        <v>34</v>
      </c>
      <c r="B1027" s="38" t="s">
        <v>776</v>
      </c>
      <c r="C1027" s="51">
        <v>7896015518370</v>
      </c>
      <c r="D1027" s="40" t="s">
        <v>762</v>
      </c>
      <c r="E1027" s="40"/>
      <c r="F1027" s="40">
        <v>254</v>
      </c>
      <c r="G1027" s="38"/>
      <c r="H1027" s="38" t="s">
        <v>763</v>
      </c>
      <c r="I1027" s="38" t="s">
        <v>88</v>
      </c>
      <c r="J1027" s="38" t="s">
        <v>764</v>
      </c>
      <c r="K1027" s="38" t="s">
        <v>765</v>
      </c>
      <c r="L1027" s="52" t="s">
        <v>213</v>
      </c>
      <c r="M1027" s="53" t="s">
        <v>213</v>
      </c>
    </row>
    <row r="1028" spans="1:13" x14ac:dyDescent="0.3">
      <c r="A1028" s="37">
        <v>34</v>
      </c>
      <c r="B1028" s="38" t="s">
        <v>777</v>
      </c>
      <c r="C1028" s="51">
        <v>7896015518479</v>
      </c>
      <c r="D1028" s="40" t="s">
        <v>762</v>
      </c>
      <c r="E1028" s="40"/>
      <c r="F1028" s="40">
        <v>254</v>
      </c>
      <c r="G1028" s="38"/>
      <c r="H1028" s="38" t="s">
        <v>763</v>
      </c>
      <c r="I1028" s="38" t="s">
        <v>88</v>
      </c>
      <c r="J1028" s="38" t="s">
        <v>764</v>
      </c>
      <c r="K1028" s="38" t="s">
        <v>765</v>
      </c>
      <c r="L1028" s="52" t="s">
        <v>213</v>
      </c>
      <c r="M1028" s="53" t="s">
        <v>213</v>
      </c>
    </row>
    <row r="1029" spans="1:13" x14ac:dyDescent="0.3">
      <c r="A1029" s="37">
        <v>34</v>
      </c>
      <c r="B1029" s="38" t="s">
        <v>778</v>
      </c>
      <c r="C1029" s="51">
        <v>7896015519773</v>
      </c>
      <c r="D1029" s="40" t="s">
        <v>762</v>
      </c>
      <c r="E1029" s="40"/>
      <c r="F1029" s="40">
        <v>254</v>
      </c>
      <c r="G1029" s="38"/>
      <c r="H1029" s="38" t="s">
        <v>763</v>
      </c>
      <c r="I1029" s="38" t="s">
        <v>88</v>
      </c>
      <c r="J1029" s="38" t="s">
        <v>764</v>
      </c>
      <c r="K1029" s="38" t="s">
        <v>765</v>
      </c>
      <c r="L1029" s="52" t="s">
        <v>213</v>
      </c>
      <c r="M1029" s="53" t="s">
        <v>213</v>
      </c>
    </row>
    <row r="1030" spans="1:13" x14ac:dyDescent="0.3">
      <c r="A1030" s="37">
        <v>34</v>
      </c>
      <c r="B1030" s="38" t="s">
        <v>779</v>
      </c>
      <c r="C1030" s="51">
        <v>7896015520045</v>
      </c>
      <c r="D1030" s="40" t="s">
        <v>762</v>
      </c>
      <c r="E1030" s="40"/>
      <c r="F1030" s="40">
        <v>254</v>
      </c>
      <c r="G1030" s="38"/>
      <c r="H1030" s="38" t="s">
        <v>763</v>
      </c>
      <c r="I1030" s="38" t="s">
        <v>88</v>
      </c>
      <c r="J1030" s="38" t="s">
        <v>764</v>
      </c>
      <c r="K1030" s="38" t="s">
        <v>765</v>
      </c>
      <c r="L1030" s="52" t="s">
        <v>213</v>
      </c>
      <c r="M1030" s="53" t="s">
        <v>213</v>
      </c>
    </row>
    <row r="1031" spans="1:13" x14ac:dyDescent="0.3">
      <c r="A1031" s="37">
        <v>34</v>
      </c>
      <c r="B1031" s="38" t="s">
        <v>780</v>
      </c>
      <c r="C1031" s="51">
        <v>7896015521646</v>
      </c>
      <c r="D1031" s="40" t="s">
        <v>762</v>
      </c>
      <c r="E1031" s="40"/>
      <c r="F1031" s="40">
        <v>254</v>
      </c>
      <c r="G1031" s="38"/>
      <c r="H1031" s="38" t="s">
        <v>763</v>
      </c>
      <c r="I1031" s="38" t="s">
        <v>88</v>
      </c>
      <c r="J1031" s="38" t="s">
        <v>764</v>
      </c>
      <c r="K1031" s="38" t="s">
        <v>765</v>
      </c>
      <c r="L1031" s="52" t="s">
        <v>213</v>
      </c>
      <c r="M1031" s="53" t="s">
        <v>213</v>
      </c>
    </row>
    <row r="1032" spans="1:13" x14ac:dyDescent="0.3">
      <c r="A1032" s="37">
        <v>34</v>
      </c>
      <c r="B1032" s="38" t="s">
        <v>781</v>
      </c>
      <c r="C1032" s="51">
        <v>7896015524999</v>
      </c>
      <c r="D1032" s="40" t="s">
        <v>762</v>
      </c>
      <c r="E1032" s="40"/>
      <c r="F1032" s="40">
        <v>254</v>
      </c>
      <c r="G1032" s="38"/>
      <c r="H1032" s="38" t="s">
        <v>763</v>
      </c>
      <c r="I1032" s="38" t="s">
        <v>88</v>
      </c>
      <c r="J1032" s="38" t="s">
        <v>764</v>
      </c>
      <c r="K1032" s="38" t="s">
        <v>765</v>
      </c>
      <c r="L1032" s="52" t="s">
        <v>213</v>
      </c>
      <c r="M1032" s="53" t="s">
        <v>213</v>
      </c>
    </row>
    <row r="1033" spans="1:13" x14ac:dyDescent="0.3">
      <c r="A1033" s="37">
        <v>34</v>
      </c>
      <c r="B1033" s="38" t="s">
        <v>782</v>
      </c>
      <c r="C1033" s="51">
        <v>7896015525583</v>
      </c>
      <c r="D1033" s="40" t="s">
        <v>762</v>
      </c>
      <c r="E1033" s="40"/>
      <c r="F1033" s="40">
        <v>254</v>
      </c>
      <c r="G1033" s="38"/>
      <c r="H1033" s="38" t="s">
        <v>763</v>
      </c>
      <c r="I1033" s="38" t="s">
        <v>88</v>
      </c>
      <c r="J1033" s="38" t="s">
        <v>764</v>
      </c>
      <c r="K1033" s="38" t="s">
        <v>765</v>
      </c>
      <c r="L1033" s="52" t="s">
        <v>213</v>
      </c>
      <c r="M1033" s="53" t="s">
        <v>213</v>
      </c>
    </row>
    <row r="1034" spans="1:13" x14ac:dyDescent="0.3">
      <c r="A1034" s="37">
        <v>34</v>
      </c>
      <c r="B1034" s="38" t="s">
        <v>783</v>
      </c>
      <c r="C1034" s="51">
        <v>7896015525804</v>
      </c>
      <c r="D1034" s="40" t="s">
        <v>762</v>
      </c>
      <c r="E1034" s="40"/>
      <c r="F1034" s="40">
        <v>254</v>
      </c>
      <c r="G1034" s="38"/>
      <c r="H1034" s="38" t="s">
        <v>763</v>
      </c>
      <c r="I1034" s="38" t="s">
        <v>88</v>
      </c>
      <c r="J1034" s="38" t="s">
        <v>764</v>
      </c>
      <c r="K1034" s="38" t="s">
        <v>765</v>
      </c>
      <c r="L1034" s="52" t="s">
        <v>213</v>
      </c>
      <c r="M1034" s="53" t="s">
        <v>213</v>
      </c>
    </row>
    <row r="1035" spans="1:13" x14ac:dyDescent="0.3">
      <c r="A1035" s="37">
        <v>34</v>
      </c>
      <c r="B1035" s="38" t="s">
        <v>784</v>
      </c>
      <c r="C1035" s="51">
        <v>7896015526030</v>
      </c>
      <c r="D1035" s="40" t="s">
        <v>762</v>
      </c>
      <c r="E1035" s="40"/>
      <c r="F1035" s="40">
        <v>254</v>
      </c>
      <c r="G1035" s="38"/>
      <c r="H1035" s="38" t="s">
        <v>763</v>
      </c>
      <c r="I1035" s="38" t="s">
        <v>88</v>
      </c>
      <c r="J1035" s="38" t="s">
        <v>764</v>
      </c>
      <c r="K1035" s="38" t="s">
        <v>765</v>
      </c>
      <c r="L1035" s="52" t="s">
        <v>213</v>
      </c>
      <c r="M1035" s="53" t="s">
        <v>213</v>
      </c>
    </row>
    <row r="1036" spans="1:13" x14ac:dyDescent="0.3">
      <c r="A1036" s="37">
        <v>34</v>
      </c>
      <c r="B1036" s="38" t="s">
        <v>785</v>
      </c>
      <c r="C1036" s="51">
        <v>7896015526252</v>
      </c>
      <c r="D1036" s="40" t="s">
        <v>762</v>
      </c>
      <c r="E1036" s="40"/>
      <c r="F1036" s="40">
        <v>254</v>
      </c>
      <c r="G1036" s="38"/>
      <c r="H1036" s="38" t="s">
        <v>763</v>
      </c>
      <c r="I1036" s="38" t="s">
        <v>88</v>
      </c>
      <c r="J1036" s="38" t="s">
        <v>764</v>
      </c>
      <c r="K1036" s="38" t="s">
        <v>765</v>
      </c>
      <c r="L1036" s="52" t="s">
        <v>213</v>
      </c>
      <c r="M1036" s="53" t="s">
        <v>213</v>
      </c>
    </row>
    <row r="1037" spans="1:13" x14ac:dyDescent="0.3">
      <c r="A1037" s="37">
        <v>34</v>
      </c>
      <c r="B1037" s="38" t="s">
        <v>786</v>
      </c>
      <c r="C1037" s="51">
        <v>7896015527433</v>
      </c>
      <c r="D1037" s="40" t="s">
        <v>762</v>
      </c>
      <c r="E1037" s="40"/>
      <c r="F1037" s="40">
        <v>254</v>
      </c>
      <c r="G1037" s="38"/>
      <c r="H1037" s="38" t="s">
        <v>763</v>
      </c>
      <c r="I1037" s="38" t="s">
        <v>88</v>
      </c>
      <c r="J1037" s="38" t="s">
        <v>764</v>
      </c>
      <c r="K1037" s="38" t="s">
        <v>765</v>
      </c>
      <c r="L1037" s="52" t="s">
        <v>213</v>
      </c>
      <c r="M1037" s="53" t="s">
        <v>213</v>
      </c>
    </row>
    <row r="1038" spans="1:13" x14ac:dyDescent="0.3">
      <c r="A1038" s="37">
        <v>34</v>
      </c>
      <c r="B1038" s="38" t="s">
        <v>787</v>
      </c>
      <c r="C1038" s="51">
        <v>7896015527440</v>
      </c>
      <c r="D1038" s="40" t="s">
        <v>762</v>
      </c>
      <c r="E1038" s="40"/>
      <c r="F1038" s="40">
        <v>254</v>
      </c>
      <c r="G1038" s="38"/>
      <c r="H1038" s="38" t="s">
        <v>763</v>
      </c>
      <c r="I1038" s="38" t="s">
        <v>88</v>
      </c>
      <c r="J1038" s="38" t="s">
        <v>764</v>
      </c>
      <c r="K1038" s="38" t="s">
        <v>765</v>
      </c>
      <c r="L1038" s="52" t="s">
        <v>213</v>
      </c>
      <c r="M1038" s="53" t="s">
        <v>213</v>
      </c>
    </row>
    <row r="1039" spans="1:13" x14ac:dyDescent="0.3">
      <c r="A1039" s="37">
        <v>34</v>
      </c>
      <c r="B1039" s="38" t="s">
        <v>788</v>
      </c>
      <c r="C1039" s="51">
        <v>7896015527457</v>
      </c>
      <c r="D1039" s="40" t="s">
        <v>762</v>
      </c>
      <c r="E1039" s="40"/>
      <c r="F1039" s="40">
        <v>254</v>
      </c>
      <c r="G1039" s="38"/>
      <c r="H1039" s="38" t="s">
        <v>763</v>
      </c>
      <c r="I1039" s="38" t="s">
        <v>88</v>
      </c>
      <c r="J1039" s="38" t="s">
        <v>764</v>
      </c>
      <c r="K1039" s="38" t="s">
        <v>765</v>
      </c>
      <c r="L1039" s="52" t="s">
        <v>213</v>
      </c>
      <c r="M1039" s="53" t="s">
        <v>213</v>
      </c>
    </row>
    <row r="1040" spans="1:13" x14ac:dyDescent="0.3">
      <c r="A1040" s="37">
        <v>34</v>
      </c>
      <c r="B1040" s="38" t="s">
        <v>789</v>
      </c>
      <c r="C1040" s="51">
        <v>7896015527730</v>
      </c>
      <c r="D1040" s="40" t="s">
        <v>762</v>
      </c>
      <c r="E1040" s="40"/>
      <c r="F1040" s="40">
        <v>254</v>
      </c>
      <c r="G1040" s="38"/>
      <c r="H1040" s="38" t="s">
        <v>763</v>
      </c>
      <c r="I1040" s="38" t="s">
        <v>88</v>
      </c>
      <c r="J1040" s="38" t="s">
        <v>764</v>
      </c>
      <c r="K1040" s="38" t="s">
        <v>765</v>
      </c>
      <c r="L1040" s="52" t="s">
        <v>213</v>
      </c>
      <c r="M1040" s="53" t="s">
        <v>213</v>
      </c>
    </row>
    <row r="1041" spans="1:13" x14ac:dyDescent="0.3">
      <c r="A1041" s="37">
        <v>34</v>
      </c>
      <c r="B1041" s="38" t="s">
        <v>790</v>
      </c>
      <c r="C1041" s="51">
        <v>7896015528294</v>
      </c>
      <c r="D1041" s="40" t="s">
        <v>762</v>
      </c>
      <c r="E1041" s="40"/>
      <c r="F1041" s="40">
        <v>254</v>
      </c>
      <c r="G1041" s="38"/>
      <c r="H1041" s="38" t="s">
        <v>763</v>
      </c>
      <c r="I1041" s="38" t="s">
        <v>88</v>
      </c>
      <c r="J1041" s="38" t="s">
        <v>764</v>
      </c>
      <c r="K1041" s="38" t="s">
        <v>765</v>
      </c>
      <c r="L1041" s="52" t="s">
        <v>213</v>
      </c>
      <c r="M1041" s="53" t="s">
        <v>213</v>
      </c>
    </row>
    <row r="1042" spans="1:13" x14ac:dyDescent="0.3">
      <c r="A1042" s="37">
        <v>34</v>
      </c>
      <c r="B1042" s="38" t="s">
        <v>791</v>
      </c>
      <c r="C1042" s="51">
        <v>7896015528300</v>
      </c>
      <c r="D1042" s="40" t="s">
        <v>762</v>
      </c>
      <c r="E1042" s="40"/>
      <c r="F1042" s="40">
        <v>254</v>
      </c>
      <c r="G1042" s="38"/>
      <c r="H1042" s="38" t="s">
        <v>763</v>
      </c>
      <c r="I1042" s="38" t="s">
        <v>88</v>
      </c>
      <c r="J1042" s="38" t="s">
        <v>764</v>
      </c>
      <c r="K1042" s="38" t="s">
        <v>765</v>
      </c>
      <c r="L1042" s="52" t="s">
        <v>213</v>
      </c>
      <c r="M1042" s="53" t="s">
        <v>213</v>
      </c>
    </row>
    <row r="1043" spans="1:13" x14ac:dyDescent="0.3">
      <c r="A1043" s="37">
        <v>34</v>
      </c>
      <c r="B1043" s="38" t="s">
        <v>792</v>
      </c>
      <c r="C1043" s="51">
        <v>7896015528577</v>
      </c>
      <c r="D1043" s="40" t="s">
        <v>762</v>
      </c>
      <c r="E1043" s="40"/>
      <c r="F1043" s="40">
        <v>254</v>
      </c>
      <c r="G1043" s="38"/>
      <c r="H1043" s="38" t="s">
        <v>763</v>
      </c>
      <c r="I1043" s="38" t="s">
        <v>88</v>
      </c>
      <c r="J1043" s="38" t="s">
        <v>764</v>
      </c>
      <c r="K1043" s="38" t="s">
        <v>765</v>
      </c>
      <c r="L1043" s="52" t="s">
        <v>213</v>
      </c>
      <c r="M1043" s="53" t="s">
        <v>213</v>
      </c>
    </row>
    <row r="1044" spans="1:13" x14ac:dyDescent="0.3">
      <c r="A1044" s="37">
        <v>34</v>
      </c>
      <c r="B1044" s="38" t="s">
        <v>793</v>
      </c>
      <c r="C1044" s="51">
        <v>7896015528706</v>
      </c>
      <c r="D1044" s="40" t="s">
        <v>762</v>
      </c>
      <c r="E1044" s="40"/>
      <c r="F1044" s="40">
        <v>254</v>
      </c>
      <c r="G1044" s="38"/>
      <c r="H1044" s="38" t="s">
        <v>763</v>
      </c>
      <c r="I1044" s="38" t="s">
        <v>88</v>
      </c>
      <c r="J1044" s="38" t="s">
        <v>764</v>
      </c>
      <c r="K1044" s="38" t="s">
        <v>765</v>
      </c>
      <c r="L1044" s="52" t="s">
        <v>213</v>
      </c>
      <c r="M1044" s="53" t="s">
        <v>213</v>
      </c>
    </row>
    <row r="1045" spans="1:13" x14ac:dyDescent="0.3">
      <c r="A1045" s="37">
        <v>34</v>
      </c>
      <c r="B1045" s="38" t="s">
        <v>794</v>
      </c>
      <c r="C1045" s="51">
        <v>7896015528959</v>
      </c>
      <c r="D1045" s="40" t="s">
        <v>762</v>
      </c>
      <c r="E1045" s="40"/>
      <c r="F1045" s="40">
        <v>254</v>
      </c>
      <c r="G1045" s="38"/>
      <c r="H1045" s="38" t="s">
        <v>763</v>
      </c>
      <c r="I1045" s="38" t="s">
        <v>88</v>
      </c>
      <c r="J1045" s="38" t="s">
        <v>764</v>
      </c>
      <c r="K1045" s="38" t="s">
        <v>765</v>
      </c>
      <c r="L1045" s="52" t="s">
        <v>213</v>
      </c>
      <c r="M1045" s="53" t="s">
        <v>213</v>
      </c>
    </row>
    <row r="1046" spans="1:13" x14ac:dyDescent="0.3">
      <c r="A1046" s="37">
        <v>34</v>
      </c>
      <c r="B1046" s="38" t="s">
        <v>795</v>
      </c>
      <c r="C1046" s="51">
        <v>7896015529093</v>
      </c>
      <c r="D1046" s="40" t="s">
        <v>762</v>
      </c>
      <c r="E1046" s="40"/>
      <c r="F1046" s="40">
        <v>254</v>
      </c>
      <c r="G1046" s="38"/>
      <c r="H1046" s="38" t="s">
        <v>763</v>
      </c>
      <c r="I1046" s="38" t="s">
        <v>88</v>
      </c>
      <c r="J1046" s="38" t="s">
        <v>764</v>
      </c>
      <c r="K1046" s="38" t="s">
        <v>765</v>
      </c>
      <c r="L1046" s="52" t="s">
        <v>213</v>
      </c>
      <c r="M1046" s="53" t="s">
        <v>213</v>
      </c>
    </row>
    <row r="1047" spans="1:13" x14ac:dyDescent="0.3">
      <c r="A1047" s="37">
        <v>34</v>
      </c>
      <c r="B1047" s="38" t="s">
        <v>796</v>
      </c>
      <c r="C1047" s="51">
        <v>7896015529789</v>
      </c>
      <c r="D1047" s="40" t="s">
        <v>762</v>
      </c>
      <c r="E1047" s="40"/>
      <c r="F1047" s="40">
        <v>254</v>
      </c>
      <c r="G1047" s="38"/>
      <c r="H1047" s="38" t="s">
        <v>763</v>
      </c>
      <c r="I1047" s="38" t="s">
        <v>88</v>
      </c>
      <c r="J1047" s="38" t="s">
        <v>764</v>
      </c>
      <c r="K1047" s="38" t="s">
        <v>765</v>
      </c>
      <c r="L1047" s="52" t="s">
        <v>213</v>
      </c>
      <c r="M1047" s="53" t="s">
        <v>213</v>
      </c>
    </row>
    <row r="1048" spans="1:13" x14ac:dyDescent="0.3">
      <c r="A1048" s="37">
        <v>34</v>
      </c>
      <c r="B1048" s="38" t="s">
        <v>797</v>
      </c>
      <c r="C1048" s="51">
        <v>7896015530006</v>
      </c>
      <c r="D1048" s="40" t="s">
        <v>762</v>
      </c>
      <c r="E1048" s="40"/>
      <c r="F1048" s="40">
        <v>254</v>
      </c>
      <c r="G1048" s="38"/>
      <c r="H1048" s="38" t="s">
        <v>763</v>
      </c>
      <c r="I1048" s="38" t="s">
        <v>88</v>
      </c>
      <c r="J1048" s="38" t="s">
        <v>764</v>
      </c>
      <c r="K1048" s="38" t="s">
        <v>765</v>
      </c>
      <c r="L1048" s="52" t="s">
        <v>213</v>
      </c>
      <c r="M1048" s="53" t="s">
        <v>213</v>
      </c>
    </row>
    <row r="1049" spans="1:13" x14ac:dyDescent="0.3">
      <c r="A1049" s="37">
        <v>34</v>
      </c>
      <c r="B1049" s="38" t="s">
        <v>798</v>
      </c>
      <c r="C1049" s="51">
        <v>7896015530082</v>
      </c>
      <c r="D1049" s="40" t="s">
        <v>762</v>
      </c>
      <c r="E1049" s="40"/>
      <c r="F1049" s="40">
        <v>254</v>
      </c>
      <c r="G1049" s="38"/>
      <c r="H1049" s="38" t="s">
        <v>763</v>
      </c>
      <c r="I1049" s="38" t="s">
        <v>88</v>
      </c>
      <c r="J1049" s="38" t="s">
        <v>764</v>
      </c>
      <c r="K1049" s="38" t="s">
        <v>765</v>
      </c>
      <c r="L1049" s="52" t="s">
        <v>213</v>
      </c>
      <c r="M1049" s="53" t="s">
        <v>213</v>
      </c>
    </row>
    <row r="1050" spans="1:13" x14ac:dyDescent="0.3">
      <c r="A1050" s="37">
        <v>34</v>
      </c>
      <c r="B1050" s="38" t="s">
        <v>799</v>
      </c>
      <c r="C1050" s="51">
        <v>7896015530105</v>
      </c>
      <c r="D1050" s="40" t="s">
        <v>762</v>
      </c>
      <c r="E1050" s="40"/>
      <c r="F1050" s="40">
        <v>254</v>
      </c>
      <c r="G1050" s="38"/>
      <c r="H1050" s="38" t="s">
        <v>763</v>
      </c>
      <c r="I1050" s="38" t="s">
        <v>88</v>
      </c>
      <c r="J1050" s="38" t="s">
        <v>764</v>
      </c>
      <c r="K1050" s="38" t="s">
        <v>765</v>
      </c>
      <c r="L1050" s="52" t="s">
        <v>213</v>
      </c>
      <c r="M1050" s="53" t="s">
        <v>213</v>
      </c>
    </row>
    <row r="1051" spans="1:13" x14ac:dyDescent="0.3">
      <c r="A1051" s="37">
        <v>34</v>
      </c>
      <c r="B1051" s="38" t="s">
        <v>800</v>
      </c>
      <c r="C1051" s="51">
        <v>7896015530181</v>
      </c>
      <c r="D1051" s="40" t="s">
        <v>762</v>
      </c>
      <c r="E1051" s="40"/>
      <c r="F1051" s="40">
        <v>254</v>
      </c>
      <c r="G1051" s="38"/>
      <c r="H1051" s="38" t="s">
        <v>763</v>
      </c>
      <c r="I1051" s="38" t="s">
        <v>88</v>
      </c>
      <c r="J1051" s="38" t="s">
        <v>764</v>
      </c>
      <c r="K1051" s="38" t="s">
        <v>765</v>
      </c>
      <c r="L1051" s="52" t="s">
        <v>213</v>
      </c>
      <c r="M1051" s="53" t="s">
        <v>213</v>
      </c>
    </row>
    <row r="1052" spans="1:13" x14ac:dyDescent="0.3">
      <c r="A1052" s="37">
        <v>34</v>
      </c>
      <c r="B1052" s="38" t="s">
        <v>801</v>
      </c>
      <c r="C1052" s="51">
        <v>7896015530433</v>
      </c>
      <c r="D1052" s="40" t="s">
        <v>762</v>
      </c>
      <c r="E1052" s="40"/>
      <c r="F1052" s="40">
        <v>254</v>
      </c>
      <c r="G1052" s="38"/>
      <c r="H1052" s="38" t="s">
        <v>763</v>
      </c>
      <c r="I1052" s="38" t="s">
        <v>88</v>
      </c>
      <c r="J1052" s="38" t="s">
        <v>764</v>
      </c>
      <c r="K1052" s="38" t="s">
        <v>765</v>
      </c>
      <c r="L1052" s="52" t="s">
        <v>213</v>
      </c>
      <c r="M1052" s="53" t="s">
        <v>213</v>
      </c>
    </row>
    <row r="1053" spans="1:13" x14ac:dyDescent="0.3">
      <c r="A1053" s="37">
        <v>34</v>
      </c>
      <c r="B1053" s="38" t="s">
        <v>802</v>
      </c>
      <c r="C1053" s="51">
        <v>7896015530440</v>
      </c>
      <c r="D1053" s="40" t="s">
        <v>762</v>
      </c>
      <c r="E1053" s="40"/>
      <c r="F1053" s="40">
        <v>254</v>
      </c>
      <c r="G1053" s="38"/>
      <c r="H1053" s="38" t="s">
        <v>763</v>
      </c>
      <c r="I1053" s="38" t="s">
        <v>88</v>
      </c>
      <c r="J1053" s="38" t="s">
        <v>764</v>
      </c>
      <c r="K1053" s="38" t="s">
        <v>765</v>
      </c>
      <c r="L1053" s="52" t="s">
        <v>213</v>
      </c>
      <c r="M1053" s="53" t="s">
        <v>213</v>
      </c>
    </row>
    <row r="1054" spans="1:13" x14ac:dyDescent="0.3">
      <c r="A1054" s="37">
        <v>34</v>
      </c>
      <c r="B1054" s="38" t="s">
        <v>803</v>
      </c>
      <c r="C1054" s="51">
        <v>7896015530457</v>
      </c>
      <c r="D1054" s="40" t="s">
        <v>762</v>
      </c>
      <c r="E1054" s="40"/>
      <c r="F1054" s="40">
        <v>254</v>
      </c>
      <c r="G1054" s="38"/>
      <c r="H1054" s="38" t="s">
        <v>763</v>
      </c>
      <c r="I1054" s="38" t="s">
        <v>88</v>
      </c>
      <c r="J1054" s="38" t="s">
        <v>764</v>
      </c>
      <c r="K1054" s="38" t="s">
        <v>765</v>
      </c>
      <c r="L1054" s="52" t="s">
        <v>213</v>
      </c>
      <c r="M1054" s="53" t="s">
        <v>213</v>
      </c>
    </row>
    <row r="1055" spans="1:13" x14ac:dyDescent="0.3">
      <c r="A1055" s="37">
        <v>34</v>
      </c>
      <c r="B1055" s="38" t="s">
        <v>804</v>
      </c>
      <c r="C1055" s="51">
        <v>7896015560331</v>
      </c>
      <c r="D1055" s="40" t="s">
        <v>762</v>
      </c>
      <c r="E1055" s="40"/>
      <c r="F1055" s="40">
        <v>254</v>
      </c>
      <c r="G1055" s="38"/>
      <c r="H1055" s="38" t="s">
        <v>763</v>
      </c>
      <c r="I1055" s="38" t="s">
        <v>88</v>
      </c>
      <c r="J1055" s="38" t="s">
        <v>764</v>
      </c>
      <c r="K1055" s="38" t="s">
        <v>765</v>
      </c>
      <c r="L1055" s="52" t="s">
        <v>213</v>
      </c>
      <c r="M1055" s="53" t="s">
        <v>213</v>
      </c>
    </row>
    <row r="1056" spans="1:13" x14ac:dyDescent="0.3">
      <c r="A1056" s="37">
        <v>34</v>
      </c>
      <c r="B1056" s="38" t="s">
        <v>805</v>
      </c>
      <c r="C1056" s="51">
        <v>7896015590963</v>
      </c>
      <c r="D1056" s="40" t="s">
        <v>762</v>
      </c>
      <c r="E1056" s="40"/>
      <c r="F1056" s="40">
        <v>254</v>
      </c>
      <c r="G1056" s="38"/>
      <c r="H1056" s="38" t="s">
        <v>763</v>
      </c>
      <c r="I1056" s="38" t="s">
        <v>88</v>
      </c>
      <c r="J1056" s="38" t="s">
        <v>764</v>
      </c>
      <c r="K1056" s="38" t="s">
        <v>765</v>
      </c>
      <c r="L1056" s="52" t="s">
        <v>213</v>
      </c>
      <c r="M1056" s="53" t="s">
        <v>213</v>
      </c>
    </row>
    <row r="1057" spans="1:13" x14ac:dyDescent="0.3">
      <c r="A1057" s="37">
        <v>34</v>
      </c>
      <c r="B1057" s="38" t="s">
        <v>806</v>
      </c>
      <c r="C1057" s="51">
        <v>7896015590994</v>
      </c>
      <c r="D1057" s="40" t="s">
        <v>762</v>
      </c>
      <c r="E1057" s="40"/>
      <c r="F1057" s="40">
        <v>254</v>
      </c>
      <c r="G1057" s="38"/>
      <c r="H1057" s="38" t="s">
        <v>763</v>
      </c>
      <c r="I1057" s="38" t="s">
        <v>88</v>
      </c>
      <c r="J1057" s="38" t="s">
        <v>764</v>
      </c>
      <c r="K1057" s="38" t="s">
        <v>765</v>
      </c>
      <c r="L1057" s="52" t="s">
        <v>213</v>
      </c>
      <c r="M1057" s="53" t="s">
        <v>213</v>
      </c>
    </row>
    <row r="1058" spans="1:13" x14ac:dyDescent="0.3">
      <c r="A1058" s="37">
        <v>34</v>
      </c>
      <c r="B1058" s="38" t="s">
        <v>807</v>
      </c>
      <c r="C1058" s="51">
        <v>7896015591106</v>
      </c>
      <c r="D1058" s="40" t="s">
        <v>762</v>
      </c>
      <c r="E1058" s="40"/>
      <c r="F1058" s="40">
        <v>254</v>
      </c>
      <c r="G1058" s="38"/>
      <c r="H1058" s="38" t="s">
        <v>763</v>
      </c>
      <c r="I1058" s="38" t="s">
        <v>88</v>
      </c>
      <c r="J1058" s="38" t="s">
        <v>764</v>
      </c>
      <c r="K1058" s="38" t="s">
        <v>765</v>
      </c>
      <c r="L1058" s="52" t="s">
        <v>213</v>
      </c>
      <c r="M1058" s="53" t="s">
        <v>213</v>
      </c>
    </row>
    <row r="1059" spans="1:13" x14ac:dyDescent="0.3">
      <c r="A1059" s="37">
        <v>34</v>
      </c>
      <c r="B1059" s="38" t="s">
        <v>808</v>
      </c>
      <c r="C1059" s="51">
        <v>7896015591113</v>
      </c>
      <c r="D1059" s="40" t="s">
        <v>762</v>
      </c>
      <c r="E1059" s="40"/>
      <c r="F1059" s="40">
        <v>254</v>
      </c>
      <c r="G1059" s="38"/>
      <c r="H1059" s="38" t="s">
        <v>763</v>
      </c>
      <c r="I1059" s="38" t="s">
        <v>88</v>
      </c>
      <c r="J1059" s="38" t="s">
        <v>764</v>
      </c>
      <c r="K1059" s="38" t="s">
        <v>765</v>
      </c>
      <c r="L1059" s="52" t="s">
        <v>213</v>
      </c>
      <c r="M1059" s="53" t="s">
        <v>213</v>
      </c>
    </row>
    <row r="1060" spans="1:13" x14ac:dyDescent="0.3">
      <c r="A1060" s="37">
        <v>34</v>
      </c>
      <c r="B1060" s="38" t="s">
        <v>809</v>
      </c>
      <c r="C1060" s="51">
        <v>7896015591779</v>
      </c>
      <c r="D1060" s="40" t="s">
        <v>762</v>
      </c>
      <c r="E1060" s="40"/>
      <c r="F1060" s="40">
        <v>254</v>
      </c>
      <c r="G1060" s="38"/>
      <c r="H1060" s="38" t="s">
        <v>763</v>
      </c>
      <c r="I1060" s="38" t="s">
        <v>88</v>
      </c>
      <c r="J1060" s="38" t="s">
        <v>764</v>
      </c>
      <c r="K1060" s="38" t="s">
        <v>765</v>
      </c>
      <c r="L1060" s="52" t="s">
        <v>213</v>
      </c>
      <c r="M1060" s="53" t="s">
        <v>213</v>
      </c>
    </row>
    <row r="1061" spans="1:13" x14ac:dyDescent="0.3">
      <c r="A1061" s="37">
        <v>34</v>
      </c>
      <c r="B1061" s="38" t="s">
        <v>810</v>
      </c>
      <c r="C1061" s="51">
        <v>7896015591786</v>
      </c>
      <c r="D1061" s="40" t="s">
        <v>762</v>
      </c>
      <c r="E1061" s="40"/>
      <c r="F1061" s="40">
        <v>254</v>
      </c>
      <c r="G1061" s="38"/>
      <c r="H1061" s="38" t="s">
        <v>763</v>
      </c>
      <c r="I1061" s="38" t="s">
        <v>88</v>
      </c>
      <c r="J1061" s="38" t="s">
        <v>764</v>
      </c>
      <c r="K1061" s="38" t="s">
        <v>765</v>
      </c>
      <c r="L1061" s="52" t="s">
        <v>213</v>
      </c>
      <c r="M1061" s="53" t="s">
        <v>213</v>
      </c>
    </row>
    <row r="1062" spans="1:13" x14ac:dyDescent="0.3">
      <c r="A1062" s="37">
        <v>34</v>
      </c>
      <c r="B1062" s="38" t="s">
        <v>811</v>
      </c>
      <c r="C1062" s="51">
        <v>7896015591823</v>
      </c>
      <c r="D1062" s="40" t="s">
        <v>762</v>
      </c>
      <c r="E1062" s="40"/>
      <c r="F1062" s="40">
        <v>254</v>
      </c>
      <c r="G1062" s="38"/>
      <c r="H1062" s="38" t="s">
        <v>763</v>
      </c>
      <c r="I1062" s="38" t="s">
        <v>88</v>
      </c>
      <c r="J1062" s="38" t="s">
        <v>764</v>
      </c>
      <c r="K1062" s="38" t="s">
        <v>765</v>
      </c>
      <c r="L1062" s="52" t="s">
        <v>213</v>
      </c>
      <c r="M1062" s="53" t="s">
        <v>213</v>
      </c>
    </row>
    <row r="1063" spans="1:13" x14ac:dyDescent="0.3">
      <c r="A1063" s="37">
        <v>34</v>
      </c>
      <c r="B1063" s="38" t="s">
        <v>812</v>
      </c>
      <c r="C1063" s="51">
        <v>7896090611508</v>
      </c>
      <c r="D1063" s="40" t="s">
        <v>762</v>
      </c>
      <c r="E1063" s="40"/>
      <c r="F1063" s="40">
        <v>254</v>
      </c>
      <c r="G1063" s="38"/>
      <c r="H1063" s="38" t="s">
        <v>763</v>
      </c>
      <c r="I1063" s="38" t="s">
        <v>88</v>
      </c>
      <c r="J1063" s="38" t="s">
        <v>764</v>
      </c>
      <c r="K1063" s="38" t="s">
        <v>765</v>
      </c>
      <c r="L1063" s="52" t="s">
        <v>213</v>
      </c>
      <c r="M1063" s="53" t="s">
        <v>213</v>
      </c>
    </row>
    <row r="1064" spans="1:13" x14ac:dyDescent="0.3">
      <c r="A1064" s="37">
        <v>34</v>
      </c>
      <c r="B1064" s="38" t="s">
        <v>813</v>
      </c>
      <c r="C1064" s="51">
        <v>7896090611607</v>
      </c>
      <c r="D1064" s="40" t="s">
        <v>762</v>
      </c>
      <c r="E1064" s="40"/>
      <c r="F1064" s="40">
        <v>254</v>
      </c>
      <c r="G1064" s="38"/>
      <c r="H1064" s="38" t="s">
        <v>763</v>
      </c>
      <c r="I1064" s="38" t="s">
        <v>88</v>
      </c>
      <c r="J1064" s="38" t="s">
        <v>764</v>
      </c>
      <c r="K1064" s="38" t="s">
        <v>765</v>
      </c>
      <c r="L1064" s="52" t="s">
        <v>213</v>
      </c>
      <c r="M1064" s="53" t="s">
        <v>213</v>
      </c>
    </row>
    <row r="1065" spans="1:13" x14ac:dyDescent="0.3">
      <c r="A1065" s="37">
        <v>34</v>
      </c>
      <c r="B1065" s="38" t="s">
        <v>814</v>
      </c>
      <c r="C1065" s="51">
        <v>7896261005723</v>
      </c>
      <c r="D1065" s="40" t="s">
        <v>762</v>
      </c>
      <c r="E1065" s="40"/>
      <c r="F1065" s="40">
        <v>254</v>
      </c>
      <c r="G1065" s="38"/>
      <c r="H1065" s="38" t="s">
        <v>763</v>
      </c>
      <c r="I1065" s="38" t="s">
        <v>88</v>
      </c>
      <c r="J1065" s="38" t="s">
        <v>764</v>
      </c>
      <c r="K1065" s="38" t="s">
        <v>765</v>
      </c>
      <c r="L1065" s="52" t="s">
        <v>213</v>
      </c>
      <c r="M1065" s="53" t="s">
        <v>213</v>
      </c>
    </row>
    <row r="1066" spans="1:13" x14ac:dyDescent="0.3">
      <c r="A1066" s="37">
        <v>34</v>
      </c>
      <c r="B1066" s="38" t="s">
        <v>815</v>
      </c>
      <c r="C1066" s="51">
        <v>7896261005723</v>
      </c>
      <c r="D1066" s="40" t="s">
        <v>762</v>
      </c>
      <c r="E1066" s="40"/>
      <c r="F1066" s="40">
        <v>254</v>
      </c>
      <c r="G1066" s="38"/>
      <c r="H1066" s="38" t="s">
        <v>763</v>
      </c>
      <c r="I1066" s="38" t="s">
        <v>88</v>
      </c>
      <c r="J1066" s="38" t="s">
        <v>764</v>
      </c>
      <c r="K1066" s="38" t="s">
        <v>765</v>
      </c>
      <c r="L1066" s="52" t="s">
        <v>213</v>
      </c>
      <c r="M1066" s="53" t="s">
        <v>213</v>
      </c>
    </row>
    <row r="1067" spans="1:13" x14ac:dyDescent="0.3">
      <c r="A1067" s="37">
        <v>34</v>
      </c>
      <c r="B1067" s="38" t="s">
        <v>816</v>
      </c>
      <c r="C1067" s="51">
        <v>7896261005723</v>
      </c>
      <c r="D1067" s="40" t="s">
        <v>762</v>
      </c>
      <c r="E1067" s="40"/>
      <c r="F1067" s="40">
        <v>254</v>
      </c>
      <c r="G1067" s="38"/>
      <c r="H1067" s="38" t="s">
        <v>763</v>
      </c>
      <c r="I1067" s="38" t="s">
        <v>88</v>
      </c>
      <c r="J1067" s="38" t="s">
        <v>764</v>
      </c>
      <c r="K1067" s="38" t="s">
        <v>765</v>
      </c>
      <c r="L1067" s="52" t="s">
        <v>213</v>
      </c>
      <c r="M1067" s="53" t="s">
        <v>213</v>
      </c>
    </row>
    <row r="1068" spans="1:13" x14ac:dyDescent="0.3">
      <c r="A1068" s="37">
        <v>34</v>
      </c>
      <c r="B1068" s="38" t="s">
        <v>817</v>
      </c>
      <c r="C1068" s="51">
        <v>7896261014244</v>
      </c>
      <c r="D1068" s="40" t="s">
        <v>762</v>
      </c>
      <c r="E1068" s="40"/>
      <c r="F1068" s="40">
        <v>254</v>
      </c>
      <c r="G1068" s="38"/>
      <c r="H1068" s="38" t="s">
        <v>763</v>
      </c>
      <c r="I1068" s="38" t="s">
        <v>88</v>
      </c>
      <c r="J1068" s="38" t="s">
        <v>764</v>
      </c>
      <c r="K1068" s="38" t="s">
        <v>765</v>
      </c>
      <c r="L1068" s="52" t="s">
        <v>213</v>
      </c>
      <c r="M1068" s="53" t="s">
        <v>213</v>
      </c>
    </row>
    <row r="1069" spans="1:13" x14ac:dyDescent="0.3">
      <c r="A1069" s="37">
        <v>34</v>
      </c>
      <c r="B1069" s="38" t="s">
        <v>818</v>
      </c>
      <c r="C1069" s="51">
        <v>7896261014244</v>
      </c>
      <c r="D1069" s="40" t="s">
        <v>762</v>
      </c>
      <c r="E1069" s="40"/>
      <c r="F1069" s="40">
        <v>254</v>
      </c>
      <c r="G1069" s="38"/>
      <c r="H1069" s="38" t="s">
        <v>763</v>
      </c>
      <c r="I1069" s="38" t="s">
        <v>88</v>
      </c>
      <c r="J1069" s="38" t="s">
        <v>764</v>
      </c>
      <c r="K1069" s="38" t="s">
        <v>765</v>
      </c>
      <c r="L1069" s="52" t="s">
        <v>213</v>
      </c>
      <c r="M1069" s="53" t="s">
        <v>213</v>
      </c>
    </row>
    <row r="1070" spans="1:13" x14ac:dyDescent="0.3">
      <c r="A1070" s="37">
        <v>34</v>
      </c>
      <c r="B1070" s="38" t="s">
        <v>819</v>
      </c>
      <c r="C1070" s="51">
        <v>7896261014268</v>
      </c>
      <c r="D1070" s="40" t="s">
        <v>762</v>
      </c>
      <c r="E1070" s="40"/>
      <c r="F1070" s="40">
        <v>254</v>
      </c>
      <c r="G1070" s="38"/>
      <c r="H1070" s="38" t="s">
        <v>763</v>
      </c>
      <c r="I1070" s="38" t="s">
        <v>88</v>
      </c>
      <c r="J1070" s="38" t="s">
        <v>764</v>
      </c>
      <c r="K1070" s="38" t="s">
        <v>765</v>
      </c>
      <c r="L1070" s="52" t="s">
        <v>213</v>
      </c>
      <c r="M1070" s="53" t="s">
        <v>213</v>
      </c>
    </row>
    <row r="1071" spans="1:13" x14ac:dyDescent="0.3">
      <c r="A1071" s="37">
        <v>34</v>
      </c>
      <c r="B1071" s="38" t="s">
        <v>820</v>
      </c>
      <c r="C1071" s="51">
        <v>7896261014268</v>
      </c>
      <c r="D1071" s="40" t="s">
        <v>762</v>
      </c>
      <c r="E1071" s="40"/>
      <c r="F1071" s="40">
        <v>254</v>
      </c>
      <c r="G1071" s="38"/>
      <c r="H1071" s="38" t="s">
        <v>763</v>
      </c>
      <c r="I1071" s="38" t="s">
        <v>88</v>
      </c>
      <c r="J1071" s="38" t="s">
        <v>764</v>
      </c>
      <c r="K1071" s="38" t="s">
        <v>765</v>
      </c>
      <c r="L1071" s="52" t="s">
        <v>213</v>
      </c>
      <c r="M1071" s="53" t="s">
        <v>213</v>
      </c>
    </row>
    <row r="1072" spans="1:13" x14ac:dyDescent="0.3">
      <c r="A1072" s="37">
        <v>34</v>
      </c>
      <c r="B1072" s="38" t="s">
        <v>821</v>
      </c>
      <c r="C1072" s="51">
        <v>7896261018310</v>
      </c>
      <c r="D1072" s="40" t="s">
        <v>762</v>
      </c>
      <c r="E1072" s="40"/>
      <c r="F1072" s="40">
        <v>254</v>
      </c>
      <c r="G1072" s="38"/>
      <c r="H1072" s="38" t="s">
        <v>763</v>
      </c>
      <c r="I1072" s="38" t="s">
        <v>88</v>
      </c>
      <c r="J1072" s="38" t="s">
        <v>764</v>
      </c>
      <c r="K1072" s="38" t="s">
        <v>765</v>
      </c>
      <c r="L1072" s="52" t="s">
        <v>213</v>
      </c>
      <c r="M1072" s="53" t="s">
        <v>213</v>
      </c>
    </row>
    <row r="1073" spans="1:13" x14ac:dyDescent="0.3">
      <c r="A1073" s="37">
        <v>34</v>
      </c>
      <c r="B1073" s="38" t="s">
        <v>822</v>
      </c>
      <c r="C1073" s="51">
        <v>7896261018310</v>
      </c>
      <c r="D1073" s="40" t="s">
        <v>762</v>
      </c>
      <c r="E1073" s="40"/>
      <c r="F1073" s="40">
        <v>254</v>
      </c>
      <c r="G1073" s="38"/>
      <c r="H1073" s="38" t="s">
        <v>763</v>
      </c>
      <c r="I1073" s="38" t="s">
        <v>88</v>
      </c>
      <c r="J1073" s="38" t="s">
        <v>764</v>
      </c>
      <c r="K1073" s="38" t="s">
        <v>765</v>
      </c>
      <c r="L1073" s="52" t="s">
        <v>213</v>
      </c>
      <c r="M1073" s="53" t="s">
        <v>213</v>
      </c>
    </row>
    <row r="1074" spans="1:13" x14ac:dyDescent="0.3">
      <c r="A1074" s="37">
        <v>34</v>
      </c>
      <c r="B1074" s="38" t="s">
        <v>823</v>
      </c>
      <c r="C1074" s="51">
        <v>7896261018563</v>
      </c>
      <c r="D1074" s="40" t="s">
        <v>762</v>
      </c>
      <c r="E1074" s="40"/>
      <c r="F1074" s="40">
        <v>254</v>
      </c>
      <c r="G1074" s="38"/>
      <c r="H1074" s="38" t="s">
        <v>763</v>
      </c>
      <c r="I1074" s="38" t="s">
        <v>88</v>
      </c>
      <c r="J1074" s="38" t="s">
        <v>764</v>
      </c>
      <c r="K1074" s="38" t="s">
        <v>765</v>
      </c>
      <c r="L1074" s="52" t="s">
        <v>213</v>
      </c>
      <c r="M1074" s="53" t="s">
        <v>213</v>
      </c>
    </row>
    <row r="1075" spans="1:13" x14ac:dyDescent="0.3">
      <c r="A1075" s="37">
        <v>34</v>
      </c>
      <c r="B1075" s="38" t="s">
        <v>824</v>
      </c>
      <c r="C1075" s="51">
        <v>7896261019331</v>
      </c>
      <c r="D1075" s="40" t="s">
        <v>762</v>
      </c>
      <c r="E1075" s="40"/>
      <c r="F1075" s="40">
        <v>254</v>
      </c>
      <c r="G1075" s="38"/>
      <c r="H1075" s="38" t="s">
        <v>763</v>
      </c>
      <c r="I1075" s="38" t="s">
        <v>88</v>
      </c>
      <c r="J1075" s="38" t="s">
        <v>764</v>
      </c>
      <c r="K1075" s="38" t="s">
        <v>765</v>
      </c>
      <c r="L1075" s="52" t="s">
        <v>213</v>
      </c>
      <c r="M1075" s="53" t="s">
        <v>213</v>
      </c>
    </row>
    <row r="1076" spans="1:13" x14ac:dyDescent="0.3">
      <c r="A1076" s="37">
        <v>34</v>
      </c>
      <c r="B1076" s="38" t="s">
        <v>825</v>
      </c>
      <c r="C1076" s="51">
        <v>7896261019348</v>
      </c>
      <c r="D1076" s="40" t="s">
        <v>762</v>
      </c>
      <c r="E1076" s="40"/>
      <c r="F1076" s="40">
        <v>254</v>
      </c>
      <c r="G1076" s="38"/>
      <c r="H1076" s="38" t="s">
        <v>763</v>
      </c>
      <c r="I1076" s="38" t="s">
        <v>88</v>
      </c>
      <c r="J1076" s="38" t="s">
        <v>764</v>
      </c>
      <c r="K1076" s="38" t="s">
        <v>765</v>
      </c>
      <c r="L1076" s="52" t="s">
        <v>213</v>
      </c>
      <c r="M1076" s="53" t="s">
        <v>213</v>
      </c>
    </row>
    <row r="1077" spans="1:13" x14ac:dyDescent="0.3">
      <c r="A1077" s="37">
        <v>34</v>
      </c>
      <c r="B1077" s="38" t="s">
        <v>826</v>
      </c>
      <c r="C1077" s="51">
        <v>7896261019348</v>
      </c>
      <c r="D1077" s="40" t="s">
        <v>762</v>
      </c>
      <c r="E1077" s="40"/>
      <c r="F1077" s="40">
        <v>254</v>
      </c>
      <c r="G1077" s="38"/>
      <c r="H1077" s="38" t="s">
        <v>763</v>
      </c>
      <c r="I1077" s="38" t="s">
        <v>88</v>
      </c>
      <c r="J1077" s="38" t="s">
        <v>764</v>
      </c>
      <c r="K1077" s="38" t="s">
        <v>765</v>
      </c>
      <c r="L1077" s="52" t="s">
        <v>213</v>
      </c>
      <c r="M1077" s="53" t="s">
        <v>213</v>
      </c>
    </row>
    <row r="1078" spans="1:13" x14ac:dyDescent="0.3">
      <c r="A1078" s="37">
        <v>80</v>
      </c>
      <c r="B1078" s="38" t="s">
        <v>827</v>
      </c>
      <c r="C1078" s="51">
        <v>7896094904972</v>
      </c>
      <c r="D1078" s="40" t="s">
        <v>68</v>
      </c>
      <c r="E1078" s="40"/>
      <c r="F1078" s="40">
        <v>915</v>
      </c>
      <c r="G1078" s="38"/>
      <c r="H1078" s="38" t="s">
        <v>828</v>
      </c>
      <c r="I1078" s="38" t="s">
        <v>480</v>
      </c>
      <c r="J1078" s="49" t="s">
        <v>213</v>
      </c>
      <c r="K1078" s="38" t="s">
        <v>480</v>
      </c>
      <c r="L1078" s="49" t="s">
        <v>213</v>
      </c>
      <c r="M1078" s="54" t="s">
        <v>213</v>
      </c>
    </row>
    <row r="1079" spans="1:13" x14ac:dyDescent="0.3">
      <c r="A1079" s="37">
        <v>80</v>
      </c>
      <c r="B1079" s="38" t="s">
        <v>829</v>
      </c>
      <c r="C1079" s="51">
        <v>7896094904972</v>
      </c>
      <c r="D1079" s="40" t="s">
        <v>68</v>
      </c>
      <c r="E1079" s="40"/>
      <c r="F1079" s="40">
        <v>915</v>
      </c>
      <c r="G1079" s="38"/>
      <c r="H1079" s="38" t="s">
        <v>828</v>
      </c>
      <c r="I1079" s="38" t="s">
        <v>480</v>
      </c>
      <c r="J1079" s="49" t="s">
        <v>213</v>
      </c>
      <c r="K1079" s="38" t="s">
        <v>480</v>
      </c>
      <c r="L1079" s="49" t="s">
        <v>213</v>
      </c>
      <c r="M1079" s="54" t="s">
        <v>213</v>
      </c>
    </row>
    <row r="1080" spans="1:13" x14ac:dyDescent="0.3">
      <c r="A1080" s="37">
        <v>80</v>
      </c>
      <c r="B1080" s="38" t="s">
        <v>830</v>
      </c>
      <c r="C1080" s="51">
        <v>7896094904989</v>
      </c>
      <c r="D1080" s="40" t="s">
        <v>68</v>
      </c>
      <c r="E1080" s="40"/>
      <c r="F1080" s="40">
        <v>915</v>
      </c>
      <c r="G1080" s="38"/>
      <c r="H1080" s="38" t="s">
        <v>828</v>
      </c>
      <c r="I1080" s="38" t="s">
        <v>831</v>
      </c>
      <c r="J1080" s="38">
        <v>10</v>
      </c>
      <c r="K1080" s="38" t="s">
        <v>832</v>
      </c>
      <c r="L1080" s="52" t="s">
        <v>213</v>
      </c>
      <c r="M1080" s="53" t="s">
        <v>213</v>
      </c>
    </row>
    <row r="1081" spans="1:13" x14ac:dyDescent="0.3">
      <c r="A1081" s="37">
        <v>80</v>
      </c>
      <c r="B1081" s="38" t="s">
        <v>833</v>
      </c>
      <c r="C1081" s="51">
        <v>7896094904996</v>
      </c>
      <c r="D1081" s="40" t="s">
        <v>68</v>
      </c>
      <c r="E1081" s="40"/>
      <c r="F1081" s="40">
        <v>915</v>
      </c>
      <c r="G1081" s="38"/>
      <c r="H1081" s="38" t="s">
        <v>828</v>
      </c>
      <c r="I1081" s="38" t="s">
        <v>831</v>
      </c>
      <c r="J1081" s="38">
        <v>10</v>
      </c>
      <c r="K1081" s="38" t="s">
        <v>834</v>
      </c>
      <c r="L1081" s="52" t="s">
        <v>213</v>
      </c>
      <c r="M1081" s="53" t="s">
        <v>213</v>
      </c>
    </row>
    <row r="1082" spans="1:13" x14ac:dyDescent="0.3">
      <c r="A1082" s="37">
        <v>80</v>
      </c>
      <c r="B1082" s="38" t="s">
        <v>835</v>
      </c>
      <c r="C1082" s="51">
        <v>7896094916807</v>
      </c>
      <c r="D1082" s="40" t="s">
        <v>68</v>
      </c>
      <c r="E1082" s="40"/>
      <c r="F1082" s="40">
        <v>916</v>
      </c>
      <c r="G1082" s="38"/>
      <c r="H1082" s="38" t="s">
        <v>836</v>
      </c>
      <c r="I1082" s="38" t="s">
        <v>837</v>
      </c>
      <c r="J1082" s="38">
        <v>10</v>
      </c>
      <c r="K1082" s="38" t="s">
        <v>838</v>
      </c>
      <c r="L1082" s="52" t="s">
        <v>213</v>
      </c>
      <c r="M1082" s="53" t="s">
        <v>213</v>
      </c>
    </row>
    <row r="1083" spans="1:13" x14ac:dyDescent="0.3">
      <c r="A1083" s="37">
        <v>80</v>
      </c>
      <c r="B1083" s="38" t="s">
        <v>839</v>
      </c>
      <c r="C1083" s="51">
        <v>7896094916814</v>
      </c>
      <c r="D1083" s="40" t="s">
        <v>68</v>
      </c>
      <c r="E1083" s="40"/>
      <c r="F1083" s="40">
        <v>916</v>
      </c>
      <c r="G1083" s="38"/>
      <c r="H1083" s="38" t="s">
        <v>836</v>
      </c>
      <c r="I1083" s="38" t="s">
        <v>837</v>
      </c>
      <c r="J1083" s="38">
        <v>10</v>
      </c>
      <c r="K1083" s="38" t="s">
        <v>838</v>
      </c>
      <c r="L1083" s="52" t="s">
        <v>213</v>
      </c>
      <c r="M1083" s="53" t="s">
        <v>213</v>
      </c>
    </row>
    <row r="1084" spans="1:13" x14ac:dyDescent="0.3">
      <c r="A1084" s="37">
        <v>80</v>
      </c>
      <c r="B1084" s="38" t="s">
        <v>840</v>
      </c>
      <c r="C1084" s="51">
        <v>7896094918856</v>
      </c>
      <c r="D1084" s="40" t="s">
        <v>68</v>
      </c>
      <c r="E1084" s="40"/>
      <c r="F1084" s="40">
        <v>968</v>
      </c>
      <c r="G1084" s="38"/>
      <c r="H1084" s="38" t="s">
        <v>841</v>
      </c>
      <c r="I1084" s="38" t="s">
        <v>837</v>
      </c>
      <c r="J1084" s="38">
        <v>10</v>
      </c>
      <c r="K1084" s="38" t="s">
        <v>838</v>
      </c>
      <c r="L1084" s="52" t="s">
        <v>213</v>
      </c>
      <c r="M1084" s="53" t="s">
        <v>213</v>
      </c>
    </row>
    <row r="1085" spans="1:13" x14ac:dyDescent="0.3">
      <c r="A1085" s="37">
        <v>80</v>
      </c>
      <c r="B1085" s="38" t="s">
        <v>842</v>
      </c>
      <c r="C1085" s="51">
        <v>7896094918863</v>
      </c>
      <c r="D1085" s="40" t="s">
        <v>68</v>
      </c>
      <c r="E1085" s="40"/>
      <c r="F1085" s="40">
        <v>968</v>
      </c>
      <c r="G1085" s="38"/>
      <c r="H1085" s="38" t="s">
        <v>841</v>
      </c>
      <c r="I1085" s="38" t="s">
        <v>837</v>
      </c>
      <c r="J1085" s="38">
        <v>10</v>
      </c>
      <c r="K1085" s="38" t="s">
        <v>838</v>
      </c>
      <c r="L1085" s="52" t="s">
        <v>213</v>
      </c>
      <c r="M1085" s="53" t="s">
        <v>213</v>
      </c>
    </row>
    <row r="1086" spans="1:13" x14ac:dyDescent="0.3">
      <c r="A1086" s="37">
        <v>80</v>
      </c>
      <c r="B1086" s="38" t="s">
        <v>843</v>
      </c>
      <c r="C1086" s="51">
        <v>7896094920255</v>
      </c>
      <c r="D1086" s="40" t="s">
        <v>68</v>
      </c>
      <c r="E1086" s="40"/>
      <c r="F1086" s="40">
        <v>996</v>
      </c>
      <c r="G1086" s="38"/>
      <c r="H1086" s="38" t="s">
        <v>844</v>
      </c>
      <c r="I1086" s="38" t="s">
        <v>837</v>
      </c>
      <c r="J1086" s="38">
        <v>10</v>
      </c>
      <c r="K1086" s="38" t="s">
        <v>838</v>
      </c>
      <c r="L1086" s="52" t="s">
        <v>213</v>
      </c>
      <c r="M1086" s="53" t="s">
        <v>213</v>
      </c>
    </row>
    <row r="1087" spans="1:13" x14ac:dyDescent="0.3">
      <c r="A1087" s="37">
        <v>80</v>
      </c>
      <c r="B1087" s="38" t="s">
        <v>30</v>
      </c>
      <c r="C1087" s="51">
        <v>7896094920545</v>
      </c>
      <c r="D1087" s="40" t="s">
        <v>68</v>
      </c>
      <c r="E1087" s="40"/>
      <c r="F1087" s="40">
        <v>998</v>
      </c>
      <c r="G1087" s="38"/>
      <c r="H1087" s="38" t="s">
        <v>845</v>
      </c>
      <c r="I1087" s="38" t="s">
        <v>351</v>
      </c>
      <c r="J1087" s="38">
        <v>2</v>
      </c>
      <c r="K1087" s="38" t="s">
        <v>846</v>
      </c>
      <c r="L1087" s="52" t="s">
        <v>213</v>
      </c>
      <c r="M1087" s="53" t="s">
        <v>213</v>
      </c>
    </row>
    <row r="1088" spans="1:13" x14ac:dyDescent="0.3">
      <c r="A1088" s="37">
        <v>80</v>
      </c>
      <c r="B1088" s="38" t="s">
        <v>847</v>
      </c>
      <c r="C1088" s="51">
        <v>7896094920446</v>
      </c>
      <c r="D1088" s="40" t="s">
        <v>68</v>
      </c>
      <c r="E1088" s="40"/>
      <c r="F1088" s="40">
        <v>998</v>
      </c>
      <c r="G1088" s="38"/>
      <c r="H1088" s="38" t="s">
        <v>845</v>
      </c>
      <c r="I1088" s="38" t="s">
        <v>351</v>
      </c>
      <c r="J1088" s="38">
        <v>2</v>
      </c>
      <c r="K1088" s="38" t="s">
        <v>846</v>
      </c>
      <c r="L1088" s="52" t="s">
        <v>213</v>
      </c>
      <c r="M1088" s="53" t="s">
        <v>213</v>
      </c>
    </row>
    <row r="1089" spans="1:13" x14ac:dyDescent="0.3">
      <c r="A1089" s="37">
        <v>80</v>
      </c>
      <c r="B1089" s="38" t="s">
        <v>848</v>
      </c>
      <c r="C1089" s="51">
        <v>7896094917415</v>
      </c>
      <c r="D1089" s="40" t="s">
        <v>68</v>
      </c>
      <c r="E1089" s="40"/>
      <c r="F1089" s="40">
        <v>998</v>
      </c>
      <c r="G1089" s="38"/>
      <c r="H1089" s="38" t="s">
        <v>845</v>
      </c>
      <c r="I1089" s="38" t="s">
        <v>351</v>
      </c>
      <c r="J1089" s="38">
        <v>2</v>
      </c>
      <c r="K1089" s="38" t="s">
        <v>846</v>
      </c>
      <c r="L1089" s="52" t="s">
        <v>213</v>
      </c>
      <c r="M1089" s="53" t="s">
        <v>213</v>
      </c>
    </row>
    <row r="1090" spans="1:13" x14ac:dyDescent="0.3">
      <c r="A1090" s="37">
        <v>80</v>
      </c>
      <c r="B1090" s="38" t="s">
        <v>849</v>
      </c>
      <c r="C1090" s="51">
        <v>7896094920682</v>
      </c>
      <c r="D1090" s="40" t="s">
        <v>68</v>
      </c>
      <c r="E1090" s="40"/>
      <c r="F1090" s="40">
        <v>997</v>
      </c>
      <c r="G1090" s="38"/>
      <c r="H1090" s="38" t="s">
        <v>850</v>
      </c>
      <c r="I1090" s="38" t="s">
        <v>837</v>
      </c>
      <c r="J1090" s="38">
        <v>10</v>
      </c>
      <c r="K1090" s="38" t="s">
        <v>838</v>
      </c>
      <c r="L1090" s="52" t="s">
        <v>213</v>
      </c>
      <c r="M1090" s="53" t="s">
        <v>213</v>
      </c>
    </row>
    <row r="1091" spans="1:13" x14ac:dyDescent="0.3">
      <c r="A1091" s="37">
        <v>57</v>
      </c>
      <c r="B1091" s="38" t="s">
        <v>851</v>
      </c>
      <c r="C1091" s="51">
        <v>7896382701290</v>
      </c>
      <c r="D1091" s="40" t="s">
        <v>852</v>
      </c>
      <c r="E1091" s="40"/>
      <c r="F1091" s="40">
        <v>45</v>
      </c>
      <c r="G1091" s="38"/>
      <c r="H1091" s="38" t="s">
        <v>853</v>
      </c>
      <c r="I1091" s="38" t="s">
        <v>88</v>
      </c>
      <c r="J1091" s="38" t="s">
        <v>559</v>
      </c>
      <c r="K1091" s="38" t="s">
        <v>854</v>
      </c>
      <c r="L1091" s="52" t="s">
        <v>213</v>
      </c>
      <c r="M1091" s="53" t="s">
        <v>213</v>
      </c>
    </row>
    <row r="1092" spans="1:13" x14ac:dyDescent="0.3">
      <c r="A1092" s="37">
        <v>57</v>
      </c>
      <c r="B1092" s="38" t="s">
        <v>851</v>
      </c>
      <c r="C1092" s="51">
        <v>7896382701290</v>
      </c>
      <c r="D1092" s="40" t="s">
        <v>852</v>
      </c>
      <c r="E1092" s="40"/>
      <c r="F1092" s="40">
        <v>752</v>
      </c>
      <c r="G1092" s="38"/>
      <c r="H1092" s="38" t="s">
        <v>855</v>
      </c>
      <c r="I1092" s="38" t="s">
        <v>88</v>
      </c>
      <c r="J1092" s="38" t="s">
        <v>559</v>
      </c>
      <c r="K1092" s="38" t="s">
        <v>854</v>
      </c>
      <c r="L1092" s="52" t="s">
        <v>213</v>
      </c>
      <c r="M1092" s="53" t="s">
        <v>213</v>
      </c>
    </row>
    <row r="1093" spans="1:13" x14ac:dyDescent="0.3">
      <c r="A1093" s="37">
        <v>57</v>
      </c>
      <c r="B1093" s="38" t="s">
        <v>856</v>
      </c>
      <c r="C1093" s="51">
        <v>7896382701344</v>
      </c>
      <c r="D1093" s="40" t="s">
        <v>852</v>
      </c>
      <c r="E1093" s="40"/>
      <c r="F1093" s="40">
        <v>44</v>
      </c>
      <c r="G1093" s="38"/>
      <c r="H1093" s="38" t="s">
        <v>857</v>
      </c>
      <c r="I1093" s="38" t="s">
        <v>88</v>
      </c>
      <c r="J1093" s="38" t="s">
        <v>858</v>
      </c>
      <c r="K1093" s="38" t="s">
        <v>854</v>
      </c>
      <c r="L1093" s="52" t="s">
        <v>213</v>
      </c>
      <c r="M1093" s="53" t="s">
        <v>213</v>
      </c>
    </row>
    <row r="1094" spans="1:13" x14ac:dyDescent="0.3">
      <c r="A1094" s="37">
        <v>57</v>
      </c>
      <c r="B1094" s="38" t="s">
        <v>856</v>
      </c>
      <c r="C1094" s="51">
        <v>7896382701344</v>
      </c>
      <c r="D1094" s="40" t="s">
        <v>852</v>
      </c>
      <c r="E1094" s="40"/>
      <c r="F1094" s="40">
        <v>45</v>
      </c>
      <c r="G1094" s="38"/>
      <c r="H1094" s="38" t="s">
        <v>853</v>
      </c>
      <c r="I1094" s="38" t="s">
        <v>88</v>
      </c>
      <c r="J1094" s="38" t="s">
        <v>858</v>
      </c>
      <c r="K1094" s="38" t="s">
        <v>854</v>
      </c>
      <c r="L1094" s="52" t="s">
        <v>213</v>
      </c>
      <c r="M1094" s="53" t="s">
        <v>213</v>
      </c>
    </row>
    <row r="1095" spans="1:13" x14ac:dyDescent="0.3">
      <c r="A1095" s="37">
        <v>57</v>
      </c>
      <c r="B1095" s="38" t="s">
        <v>856</v>
      </c>
      <c r="C1095" s="51">
        <v>7896382701344</v>
      </c>
      <c r="D1095" s="40" t="s">
        <v>852</v>
      </c>
      <c r="E1095" s="40"/>
      <c r="F1095" s="40">
        <v>752</v>
      </c>
      <c r="G1095" s="38"/>
      <c r="H1095" s="38" t="s">
        <v>855</v>
      </c>
      <c r="I1095" s="38" t="s">
        <v>88</v>
      </c>
      <c r="J1095" s="38" t="s">
        <v>858</v>
      </c>
      <c r="K1095" s="38" t="s">
        <v>854</v>
      </c>
      <c r="L1095" s="52" t="s">
        <v>213</v>
      </c>
      <c r="M1095" s="53" t="s">
        <v>213</v>
      </c>
    </row>
    <row r="1096" spans="1:13" x14ac:dyDescent="0.3">
      <c r="A1096" s="37">
        <v>57</v>
      </c>
      <c r="B1096" s="38" t="s">
        <v>859</v>
      </c>
      <c r="C1096" s="51">
        <v>7896382703119</v>
      </c>
      <c r="D1096" s="40" t="s">
        <v>852</v>
      </c>
      <c r="E1096" s="40"/>
      <c r="F1096" s="40">
        <v>45</v>
      </c>
      <c r="G1096" s="38"/>
      <c r="H1096" s="38" t="s">
        <v>853</v>
      </c>
      <c r="I1096" s="38" t="s">
        <v>88</v>
      </c>
      <c r="J1096" s="38" t="s">
        <v>860</v>
      </c>
      <c r="K1096" s="38" t="s">
        <v>854</v>
      </c>
      <c r="L1096" s="52" t="s">
        <v>213</v>
      </c>
      <c r="M1096" s="53" t="s">
        <v>213</v>
      </c>
    </row>
    <row r="1097" spans="1:13" x14ac:dyDescent="0.3">
      <c r="A1097" s="37">
        <v>57</v>
      </c>
      <c r="B1097" s="38" t="s">
        <v>859</v>
      </c>
      <c r="C1097" s="51">
        <v>7896382703119</v>
      </c>
      <c r="D1097" s="40" t="s">
        <v>852</v>
      </c>
      <c r="E1097" s="40"/>
      <c r="F1097" s="40">
        <v>752</v>
      </c>
      <c r="G1097" s="38"/>
      <c r="H1097" s="38" t="s">
        <v>855</v>
      </c>
      <c r="I1097" s="38" t="s">
        <v>88</v>
      </c>
      <c r="J1097" s="38" t="s">
        <v>860</v>
      </c>
      <c r="K1097" s="38" t="s">
        <v>854</v>
      </c>
      <c r="L1097" s="52" t="s">
        <v>213</v>
      </c>
      <c r="M1097" s="53" t="s">
        <v>213</v>
      </c>
    </row>
    <row r="1098" spans="1:13" x14ac:dyDescent="0.3">
      <c r="A1098" s="37">
        <v>57</v>
      </c>
      <c r="B1098" s="38" t="s">
        <v>861</v>
      </c>
      <c r="C1098" s="51">
        <v>7896382703126</v>
      </c>
      <c r="D1098" s="40" t="s">
        <v>852</v>
      </c>
      <c r="E1098" s="40"/>
      <c r="F1098" s="40">
        <v>43</v>
      </c>
      <c r="G1098" s="38"/>
      <c r="H1098" s="38" t="s">
        <v>862</v>
      </c>
      <c r="I1098" s="38" t="s">
        <v>88</v>
      </c>
      <c r="J1098" s="38" t="s">
        <v>863</v>
      </c>
      <c r="K1098" s="38" t="s">
        <v>854</v>
      </c>
      <c r="L1098" s="52" t="s">
        <v>213</v>
      </c>
      <c r="M1098" s="53" t="s">
        <v>213</v>
      </c>
    </row>
    <row r="1099" spans="1:13" x14ac:dyDescent="0.3">
      <c r="A1099" s="37">
        <v>57</v>
      </c>
      <c r="B1099" s="38" t="s">
        <v>861</v>
      </c>
      <c r="C1099" s="51">
        <v>7896382703126</v>
      </c>
      <c r="D1099" s="40" t="s">
        <v>852</v>
      </c>
      <c r="E1099" s="40"/>
      <c r="F1099" s="40">
        <v>45</v>
      </c>
      <c r="G1099" s="38"/>
      <c r="H1099" s="38" t="s">
        <v>853</v>
      </c>
      <c r="I1099" s="38" t="s">
        <v>88</v>
      </c>
      <c r="J1099" s="38" t="s">
        <v>863</v>
      </c>
      <c r="K1099" s="38" t="s">
        <v>854</v>
      </c>
      <c r="L1099" s="52" t="s">
        <v>213</v>
      </c>
      <c r="M1099" s="53" t="s">
        <v>213</v>
      </c>
    </row>
    <row r="1100" spans="1:13" x14ac:dyDescent="0.3">
      <c r="A1100" s="37">
        <v>57</v>
      </c>
      <c r="B1100" s="38" t="s">
        <v>861</v>
      </c>
      <c r="C1100" s="51">
        <v>7896382703126</v>
      </c>
      <c r="D1100" s="40" t="s">
        <v>852</v>
      </c>
      <c r="E1100" s="40"/>
      <c r="F1100" s="40">
        <v>46</v>
      </c>
      <c r="G1100" s="38"/>
      <c r="H1100" s="38" t="s">
        <v>864</v>
      </c>
      <c r="I1100" s="38" t="s">
        <v>88</v>
      </c>
      <c r="J1100" s="38" t="s">
        <v>863</v>
      </c>
      <c r="K1100" s="38" t="s">
        <v>854</v>
      </c>
      <c r="L1100" s="52" t="s">
        <v>213</v>
      </c>
      <c r="M1100" s="53" t="s">
        <v>213</v>
      </c>
    </row>
    <row r="1101" spans="1:13" x14ac:dyDescent="0.3">
      <c r="A1101" s="37">
        <v>57</v>
      </c>
      <c r="B1101" s="38" t="s">
        <v>861</v>
      </c>
      <c r="C1101" s="51">
        <v>7896382703126</v>
      </c>
      <c r="D1101" s="40" t="s">
        <v>852</v>
      </c>
      <c r="E1101" s="40"/>
      <c r="F1101" s="40">
        <v>752</v>
      </c>
      <c r="G1101" s="38"/>
      <c r="H1101" s="38" t="s">
        <v>855</v>
      </c>
      <c r="I1101" s="38" t="s">
        <v>88</v>
      </c>
      <c r="J1101" s="38" t="s">
        <v>863</v>
      </c>
      <c r="K1101" s="38" t="s">
        <v>854</v>
      </c>
      <c r="L1101" s="52" t="s">
        <v>213</v>
      </c>
      <c r="M1101" s="53" t="s">
        <v>213</v>
      </c>
    </row>
    <row r="1102" spans="1:13" x14ac:dyDescent="0.3">
      <c r="A1102" s="37">
        <v>57</v>
      </c>
      <c r="B1102" s="38" t="s">
        <v>865</v>
      </c>
      <c r="C1102" s="51">
        <v>7896382705168</v>
      </c>
      <c r="D1102" s="40" t="s">
        <v>852</v>
      </c>
      <c r="E1102" s="40"/>
      <c r="F1102" s="40">
        <v>42</v>
      </c>
      <c r="G1102" s="38"/>
      <c r="H1102" s="38" t="s">
        <v>866</v>
      </c>
      <c r="I1102" s="38" t="s">
        <v>88</v>
      </c>
      <c r="J1102" s="38" t="s">
        <v>559</v>
      </c>
      <c r="K1102" s="38" t="s">
        <v>854</v>
      </c>
      <c r="L1102" s="52" t="s">
        <v>213</v>
      </c>
      <c r="M1102" s="53" t="s">
        <v>213</v>
      </c>
    </row>
    <row r="1103" spans="1:13" x14ac:dyDescent="0.3">
      <c r="A1103" s="37">
        <v>57</v>
      </c>
      <c r="B1103" s="38" t="s">
        <v>865</v>
      </c>
      <c r="C1103" s="51">
        <v>7896382705168</v>
      </c>
      <c r="D1103" s="40" t="s">
        <v>852</v>
      </c>
      <c r="E1103" s="40"/>
      <c r="F1103" s="40">
        <v>43</v>
      </c>
      <c r="G1103" s="38"/>
      <c r="H1103" s="38" t="s">
        <v>862</v>
      </c>
      <c r="I1103" s="38" t="s">
        <v>88</v>
      </c>
      <c r="J1103" s="38" t="s">
        <v>559</v>
      </c>
      <c r="K1103" s="38" t="s">
        <v>854</v>
      </c>
      <c r="L1103" s="52" t="s">
        <v>213</v>
      </c>
      <c r="M1103" s="53" t="s">
        <v>213</v>
      </c>
    </row>
    <row r="1104" spans="1:13" x14ac:dyDescent="0.3">
      <c r="A1104" s="37">
        <v>57</v>
      </c>
      <c r="B1104" s="38" t="s">
        <v>865</v>
      </c>
      <c r="C1104" s="51">
        <v>7896382705168</v>
      </c>
      <c r="D1104" s="40" t="s">
        <v>852</v>
      </c>
      <c r="E1104" s="40"/>
      <c r="F1104" s="40">
        <v>44</v>
      </c>
      <c r="G1104" s="38"/>
      <c r="H1104" s="38" t="s">
        <v>857</v>
      </c>
      <c r="I1104" s="38" t="s">
        <v>88</v>
      </c>
      <c r="J1104" s="38" t="s">
        <v>559</v>
      </c>
      <c r="K1104" s="38" t="s">
        <v>854</v>
      </c>
      <c r="L1104" s="52" t="s">
        <v>213</v>
      </c>
      <c r="M1104" s="53" t="s">
        <v>213</v>
      </c>
    </row>
    <row r="1105" spans="1:13" x14ac:dyDescent="0.3">
      <c r="A1105" s="37">
        <v>57</v>
      </c>
      <c r="B1105" s="38" t="s">
        <v>865</v>
      </c>
      <c r="C1105" s="51">
        <v>7896382705168</v>
      </c>
      <c r="D1105" s="40" t="s">
        <v>852</v>
      </c>
      <c r="E1105" s="40"/>
      <c r="F1105" s="40">
        <v>45</v>
      </c>
      <c r="G1105" s="38"/>
      <c r="H1105" s="38" t="s">
        <v>853</v>
      </c>
      <c r="I1105" s="38" t="s">
        <v>88</v>
      </c>
      <c r="J1105" s="38" t="s">
        <v>559</v>
      </c>
      <c r="K1105" s="38" t="s">
        <v>854</v>
      </c>
      <c r="L1105" s="52" t="s">
        <v>213</v>
      </c>
      <c r="M1105" s="53" t="s">
        <v>213</v>
      </c>
    </row>
    <row r="1106" spans="1:13" x14ac:dyDescent="0.3">
      <c r="A1106" s="37">
        <v>57</v>
      </c>
      <c r="B1106" s="38" t="s">
        <v>865</v>
      </c>
      <c r="C1106" s="51">
        <v>7896382705168</v>
      </c>
      <c r="D1106" s="40" t="s">
        <v>852</v>
      </c>
      <c r="E1106" s="40"/>
      <c r="F1106" s="40">
        <v>46</v>
      </c>
      <c r="G1106" s="38"/>
      <c r="H1106" s="38" t="s">
        <v>864</v>
      </c>
      <c r="I1106" s="38" t="s">
        <v>88</v>
      </c>
      <c r="J1106" s="38" t="s">
        <v>559</v>
      </c>
      <c r="K1106" s="38" t="s">
        <v>854</v>
      </c>
      <c r="L1106" s="52" t="s">
        <v>213</v>
      </c>
      <c r="M1106" s="53" t="s">
        <v>213</v>
      </c>
    </row>
    <row r="1107" spans="1:13" x14ac:dyDescent="0.3">
      <c r="A1107" s="37">
        <v>57</v>
      </c>
      <c r="B1107" s="38" t="s">
        <v>865</v>
      </c>
      <c r="C1107" s="51">
        <v>7896382705168</v>
      </c>
      <c r="D1107" s="40" t="s">
        <v>852</v>
      </c>
      <c r="E1107" s="40"/>
      <c r="F1107" s="40">
        <v>48</v>
      </c>
      <c r="G1107" s="38"/>
      <c r="H1107" s="38" t="s">
        <v>867</v>
      </c>
      <c r="I1107" s="38" t="s">
        <v>88</v>
      </c>
      <c r="J1107" s="38" t="s">
        <v>559</v>
      </c>
      <c r="K1107" s="38" t="s">
        <v>854</v>
      </c>
      <c r="L1107" s="52" t="s">
        <v>213</v>
      </c>
      <c r="M1107" s="53" t="s">
        <v>213</v>
      </c>
    </row>
    <row r="1108" spans="1:13" x14ac:dyDescent="0.3">
      <c r="A1108" s="37">
        <v>57</v>
      </c>
      <c r="B1108" s="38" t="s">
        <v>865</v>
      </c>
      <c r="C1108" s="51">
        <v>7896382705168</v>
      </c>
      <c r="D1108" s="40" t="s">
        <v>852</v>
      </c>
      <c r="E1108" s="40"/>
      <c r="F1108" s="40">
        <v>752</v>
      </c>
      <c r="G1108" s="38"/>
      <c r="H1108" s="38" t="s">
        <v>855</v>
      </c>
      <c r="I1108" s="38" t="s">
        <v>88</v>
      </c>
      <c r="J1108" s="38" t="s">
        <v>559</v>
      </c>
      <c r="K1108" s="38" t="s">
        <v>854</v>
      </c>
      <c r="L1108" s="52" t="s">
        <v>213</v>
      </c>
      <c r="M1108" s="53" t="s">
        <v>213</v>
      </c>
    </row>
    <row r="1109" spans="1:13" x14ac:dyDescent="0.3">
      <c r="A1109" s="37">
        <v>57</v>
      </c>
      <c r="B1109" s="38" t="s">
        <v>868</v>
      </c>
      <c r="C1109" s="51">
        <v>7896382705199</v>
      </c>
      <c r="D1109" s="40" t="s">
        <v>852</v>
      </c>
      <c r="E1109" s="40"/>
      <c r="F1109" s="40">
        <v>42</v>
      </c>
      <c r="G1109" s="38"/>
      <c r="H1109" s="38" t="s">
        <v>866</v>
      </c>
      <c r="I1109" s="38" t="s">
        <v>88</v>
      </c>
      <c r="J1109" s="38" t="s">
        <v>858</v>
      </c>
      <c r="K1109" s="38" t="s">
        <v>854</v>
      </c>
      <c r="L1109" s="52" t="s">
        <v>213</v>
      </c>
      <c r="M1109" s="53" t="s">
        <v>213</v>
      </c>
    </row>
    <row r="1110" spans="1:13" x14ac:dyDescent="0.3">
      <c r="A1110" s="37">
        <v>57</v>
      </c>
      <c r="B1110" s="38" t="s">
        <v>868</v>
      </c>
      <c r="C1110" s="51">
        <v>7896382705199</v>
      </c>
      <c r="D1110" s="40" t="s">
        <v>852</v>
      </c>
      <c r="E1110" s="40"/>
      <c r="F1110" s="40">
        <v>43</v>
      </c>
      <c r="G1110" s="38"/>
      <c r="H1110" s="38" t="s">
        <v>862</v>
      </c>
      <c r="I1110" s="38" t="s">
        <v>88</v>
      </c>
      <c r="J1110" s="38" t="s">
        <v>858</v>
      </c>
      <c r="K1110" s="38" t="s">
        <v>854</v>
      </c>
      <c r="L1110" s="52" t="s">
        <v>213</v>
      </c>
      <c r="M1110" s="53" t="s">
        <v>213</v>
      </c>
    </row>
    <row r="1111" spans="1:13" x14ac:dyDescent="0.3">
      <c r="A1111" s="37">
        <v>57</v>
      </c>
      <c r="B1111" s="38" t="s">
        <v>868</v>
      </c>
      <c r="C1111" s="51">
        <v>7896382705199</v>
      </c>
      <c r="D1111" s="40" t="s">
        <v>852</v>
      </c>
      <c r="E1111" s="40"/>
      <c r="F1111" s="40">
        <v>44</v>
      </c>
      <c r="G1111" s="38"/>
      <c r="H1111" s="38" t="s">
        <v>857</v>
      </c>
      <c r="I1111" s="38" t="s">
        <v>88</v>
      </c>
      <c r="J1111" s="38" t="s">
        <v>858</v>
      </c>
      <c r="K1111" s="38" t="s">
        <v>854</v>
      </c>
      <c r="L1111" s="52" t="s">
        <v>213</v>
      </c>
      <c r="M1111" s="53" t="s">
        <v>213</v>
      </c>
    </row>
    <row r="1112" spans="1:13" x14ac:dyDescent="0.3">
      <c r="A1112" s="37">
        <v>57</v>
      </c>
      <c r="B1112" s="38" t="s">
        <v>868</v>
      </c>
      <c r="C1112" s="51">
        <v>7896382705199</v>
      </c>
      <c r="D1112" s="40" t="s">
        <v>852</v>
      </c>
      <c r="E1112" s="40"/>
      <c r="F1112" s="40">
        <v>45</v>
      </c>
      <c r="G1112" s="38"/>
      <c r="H1112" s="38" t="s">
        <v>853</v>
      </c>
      <c r="I1112" s="38" t="s">
        <v>88</v>
      </c>
      <c r="J1112" s="38" t="s">
        <v>858</v>
      </c>
      <c r="K1112" s="38" t="s">
        <v>854</v>
      </c>
      <c r="L1112" s="52" t="s">
        <v>213</v>
      </c>
      <c r="M1112" s="53" t="s">
        <v>213</v>
      </c>
    </row>
    <row r="1113" spans="1:13" x14ac:dyDescent="0.3">
      <c r="A1113" s="37">
        <v>57</v>
      </c>
      <c r="B1113" s="38" t="s">
        <v>868</v>
      </c>
      <c r="C1113" s="51">
        <v>7896382705199</v>
      </c>
      <c r="D1113" s="40" t="s">
        <v>852</v>
      </c>
      <c r="E1113" s="40"/>
      <c r="F1113" s="40">
        <v>46</v>
      </c>
      <c r="G1113" s="38"/>
      <c r="H1113" s="38" t="s">
        <v>864</v>
      </c>
      <c r="I1113" s="38" t="s">
        <v>88</v>
      </c>
      <c r="J1113" s="38" t="s">
        <v>858</v>
      </c>
      <c r="K1113" s="38" t="s">
        <v>854</v>
      </c>
      <c r="L1113" s="52" t="s">
        <v>213</v>
      </c>
      <c r="M1113" s="53" t="s">
        <v>213</v>
      </c>
    </row>
    <row r="1114" spans="1:13" x14ac:dyDescent="0.3">
      <c r="A1114" s="37">
        <v>57</v>
      </c>
      <c r="B1114" s="38" t="s">
        <v>868</v>
      </c>
      <c r="C1114" s="51">
        <v>7896382705199</v>
      </c>
      <c r="D1114" s="40" t="s">
        <v>852</v>
      </c>
      <c r="E1114" s="40"/>
      <c r="F1114" s="40">
        <v>47</v>
      </c>
      <c r="G1114" s="38"/>
      <c r="H1114" s="38" t="s">
        <v>869</v>
      </c>
      <c r="I1114" s="38" t="s">
        <v>88</v>
      </c>
      <c r="J1114" s="38" t="s">
        <v>858</v>
      </c>
      <c r="K1114" s="38" t="s">
        <v>854</v>
      </c>
      <c r="L1114" s="52" t="s">
        <v>213</v>
      </c>
      <c r="M1114" s="53" t="s">
        <v>213</v>
      </c>
    </row>
    <row r="1115" spans="1:13" x14ac:dyDescent="0.3">
      <c r="A1115" s="37">
        <v>57</v>
      </c>
      <c r="B1115" s="38" t="s">
        <v>868</v>
      </c>
      <c r="C1115" s="51">
        <v>7896382705199</v>
      </c>
      <c r="D1115" s="40" t="s">
        <v>852</v>
      </c>
      <c r="E1115" s="40"/>
      <c r="F1115" s="40">
        <v>48</v>
      </c>
      <c r="G1115" s="38"/>
      <c r="H1115" s="38" t="s">
        <v>867</v>
      </c>
      <c r="I1115" s="38" t="s">
        <v>88</v>
      </c>
      <c r="J1115" s="38" t="s">
        <v>858</v>
      </c>
      <c r="K1115" s="38" t="s">
        <v>854</v>
      </c>
      <c r="L1115" s="52" t="s">
        <v>213</v>
      </c>
      <c r="M1115" s="53" t="s">
        <v>213</v>
      </c>
    </row>
    <row r="1116" spans="1:13" x14ac:dyDescent="0.3">
      <c r="A1116" s="37">
        <v>57</v>
      </c>
      <c r="B1116" s="38" t="s">
        <v>868</v>
      </c>
      <c r="C1116" s="51">
        <v>7896382705199</v>
      </c>
      <c r="D1116" s="40" t="s">
        <v>852</v>
      </c>
      <c r="E1116" s="40"/>
      <c r="F1116" s="40">
        <v>752</v>
      </c>
      <c r="G1116" s="38"/>
      <c r="H1116" s="38" t="s">
        <v>855</v>
      </c>
      <c r="I1116" s="38" t="s">
        <v>88</v>
      </c>
      <c r="J1116" s="38" t="s">
        <v>858</v>
      </c>
      <c r="K1116" s="38" t="s">
        <v>854</v>
      </c>
      <c r="L1116" s="52" t="s">
        <v>213</v>
      </c>
      <c r="M1116" s="53" t="s">
        <v>213</v>
      </c>
    </row>
    <row r="1117" spans="1:13" x14ac:dyDescent="0.3">
      <c r="A1117" s="37">
        <v>57</v>
      </c>
      <c r="B1117" s="38" t="s">
        <v>868</v>
      </c>
      <c r="C1117" s="51">
        <v>7896382705199</v>
      </c>
      <c r="D1117" s="40" t="s">
        <v>852</v>
      </c>
      <c r="E1117" s="40"/>
      <c r="F1117" s="40">
        <v>826</v>
      </c>
      <c r="G1117" s="38"/>
      <c r="H1117" s="38" t="s">
        <v>870</v>
      </c>
      <c r="I1117" s="38" t="s">
        <v>88</v>
      </c>
      <c r="J1117" s="38" t="s">
        <v>858</v>
      </c>
      <c r="K1117" s="38" t="s">
        <v>854</v>
      </c>
      <c r="L1117" s="52" t="s">
        <v>213</v>
      </c>
      <c r="M1117" s="53" t="s">
        <v>213</v>
      </c>
    </row>
    <row r="1118" spans="1:13" x14ac:dyDescent="0.3">
      <c r="A1118" s="37">
        <v>57</v>
      </c>
      <c r="B1118" s="38" t="s">
        <v>871</v>
      </c>
      <c r="C1118" s="51">
        <v>7896382706066</v>
      </c>
      <c r="D1118" s="40" t="s">
        <v>852</v>
      </c>
      <c r="E1118" s="40"/>
      <c r="F1118" s="40">
        <v>14</v>
      </c>
      <c r="G1118" s="38"/>
      <c r="H1118" s="38" t="s">
        <v>872</v>
      </c>
      <c r="I1118" s="38" t="s">
        <v>480</v>
      </c>
      <c r="J1118" s="49" t="s">
        <v>213</v>
      </c>
      <c r="K1118" s="38" t="s">
        <v>480</v>
      </c>
      <c r="L1118" s="49" t="s">
        <v>213</v>
      </c>
      <c r="M1118" s="54" t="s">
        <v>213</v>
      </c>
    </row>
    <row r="1119" spans="1:13" x14ac:dyDescent="0.3">
      <c r="A1119" s="37">
        <v>57</v>
      </c>
      <c r="B1119" s="38" t="s">
        <v>871</v>
      </c>
      <c r="C1119" s="51">
        <v>7896382706066</v>
      </c>
      <c r="D1119" s="40" t="s">
        <v>852</v>
      </c>
      <c r="E1119" s="40"/>
      <c r="F1119" s="40">
        <v>187</v>
      </c>
      <c r="G1119" s="38"/>
      <c r="H1119" s="38" t="s">
        <v>873</v>
      </c>
      <c r="I1119" s="38" t="s">
        <v>480</v>
      </c>
      <c r="J1119" s="49" t="s">
        <v>213</v>
      </c>
      <c r="K1119" s="38" t="s">
        <v>480</v>
      </c>
      <c r="L1119" s="49" t="s">
        <v>213</v>
      </c>
      <c r="M1119" s="54" t="s">
        <v>213</v>
      </c>
    </row>
    <row r="1120" spans="1:13" x14ac:dyDescent="0.3">
      <c r="A1120" s="37">
        <v>57</v>
      </c>
      <c r="B1120" s="38" t="s">
        <v>871</v>
      </c>
      <c r="C1120" s="51">
        <v>7896382706066</v>
      </c>
      <c r="D1120" s="40" t="s">
        <v>852</v>
      </c>
      <c r="E1120" s="40"/>
      <c r="F1120" s="40">
        <v>190</v>
      </c>
      <c r="G1120" s="38"/>
      <c r="H1120" s="38" t="s">
        <v>874</v>
      </c>
      <c r="I1120" s="38" t="s">
        <v>480</v>
      </c>
      <c r="J1120" s="49" t="s">
        <v>213</v>
      </c>
      <c r="K1120" s="38" t="s">
        <v>480</v>
      </c>
      <c r="L1120" s="49" t="s">
        <v>213</v>
      </c>
      <c r="M1120" s="54" t="s">
        <v>213</v>
      </c>
    </row>
    <row r="1121" spans="1:13" x14ac:dyDescent="0.3">
      <c r="A1121" s="37">
        <v>57</v>
      </c>
      <c r="B1121" s="38" t="s">
        <v>871</v>
      </c>
      <c r="C1121" s="51">
        <v>7896382706066</v>
      </c>
      <c r="D1121" s="40" t="s">
        <v>852</v>
      </c>
      <c r="E1121" s="40"/>
      <c r="F1121" s="40">
        <v>236</v>
      </c>
      <c r="G1121" s="38"/>
      <c r="H1121" s="38" t="s">
        <v>875</v>
      </c>
      <c r="I1121" s="38" t="s">
        <v>480</v>
      </c>
      <c r="J1121" s="49" t="s">
        <v>213</v>
      </c>
      <c r="K1121" s="38" t="s">
        <v>480</v>
      </c>
      <c r="L1121" s="49" t="s">
        <v>213</v>
      </c>
      <c r="M1121" s="54" t="s">
        <v>213</v>
      </c>
    </row>
    <row r="1122" spans="1:13" x14ac:dyDescent="0.3">
      <c r="A1122" s="37">
        <v>57</v>
      </c>
      <c r="B1122" s="38" t="s">
        <v>876</v>
      </c>
      <c r="C1122" s="51">
        <v>7896382706370</v>
      </c>
      <c r="D1122" s="40" t="s">
        <v>852</v>
      </c>
      <c r="E1122" s="40"/>
      <c r="F1122" s="40">
        <v>9</v>
      </c>
      <c r="G1122" s="38"/>
      <c r="H1122" s="38" t="s">
        <v>877</v>
      </c>
      <c r="I1122" s="38" t="s">
        <v>480</v>
      </c>
      <c r="J1122" s="49" t="s">
        <v>213</v>
      </c>
      <c r="K1122" s="38" t="s">
        <v>480</v>
      </c>
      <c r="L1122" s="49" t="s">
        <v>213</v>
      </c>
      <c r="M1122" s="54" t="s">
        <v>213</v>
      </c>
    </row>
    <row r="1123" spans="1:13" x14ac:dyDescent="0.3">
      <c r="A1123" s="37">
        <v>57</v>
      </c>
      <c r="B1123" s="38" t="s">
        <v>876</v>
      </c>
      <c r="C1123" s="51">
        <v>7896382706370</v>
      </c>
      <c r="D1123" s="40" t="s">
        <v>852</v>
      </c>
      <c r="E1123" s="40"/>
      <c r="F1123" s="40">
        <v>10</v>
      </c>
      <c r="G1123" s="38"/>
      <c r="H1123" s="38" t="s">
        <v>878</v>
      </c>
      <c r="I1123" s="38" t="s">
        <v>480</v>
      </c>
      <c r="J1123" s="49" t="s">
        <v>213</v>
      </c>
      <c r="K1123" s="38" t="s">
        <v>480</v>
      </c>
      <c r="L1123" s="49" t="s">
        <v>213</v>
      </c>
      <c r="M1123" s="54" t="s">
        <v>213</v>
      </c>
    </row>
    <row r="1124" spans="1:13" x14ac:dyDescent="0.3">
      <c r="A1124" s="37">
        <v>57</v>
      </c>
      <c r="B1124" s="38" t="s">
        <v>876</v>
      </c>
      <c r="C1124" s="51">
        <v>7896382706370</v>
      </c>
      <c r="D1124" s="40" t="s">
        <v>852</v>
      </c>
      <c r="E1124" s="40"/>
      <c r="F1124" s="40">
        <v>11</v>
      </c>
      <c r="G1124" s="38"/>
      <c r="H1124" s="38" t="s">
        <v>879</v>
      </c>
      <c r="I1124" s="38" t="s">
        <v>480</v>
      </c>
      <c r="J1124" s="49" t="s">
        <v>213</v>
      </c>
      <c r="K1124" s="38" t="s">
        <v>480</v>
      </c>
      <c r="L1124" s="49" t="s">
        <v>213</v>
      </c>
      <c r="M1124" s="54" t="s">
        <v>213</v>
      </c>
    </row>
    <row r="1125" spans="1:13" x14ac:dyDescent="0.3">
      <c r="A1125" s="37">
        <v>57</v>
      </c>
      <c r="B1125" s="38" t="s">
        <v>876</v>
      </c>
      <c r="C1125" s="51">
        <v>7896382706370</v>
      </c>
      <c r="D1125" s="40" t="s">
        <v>852</v>
      </c>
      <c r="E1125" s="40"/>
      <c r="F1125" s="40">
        <v>12</v>
      </c>
      <c r="G1125" s="38"/>
      <c r="H1125" s="38" t="s">
        <v>880</v>
      </c>
      <c r="I1125" s="38" t="s">
        <v>480</v>
      </c>
      <c r="J1125" s="49" t="s">
        <v>213</v>
      </c>
      <c r="K1125" s="38" t="s">
        <v>480</v>
      </c>
      <c r="L1125" s="49" t="s">
        <v>213</v>
      </c>
      <c r="M1125" s="54" t="s">
        <v>213</v>
      </c>
    </row>
    <row r="1126" spans="1:13" x14ac:dyDescent="0.3">
      <c r="A1126" s="37">
        <v>57</v>
      </c>
      <c r="B1126" s="38" t="s">
        <v>876</v>
      </c>
      <c r="C1126" s="51">
        <v>7896382706370</v>
      </c>
      <c r="D1126" s="40" t="s">
        <v>852</v>
      </c>
      <c r="E1126" s="40"/>
      <c r="F1126" s="40">
        <v>13</v>
      </c>
      <c r="G1126" s="38"/>
      <c r="H1126" s="38" t="s">
        <v>881</v>
      </c>
      <c r="I1126" s="38" t="s">
        <v>480</v>
      </c>
      <c r="J1126" s="49" t="s">
        <v>213</v>
      </c>
      <c r="K1126" s="38" t="s">
        <v>480</v>
      </c>
      <c r="L1126" s="49" t="s">
        <v>213</v>
      </c>
      <c r="M1126" s="54" t="s">
        <v>213</v>
      </c>
    </row>
    <row r="1127" spans="1:13" x14ac:dyDescent="0.3">
      <c r="A1127" s="37">
        <v>57</v>
      </c>
      <c r="B1127" s="38" t="s">
        <v>876</v>
      </c>
      <c r="C1127" s="51">
        <v>7896382706370</v>
      </c>
      <c r="D1127" s="40" t="s">
        <v>852</v>
      </c>
      <c r="E1127" s="40"/>
      <c r="F1127" s="40">
        <v>14</v>
      </c>
      <c r="G1127" s="38"/>
      <c r="H1127" s="38" t="s">
        <v>872</v>
      </c>
      <c r="I1127" s="38" t="s">
        <v>480</v>
      </c>
      <c r="J1127" s="49" t="s">
        <v>213</v>
      </c>
      <c r="K1127" s="38" t="s">
        <v>480</v>
      </c>
      <c r="L1127" s="49" t="s">
        <v>213</v>
      </c>
      <c r="M1127" s="54" t="s">
        <v>213</v>
      </c>
    </row>
    <row r="1128" spans="1:13" x14ac:dyDescent="0.3">
      <c r="A1128" s="37">
        <v>57</v>
      </c>
      <c r="B1128" s="38" t="s">
        <v>876</v>
      </c>
      <c r="C1128" s="51">
        <v>7896382706370</v>
      </c>
      <c r="D1128" s="40" t="s">
        <v>852</v>
      </c>
      <c r="E1128" s="40"/>
      <c r="F1128" s="40">
        <v>15</v>
      </c>
      <c r="G1128" s="38"/>
      <c r="H1128" s="38" t="s">
        <v>882</v>
      </c>
      <c r="I1128" s="38" t="s">
        <v>480</v>
      </c>
      <c r="J1128" s="49" t="s">
        <v>213</v>
      </c>
      <c r="K1128" s="38" t="s">
        <v>480</v>
      </c>
      <c r="L1128" s="49" t="s">
        <v>213</v>
      </c>
      <c r="M1128" s="54" t="s">
        <v>213</v>
      </c>
    </row>
    <row r="1129" spans="1:13" x14ac:dyDescent="0.3">
      <c r="A1129" s="37">
        <v>57</v>
      </c>
      <c r="B1129" s="38" t="s">
        <v>876</v>
      </c>
      <c r="C1129" s="51">
        <v>7896382706370</v>
      </c>
      <c r="D1129" s="40" t="s">
        <v>852</v>
      </c>
      <c r="E1129" s="40"/>
      <c r="F1129" s="40">
        <v>101</v>
      </c>
      <c r="G1129" s="38"/>
      <c r="H1129" s="38" t="s">
        <v>883</v>
      </c>
      <c r="I1129" s="38" t="s">
        <v>480</v>
      </c>
      <c r="J1129" s="49" t="s">
        <v>213</v>
      </c>
      <c r="K1129" s="38" t="s">
        <v>480</v>
      </c>
      <c r="L1129" s="49" t="s">
        <v>213</v>
      </c>
      <c r="M1129" s="54" t="s">
        <v>213</v>
      </c>
    </row>
    <row r="1130" spans="1:13" x14ac:dyDescent="0.3">
      <c r="A1130" s="37">
        <v>57</v>
      </c>
      <c r="B1130" s="38" t="s">
        <v>876</v>
      </c>
      <c r="C1130" s="51">
        <v>7896382706370</v>
      </c>
      <c r="D1130" s="40" t="s">
        <v>852</v>
      </c>
      <c r="E1130" s="40"/>
      <c r="F1130" s="40">
        <v>102</v>
      </c>
      <c r="G1130" s="38"/>
      <c r="H1130" s="38" t="s">
        <v>884</v>
      </c>
      <c r="I1130" s="38" t="s">
        <v>480</v>
      </c>
      <c r="J1130" s="49" t="s">
        <v>213</v>
      </c>
      <c r="K1130" s="38" t="s">
        <v>480</v>
      </c>
      <c r="L1130" s="49" t="s">
        <v>213</v>
      </c>
      <c r="M1130" s="54" t="s">
        <v>213</v>
      </c>
    </row>
    <row r="1131" spans="1:13" x14ac:dyDescent="0.3">
      <c r="A1131" s="37">
        <v>57</v>
      </c>
      <c r="B1131" s="38" t="s">
        <v>876</v>
      </c>
      <c r="C1131" s="51">
        <v>7896382706370</v>
      </c>
      <c r="D1131" s="40" t="s">
        <v>852</v>
      </c>
      <c r="E1131" s="40"/>
      <c r="F1131" s="40">
        <v>103</v>
      </c>
      <c r="G1131" s="38"/>
      <c r="H1131" s="38" t="s">
        <v>885</v>
      </c>
      <c r="I1131" s="38" t="s">
        <v>480</v>
      </c>
      <c r="J1131" s="49" t="s">
        <v>213</v>
      </c>
      <c r="K1131" s="38" t="s">
        <v>480</v>
      </c>
      <c r="L1131" s="49" t="s">
        <v>213</v>
      </c>
      <c r="M1131" s="54" t="s">
        <v>213</v>
      </c>
    </row>
    <row r="1132" spans="1:13" x14ac:dyDescent="0.3">
      <c r="A1132" s="37">
        <v>57</v>
      </c>
      <c r="B1132" s="38" t="s">
        <v>876</v>
      </c>
      <c r="C1132" s="51">
        <v>7896382706370</v>
      </c>
      <c r="D1132" s="40" t="s">
        <v>852</v>
      </c>
      <c r="E1132" s="40"/>
      <c r="F1132" s="40">
        <v>104</v>
      </c>
      <c r="G1132" s="38"/>
      <c r="H1132" s="38" t="s">
        <v>886</v>
      </c>
      <c r="I1132" s="38" t="s">
        <v>480</v>
      </c>
      <c r="J1132" s="49" t="s">
        <v>213</v>
      </c>
      <c r="K1132" s="38" t="s">
        <v>480</v>
      </c>
      <c r="L1132" s="49" t="s">
        <v>213</v>
      </c>
      <c r="M1132" s="54" t="s">
        <v>213</v>
      </c>
    </row>
    <row r="1133" spans="1:13" x14ac:dyDescent="0.3">
      <c r="A1133" s="37">
        <v>57</v>
      </c>
      <c r="B1133" s="38" t="s">
        <v>876</v>
      </c>
      <c r="C1133" s="51">
        <v>7896382706370</v>
      </c>
      <c r="D1133" s="40" t="s">
        <v>852</v>
      </c>
      <c r="E1133" s="40"/>
      <c r="F1133" s="40">
        <v>105</v>
      </c>
      <c r="G1133" s="38"/>
      <c r="H1133" s="38" t="s">
        <v>887</v>
      </c>
      <c r="I1133" s="38" t="s">
        <v>480</v>
      </c>
      <c r="J1133" s="49" t="s">
        <v>213</v>
      </c>
      <c r="K1133" s="38" t="s">
        <v>480</v>
      </c>
      <c r="L1133" s="49" t="s">
        <v>213</v>
      </c>
      <c r="M1133" s="54" t="s">
        <v>213</v>
      </c>
    </row>
    <row r="1134" spans="1:13" x14ac:dyDescent="0.3">
      <c r="A1134" s="37">
        <v>57</v>
      </c>
      <c r="B1134" s="38" t="s">
        <v>876</v>
      </c>
      <c r="C1134" s="51">
        <v>7896382706370</v>
      </c>
      <c r="D1134" s="40" t="s">
        <v>852</v>
      </c>
      <c r="E1134" s="40"/>
      <c r="F1134" s="40">
        <v>106</v>
      </c>
      <c r="G1134" s="38"/>
      <c r="H1134" s="38" t="s">
        <v>888</v>
      </c>
      <c r="I1134" s="38" t="s">
        <v>480</v>
      </c>
      <c r="J1134" s="49" t="s">
        <v>213</v>
      </c>
      <c r="K1134" s="38" t="s">
        <v>480</v>
      </c>
      <c r="L1134" s="49" t="s">
        <v>213</v>
      </c>
      <c r="M1134" s="54" t="s">
        <v>213</v>
      </c>
    </row>
    <row r="1135" spans="1:13" x14ac:dyDescent="0.3">
      <c r="A1135" s="37">
        <v>57</v>
      </c>
      <c r="B1135" s="38" t="s">
        <v>876</v>
      </c>
      <c r="C1135" s="51">
        <v>7896382706370</v>
      </c>
      <c r="D1135" s="40" t="s">
        <v>852</v>
      </c>
      <c r="E1135" s="40"/>
      <c r="F1135" s="40">
        <v>107</v>
      </c>
      <c r="G1135" s="38"/>
      <c r="H1135" s="38" t="s">
        <v>889</v>
      </c>
      <c r="I1135" s="38" t="s">
        <v>480</v>
      </c>
      <c r="J1135" s="49" t="s">
        <v>213</v>
      </c>
      <c r="K1135" s="38" t="s">
        <v>480</v>
      </c>
      <c r="L1135" s="49" t="s">
        <v>213</v>
      </c>
      <c r="M1135" s="54" t="s">
        <v>213</v>
      </c>
    </row>
    <row r="1136" spans="1:13" x14ac:dyDescent="0.3">
      <c r="A1136" s="37">
        <v>57</v>
      </c>
      <c r="B1136" s="38" t="s">
        <v>876</v>
      </c>
      <c r="C1136" s="51">
        <v>7896382706370</v>
      </c>
      <c r="D1136" s="40" t="s">
        <v>852</v>
      </c>
      <c r="E1136" s="40"/>
      <c r="F1136" s="40">
        <v>170</v>
      </c>
      <c r="G1136" s="38"/>
      <c r="H1136" s="38" t="s">
        <v>890</v>
      </c>
      <c r="I1136" s="38" t="s">
        <v>480</v>
      </c>
      <c r="J1136" s="49" t="s">
        <v>213</v>
      </c>
      <c r="K1136" s="38" t="s">
        <v>480</v>
      </c>
      <c r="L1136" s="49" t="s">
        <v>213</v>
      </c>
      <c r="M1136" s="54" t="s">
        <v>213</v>
      </c>
    </row>
    <row r="1137" spans="1:13" x14ac:dyDescent="0.3">
      <c r="A1137" s="37">
        <v>57</v>
      </c>
      <c r="B1137" s="38" t="s">
        <v>876</v>
      </c>
      <c r="C1137" s="51">
        <v>7896382706370</v>
      </c>
      <c r="D1137" s="40" t="s">
        <v>852</v>
      </c>
      <c r="E1137" s="40"/>
      <c r="F1137" s="40">
        <v>171</v>
      </c>
      <c r="G1137" s="38"/>
      <c r="H1137" s="38" t="s">
        <v>891</v>
      </c>
      <c r="I1137" s="38" t="s">
        <v>480</v>
      </c>
      <c r="J1137" s="49" t="s">
        <v>213</v>
      </c>
      <c r="K1137" s="38" t="s">
        <v>480</v>
      </c>
      <c r="L1137" s="49" t="s">
        <v>213</v>
      </c>
      <c r="M1137" s="54" t="s">
        <v>213</v>
      </c>
    </row>
    <row r="1138" spans="1:13" x14ac:dyDescent="0.3">
      <c r="A1138" s="37">
        <v>57</v>
      </c>
      <c r="B1138" s="38" t="s">
        <v>876</v>
      </c>
      <c r="C1138" s="51">
        <v>7896382706370</v>
      </c>
      <c r="D1138" s="40" t="s">
        <v>852</v>
      </c>
      <c r="E1138" s="40"/>
      <c r="F1138" s="40">
        <v>172</v>
      </c>
      <c r="G1138" s="38"/>
      <c r="H1138" s="38" t="s">
        <v>892</v>
      </c>
      <c r="I1138" s="38" t="s">
        <v>480</v>
      </c>
      <c r="J1138" s="49" t="s">
        <v>213</v>
      </c>
      <c r="K1138" s="38" t="s">
        <v>480</v>
      </c>
      <c r="L1138" s="49" t="s">
        <v>213</v>
      </c>
      <c r="M1138" s="54" t="s">
        <v>213</v>
      </c>
    </row>
    <row r="1139" spans="1:13" x14ac:dyDescent="0.3">
      <c r="A1139" s="37">
        <v>57</v>
      </c>
      <c r="B1139" s="38" t="s">
        <v>876</v>
      </c>
      <c r="C1139" s="51">
        <v>7896382706370</v>
      </c>
      <c r="D1139" s="40" t="s">
        <v>852</v>
      </c>
      <c r="E1139" s="40"/>
      <c r="F1139" s="40">
        <v>173</v>
      </c>
      <c r="G1139" s="38"/>
      <c r="H1139" s="38" t="s">
        <v>893</v>
      </c>
      <c r="I1139" s="38" t="s">
        <v>480</v>
      </c>
      <c r="J1139" s="49" t="s">
        <v>213</v>
      </c>
      <c r="K1139" s="38" t="s">
        <v>480</v>
      </c>
      <c r="L1139" s="49" t="s">
        <v>213</v>
      </c>
      <c r="M1139" s="54" t="s">
        <v>213</v>
      </c>
    </row>
    <row r="1140" spans="1:13" x14ac:dyDescent="0.3">
      <c r="A1140" s="37">
        <v>57</v>
      </c>
      <c r="B1140" s="38" t="s">
        <v>876</v>
      </c>
      <c r="C1140" s="51">
        <v>7896382706370</v>
      </c>
      <c r="D1140" s="40" t="s">
        <v>852</v>
      </c>
      <c r="E1140" s="40"/>
      <c r="F1140" s="40">
        <v>174</v>
      </c>
      <c r="G1140" s="38"/>
      <c r="H1140" s="38" t="s">
        <v>894</v>
      </c>
      <c r="I1140" s="38" t="s">
        <v>480</v>
      </c>
      <c r="J1140" s="49" t="s">
        <v>213</v>
      </c>
      <c r="K1140" s="38" t="s">
        <v>480</v>
      </c>
      <c r="L1140" s="49" t="s">
        <v>213</v>
      </c>
      <c r="M1140" s="54" t="s">
        <v>213</v>
      </c>
    </row>
    <row r="1141" spans="1:13" x14ac:dyDescent="0.3">
      <c r="A1141" s="37">
        <v>57</v>
      </c>
      <c r="B1141" s="38" t="s">
        <v>876</v>
      </c>
      <c r="C1141" s="51">
        <v>7896382706370</v>
      </c>
      <c r="D1141" s="40" t="s">
        <v>852</v>
      </c>
      <c r="E1141" s="40"/>
      <c r="F1141" s="40">
        <v>175</v>
      </c>
      <c r="G1141" s="38"/>
      <c r="H1141" s="38" t="s">
        <v>895</v>
      </c>
      <c r="I1141" s="38" t="s">
        <v>480</v>
      </c>
      <c r="J1141" s="49" t="s">
        <v>213</v>
      </c>
      <c r="K1141" s="38" t="s">
        <v>480</v>
      </c>
      <c r="L1141" s="49" t="s">
        <v>213</v>
      </c>
      <c r="M1141" s="54" t="s">
        <v>213</v>
      </c>
    </row>
    <row r="1142" spans="1:13" x14ac:dyDescent="0.3">
      <c r="A1142" s="37">
        <v>57</v>
      </c>
      <c r="B1142" s="38" t="s">
        <v>876</v>
      </c>
      <c r="C1142" s="51">
        <v>7896382706370</v>
      </c>
      <c r="D1142" s="40" t="s">
        <v>852</v>
      </c>
      <c r="E1142" s="40"/>
      <c r="F1142" s="40">
        <v>176</v>
      </c>
      <c r="G1142" s="38"/>
      <c r="H1142" s="38" t="s">
        <v>896</v>
      </c>
      <c r="I1142" s="38" t="s">
        <v>480</v>
      </c>
      <c r="J1142" s="49" t="s">
        <v>213</v>
      </c>
      <c r="K1142" s="38" t="s">
        <v>480</v>
      </c>
      <c r="L1142" s="49" t="s">
        <v>213</v>
      </c>
      <c r="M1142" s="54" t="s">
        <v>213</v>
      </c>
    </row>
    <row r="1143" spans="1:13" x14ac:dyDescent="0.3">
      <c r="A1143" s="37">
        <v>57</v>
      </c>
      <c r="B1143" s="38" t="s">
        <v>876</v>
      </c>
      <c r="C1143" s="51">
        <v>7896382706370</v>
      </c>
      <c r="D1143" s="40" t="s">
        <v>852</v>
      </c>
      <c r="E1143" s="40"/>
      <c r="F1143" s="40">
        <v>183</v>
      </c>
      <c r="G1143" s="38"/>
      <c r="H1143" s="38" t="s">
        <v>897</v>
      </c>
      <c r="I1143" s="38" t="s">
        <v>480</v>
      </c>
      <c r="J1143" s="49" t="s">
        <v>213</v>
      </c>
      <c r="K1143" s="38" t="s">
        <v>480</v>
      </c>
      <c r="L1143" s="49" t="s">
        <v>213</v>
      </c>
      <c r="M1143" s="54" t="s">
        <v>213</v>
      </c>
    </row>
    <row r="1144" spans="1:13" x14ac:dyDescent="0.3">
      <c r="A1144" s="37">
        <v>57</v>
      </c>
      <c r="B1144" s="38" t="s">
        <v>876</v>
      </c>
      <c r="C1144" s="51">
        <v>7896382706370</v>
      </c>
      <c r="D1144" s="40" t="s">
        <v>852</v>
      </c>
      <c r="E1144" s="40"/>
      <c r="F1144" s="40">
        <v>184</v>
      </c>
      <c r="G1144" s="38"/>
      <c r="H1144" s="38" t="s">
        <v>898</v>
      </c>
      <c r="I1144" s="38" t="s">
        <v>480</v>
      </c>
      <c r="J1144" s="49" t="s">
        <v>213</v>
      </c>
      <c r="K1144" s="38" t="s">
        <v>480</v>
      </c>
      <c r="L1144" s="49" t="s">
        <v>213</v>
      </c>
      <c r="M1144" s="54" t="s">
        <v>213</v>
      </c>
    </row>
    <row r="1145" spans="1:13" x14ac:dyDescent="0.3">
      <c r="A1145" s="37">
        <v>57</v>
      </c>
      <c r="B1145" s="38" t="s">
        <v>876</v>
      </c>
      <c r="C1145" s="51">
        <v>7896382706370</v>
      </c>
      <c r="D1145" s="40" t="s">
        <v>852</v>
      </c>
      <c r="E1145" s="40"/>
      <c r="F1145" s="40">
        <v>185</v>
      </c>
      <c r="G1145" s="38"/>
      <c r="H1145" s="38" t="s">
        <v>899</v>
      </c>
      <c r="I1145" s="38" t="s">
        <v>480</v>
      </c>
      <c r="J1145" s="49" t="s">
        <v>213</v>
      </c>
      <c r="K1145" s="38" t="s">
        <v>480</v>
      </c>
      <c r="L1145" s="49" t="s">
        <v>213</v>
      </c>
      <c r="M1145" s="54" t="s">
        <v>213</v>
      </c>
    </row>
    <row r="1146" spans="1:13" x14ac:dyDescent="0.3">
      <c r="A1146" s="37">
        <v>57</v>
      </c>
      <c r="B1146" s="38" t="s">
        <v>876</v>
      </c>
      <c r="C1146" s="51">
        <v>7896382706370</v>
      </c>
      <c r="D1146" s="40" t="s">
        <v>852</v>
      </c>
      <c r="E1146" s="40"/>
      <c r="F1146" s="40">
        <v>186</v>
      </c>
      <c r="G1146" s="38"/>
      <c r="H1146" s="38" t="s">
        <v>900</v>
      </c>
      <c r="I1146" s="38" t="s">
        <v>480</v>
      </c>
      <c r="J1146" s="49" t="s">
        <v>213</v>
      </c>
      <c r="K1146" s="38" t="s">
        <v>480</v>
      </c>
      <c r="L1146" s="49" t="s">
        <v>213</v>
      </c>
      <c r="M1146" s="54" t="s">
        <v>213</v>
      </c>
    </row>
    <row r="1147" spans="1:13" x14ac:dyDescent="0.3">
      <c r="A1147" s="37">
        <v>57</v>
      </c>
      <c r="B1147" s="38" t="s">
        <v>876</v>
      </c>
      <c r="C1147" s="51">
        <v>7896382706370</v>
      </c>
      <c r="D1147" s="40" t="s">
        <v>852</v>
      </c>
      <c r="E1147" s="40"/>
      <c r="F1147" s="40">
        <v>187</v>
      </c>
      <c r="G1147" s="38"/>
      <c r="H1147" s="38" t="s">
        <v>873</v>
      </c>
      <c r="I1147" s="38" t="s">
        <v>480</v>
      </c>
      <c r="J1147" s="49" t="s">
        <v>213</v>
      </c>
      <c r="K1147" s="38" t="s">
        <v>480</v>
      </c>
      <c r="L1147" s="49" t="s">
        <v>213</v>
      </c>
      <c r="M1147" s="54" t="s">
        <v>213</v>
      </c>
    </row>
    <row r="1148" spans="1:13" x14ac:dyDescent="0.3">
      <c r="A1148" s="37">
        <v>57</v>
      </c>
      <c r="B1148" s="38" t="s">
        <v>876</v>
      </c>
      <c r="C1148" s="51">
        <v>7896382706370</v>
      </c>
      <c r="D1148" s="40" t="s">
        <v>852</v>
      </c>
      <c r="E1148" s="40"/>
      <c r="F1148" s="40">
        <v>188</v>
      </c>
      <c r="G1148" s="38"/>
      <c r="H1148" s="38" t="s">
        <v>901</v>
      </c>
      <c r="I1148" s="38" t="s">
        <v>480</v>
      </c>
      <c r="J1148" s="49" t="s">
        <v>213</v>
      </c>
      <c r="K1148" s="38" t="s">
        <v>480</v>
      </c>
      <c r="L1148" s="49" t="s">
        <v>213</v>
      </c>
      <c r="M1148" s="54" t="s">
        <v>213</v>
      </c>
    </row>
    <row r="1149" spans="1:13" x14ac:dyDescent="0.3">
      <c r="A1149" s="37">
        <v>57</v>
      </c>
      <c r="B1149" s="38" t="s">
        <v>876</v>
      </c>
      <c r="C1149" s="51">
        <v>7896382706370</v>
      </c>
      <c r="D1149" s="40" t="s">
        <v>852</v>
      </c>
      <c r="E1149" s="40"/>
      <c r="F1149" s="40">
        <v>189</v>
      </c>
      <c r="G1149" s="38"/>
      <c r="H1149" s="38" t="s">
        <v>902</v>
      </c>
      <c r="I1149" s="38" t="s">
        <v>480</v>
      </c>
      <c r="J1149" s="49" t="s">
        <v>213</v>
      </c>
      <c r="K1149" s="38" t="s">
        <v>480</v>
      </c>
      <c r="L1149" s="49" t="s">
        <v>213</v>
      </c>
      <c r="M1149" s="54" t="s">
        <v>213</v>
      </c>
    </row>
    <row r="1150" spans="1:13" x14ac:dyDescent="0.3">
      <c r="A1150" s="37">
        <v>57</v>
      </c>
      <c r="B1150" s="38" t="s">
        <v>876</v>
      </c>
      <c r="C1150" s="51">
        <v>7896382706370</v>
      </c>
      <c r="D1150" s="40" t="s">
        <v>852</v>
      </c>
      <c r="E1150" s="40"/>
      <c r="F1150" s="40">
        <v>190</v>
      </c>
      <c r="G1150" s="38"/>
      <c r="H1150" s="38" t="s">
        <v>874</v>
      </c>
      <c r="I1150" s="38" t="s">
        <v>480</v>
      </c>
      <c r="J1150" s="49" t="s">
        <v>213</v>
      </c>
      <c r="K1150" s="38" t="s">
        <v>480</v>
      </c>
      <c r="L1150" s="49" t="s">
        <v>213</v>
      </c>
      <c r="M1150" s="54" t="s">
        <v>213</v>
      </c>
    </row>
    <row r="1151" spans="1:13" x14ac:dyDescent="0.3">
      <c r="A1151" s="37">
        <v>57</v>
      </c>
      <c r="B1151" s="38" t="s">
        <v>876</v>
      </c>
      <c r="C1151" s="51">
        <v>7896382706370</v>
      </c>
      <c r="D1151" s="40" t="s">
        <v>852</v>
      </c>
      <c r="E1151" s="40"/>
      <c r="F1151" s="40">
        <v>236</v>
      </c>
      <c r="G1151" s="38"/>
      <c r="H1151" s="38" t="s">
        <v>875</v>
      </c>
      <c r="I1151" s="38" t="s">
        <v>480</v>
      </c>
      <c r="J1151" s="49" t="s">
        <v>213</v>
      </c>
      <c r="K1151" s="38" t="s">
        <v>480</v>
      </c>
      <c r="L1151" s="49" t="s">
        <v>213</v>
      </c>
      <c r="M1151" s="54" t="s">
        <v>213</v>
      </c>
    </row>
    <row r="1152" spans="1:13" x14ac:dyDescent="0.3">
      <c r="A1152" s="37">
        <v>57</v>
      </c>
      <c r="B1152" s="38" t="s">
        <v>876</v>
      </c>
      <c r="C1152" s="51">
        <v>7896382706370</v>
      </c>
      <c r="D1152" s="40" t="s">
        <v>852</v>
      </c>
      <c r="E1152" s="40"/>
      <c r="F1152" s="40">
        <v>930</v>
      </c>
      <c r="G1152" s="38"/>
      <c r="H1152" s="38" t="s">
        <v>903</v>
      </c>
      <c r="I1152" s="38" t="s">
        <v>480</v>
      </c>
      <c r="J1152" s="49" t="s">
        <v>213</v>
      </c>
      <c r="K1152" s="38" t="s">
        <v>480</v>
      </c>
      <c r="L1152" s="49" t="s">
        <v>213</v>
      </c>
      <c r="M1152" s="54" t="s">
        <v>213</v>
      </c>
    </row>
    <row r="1153" spans="1:13" x14ac:dyDescent="0.3">
      <c r="A1153" s="37">
        <v>57</v>
      </c>
      <c r="B1153" s="38" t="s">
        <v>904</v>
      </c>
      <c r="C1153" s="51">
        <v>7896382706684</v>
      </c>
      <c r="D1153" s="40" t="s">
        <v>852</v>
      </c>
      <c r="E1153" s="40"/>
      <c r="F1153" s="40">
        <v>41</v>
      </c>
      <c r="G1153" s="38"/>
      <c r="H1153" s="38" t="s">
        <v>905</v>
      </c>
      <c r="I1153" s="38" t="s">
        <v>88</v>
      </c>
      <c r="J1153" s="38" t="s">
        <v>863</v>
      </c>
      <c r="K1153" s="38" t="s">
        <v>854</v>
      </c>
      <c r="L1153" s="52" t="s">
        <v>213</v>
      </c>
      <c r="M1153" s="53" t="s">
        <v>213</v>
      </c>
    </row>
    <row r="1154" spans="1:13" x14ac:dyDescent="0.3">
      <c r="A1154" s="37">
        <v>57</v>
      </c>
      <c r="B1154" s="38" t="s">
        <v>904</v>
      </c>
      <c r="C1154" s="51">
        <v>7896382706684</v>
      </c>
      <c r="D1154" s="40" t="s">
        <v>852</v>
      </c>
      <c r="E1154" s="40"/>
      <c r="F1154" s="40">
        <v>42</v>
      </c>
      <c r="G1154" s="38"/>
      <c r="H1154" s="38" t="s">
        <v>866</v>
      </c>
      <c r="I1154" s="38" t="s">
        <v>88</v>
      </c>
      <c r="J1154" s="38" t="s">
        <v>863</v>
      </c>
      <c r="K1154" s="38" t="s">
        <v>854</v>
      </c>
      <c r="L1154" s="52" t="s">
        <v>213</v>
      </c>
      <c r="M1154" s="53" t="s">
        <v>213</v>
      </c>
    </row>
    <row r="1155" spans="1:13" x14ac:dyDescent="0.3">
      <c r="A1155" s="37">
        <v>57</v>
      </c>
      <c r="B1155" s="38" t="s">
        <v>904</v>
      </c>
      <c r="C1155" s="51">
        <v>7896382706684</v>
      </c>
      <c r="D1155" s="40" t="s">
        <v>852</v>
      </c>
      <c r="E1155" s="40"/>
      <c r="F1155" s="40">
        <v>43</v>
      </c>
      <c r="G1155" s="38"/>
      <c r="H1155" s="38" t="s">
        <v>862</v>
      </c>
      <c r="I1155" s="38" t="s">
        <v>88</v>
      </c>
      <c r="J1155" s="38" t="s">
        <v>863</v>
      </c>
      <c r="K1155" s="38" t="s">
        <v>854</v>
      </c>
      <c r="L1155" s="52" t="s">
        <v>213</v>
      </c>
      <c r="M1155" s="53" t="s">
        <v>213</v>
      </c>
    </row>
    <row r="1156" spans="1:13" x14ac:dyDescent="0.3">
      <c r="A1156" s="37">
        <v>57</v>
      </c>
      <c r="B1156" s="38" t="s">
        <v>904</v>
      </c>
      <c r="C1156" s="51">
        <v>7896382706684</v>
      </c>
      <c r="D1156" s="40" t="s">
        <v>852</v>
      </c>
      <c r="E1156" s="40"/>
      <c r="F1156" s="40">
        <v>44</v>
      </c>
      <c r="G1156" s="38"/>
      <c r="H1156" s="38" t="s">
        <v>857</v>
      </c>
      <c r="I1156" s="38" t="s">
        <v>88</v>
      </c>
      <c r="J1156" s="38" t="s">
        <v>863</v>
      </c>
      <c r="K1156" s="38" t="s">
        <v>854</v>
      </c>
      <c r="L1156" s="52" t="s">
        <v>213</v>
      </c>
      <c r="M1156" s="53" t="s">
        <v>213</v>
      </c>
    </row>
    <row r="1157" spans="1:13" x14ac:dyDescent="0.3">
      <c r="A1157" s="37">
        <v>57</v>
      </c>
      <c r="B1157" s="38" t="s">
        <v>904</v>
      </c>
      <c r="C1157" s="51">
        <v>7896382706684</v>
      </c>
      <c r="D1157" s="40" t="s">
        <v>852</v>
      </c>
      <c r="E1157" s="40"/>
      <c r="F1157" s="40">
        <v>45</v>
      </c>
      <c r="G1157" s="38"/>
      <c r="H1157" s="38" t="s">
        <v>853</v>
      </c>
      <c r="I1157" s="38" t="s">
        <v>88</v>
      </c>
      <c r="J1157" s="38" t="s">
        <v>863</v>
      </c>
      <c r="K1157" s="38" t="s">
        <v>854</v>
      </c>
      <c r="L1157" s="52" t="s">
        <v>213</v>
      </c>
      <c r="M1157" s="53" t="s">
        <v>213</v>
      </c>
    </row>
    <row r="1158" spans="1:13" x14ac:dyDescent="0.3">
      <c r="A1158" s="37">
        <v>57</v>
      </c>
      <c r="B1158" s="38" t="s">
        <v>904</v>
      </c>
      <c r="C1158" s="51">
        <v>7896382706684</v>
      </c>
      <c r="D1158" s="40" t="s">
        <v>852</v>
      </c>
      <c r="E1158" s="40"/>
      <c r="F1158" s="40">
        <v>46</v>
      </c>
      <c r="G1158" s="38"/>
      <c r="H1158" s="38" t="s">
        <v>864</v>
      </c>
      <c r="I1158" s="38" t="s">
        <v>88</v>
      </c>
      <c r="J1158" s="38" t="s">
        <v>863</v>
      </c>
      <c r="K1158" s="38" t="s">
        <v>854</v>
      </c>
      <c r="L1158" s="52" t="s">
        <v>213</v>
      </c>
      <c r="M1158" s="53" t="s">
        <v>213</v>
      </c>
    </row>
    <row r="1159" spans="1:13" x14ac:dyDescent="0.3">
      <c r="A1159" s="37">
        <v>57</v>
      </c>
      <c r="B1159" s="38" t="s">
        <v>904</v>
      </c>
      <c r="C1159" s="51">
        <v>7896382706684</v>
      </c>
      <c r="D1159" s="40" t="s">
        <v>852</v>
      </c>
      <c r="E1159" s="40"/>
      <c r="F1159" s="40">
        <v>47</v>
      </c>
      <c r="G1159" s="38"/>
      <c r="H1159" s="38" t="s">
        <v>869</v>
      </c>
      <c r="I1159" s="38" t="s">
        <v>88</v>
      </c>
      <c r="J1159" s="38" t="s">
        <v>863</v>
      </c>
      <c r="K1159" s="38" t="s">
        <v>854</v>
      </c>
      <c r="L1159" s="52" t="s">
        <v>213</v>
      </c>
      <c r="M1159" s="53" t="s">
        <v>213</v>
      </c>
    </row>
    <row r="1160" spans="1:13" x14ac:dyDescent="0.3">
      <c r="A1160" s="37">
        <v>57</v>
      </c>
      <c r="B1160" s="38" t="s">
        <v>904</v>
      </c>
      <c r="C1160" s="51">
        <v>7896382706684</v>
      </c>
      <c r="D1160" s="40" t="s">
        <v>852</v>
      </c>
      <c r="E1160" s="40"/>
      <c r="F1160" s="40">
        <v>48</v>
      </c>
      <c r="G1160" s="38"/>
      <c r="H1160" s="38" t="s">
        <v>867</v>
      </c>
      <c r="I1160" s="38" t="s">
        <v>88</v>
      </c>
      <c r="J1160" s="38" t="s">
        <v>863</v>
      </c>
      <c r="K1160" s="38" t="s">
        <v>854</v>
      </c>
      <c r="L1160" s="52" t="s">
        <v>213</v>
      </c>
      <c r="M1160" s="53" t="s">
        <v>213</v>
      </c>
    </row>
    <row r="1161" spans="1:13" x14ac:dyDescent="0.3">
      <c r="A1161" s="37">
        <v>57</v>
      </c>
      <c r="B1161" s="38" t="s">
        <v>904</v>
      </c>
      <c r="C1161" s="51">
        <v>7896382706684</v>
      </c>
      <c r="D1161" s="40" t="s">
        <v>852</v>
      </c>
      <c r="E1161" s="40"/>
      <c r="F1161" s="40">
        <v>752</v>
      </c>
      <c r="G1161" s="38"/>
      <c r="H1161" s="38" t="s">
        <v>855</v>
      </c>
      <c r="I1161" s="38" t="s">
        <v>88</v>
      </c>
      <c r="J1161" s="38" t="s">
        <v>863</v>
      </c>
      <c r="K1161" s="38" t="s">
        <v>854</v>
      </c>
      <c r="L1161" s="52" t="s">
        <v>213</v>
      </c>
      <c r="M1161" s="53" t="s">
        <v>213</v>
      </c>
    </row>
    <row r="1162" spans="1:13" x14ac:dyDescent="0.3">
      <c r="A1162" s="37">
        <v>57</v>
      </c>
      <c r="B1162" s="38" t="s">
        <v>906</v>
      </c>
      <c r="C1162" s="51">
        <v>7896382706691</v>
      </c>
      <c r="D1162" s="40" t="s">
        <v>852</v>
      </c>
      <c r="E1162" s="40"/>
      <c r="F1162" s="40">
        <v>41</v>
      </c>
      <c r="G1162" s="38"/>
      <c r="H1162" s="38" t="s">
        <v>905</v>
      </c>
      <c r="I1162" s="38" t="s">
        <v>88</v>
      </c>
      <c r="J1162" s="38" t="s">
        <v>559</v>
      </c>
      <c r="K1162" s="38" t="s">
        <v>854</v>
      </c>
      <c r="L1162" s="52" t="s">
        <v>213</v>
      </c>
      <c r="M1162" s="53" t="s">
        <v>213</v>
      </c>
    </row>
    <row r="1163" spans="1:13" x14ac:dyDescent="0.3">
      <c r="A1163" s="37">
        <v>57</v>
      </c>
      <c r="B1163" s="38" t="s">
        <v>906</v>
      </c>
      <c r="C1163" s="51">
        <v>7896382706691</v>
      </c>
      <c r="D1163" s="40" t="s">
        <v>852</v>
      </c>
      <c r="E1163" s="40"/>
      <c r="F1163" s="40">
        <v>42</v>
      </c>
      <c r="G1163" s="38"/>
      <c r="H1163" s="38" t="s">
        <v>866</v>
      </c>
      <c r="I1163" s="38" t="s">
        <v>88</v>
      </c>
      <c r="J1163" s="38" t="s">
        <v>559</v>
      </c>
      <c r="K1163" s="38" t="s">
        <v>854</v>
      </c>
      <c r="L1163" s="52" t="s">
        <v>213</v>
      </c>
      <c r="M1163" s="53" t="s">
        <v>213</v>
      </c>
    </row>
    <row r="1164" spans="1:13" x14ac:dyDescent="0.3">
      <c r="A1164" s="37">
        <v>57</v>
      </c>
      <c r="B1164" s="38" t="s">
        <v>906</v>
      </c>
      <c r="C1164" s="51">
        <v>7896382706691</v>
      </c>
      <c r="D1164" s="40" t="s">
        <v>852</v>
      </c>
      <c r="E1164" s="40"/>
      <c r="F1164" s="40">
        <v>43</v>
      </c>
      <c r="G1164" s="38"/>
      <c r="H1164" s="38" t="s">
        <v>862</v>
      </c>
      <c r="I1164" s="38" t="s">
        <v>88</v>
      </c>
      <c r="J1164" s="38" t="s">
        <v>559</v>
      </c>
      <c r="K1164" s="38" t="s">
        <v>854</v>
      </c>
      <c r="L1164" s="52" t="s">
        <v>213</v>
      </c>
      <c r="M1164" s="53" t="s">
        <v>213</v>
      </c>
    </row>
    <row r="1165" spans="1:13" x14ac:dyDescent="0.3">
      <c r="A1165" s="37">
        <v>57</v>
      </c>
      <c r="B1165" s="38" t="s">
        <v>906</v>
      </c>
      <c r="C1165" s="51">
        <v>7896382706691</v>
      </c>
      <c r="D1165" s="40" t="s">
        <v>852</v>
      </c>
      <c r="E1165" s="40"/>
      <c r="F1165" s="40">
        <v>44</v>
      </c>
      <c r="G1165" s="38"/>
      <c r="H1165" s="38" t="s">
        <v>857</v>
      </c>
      <c r="I1165" s="38" t="s">
        <v>88</v>
      </c>
      <c r="J1165" s="38" t="s">
        <v>559</v>
      </c>
      <c r="K1165" s="38" t="s">
        <v>854</v>
      </c>
      <c r="L1165" s="52" t="s">
        <v>213</v>
      </c>
      <c r="M1165" s="53" t="s">
        <v>213</v>
      </c>
    </row>
    <row r="1166" spans="1:13" x14ac:dyDescent="0.3">
      <c r="A1166" s="37">
        <v>57</v>
      </c>
      <c r="B1166" s="38" t="s">
        <v>906</v>
      </c>
      <c r="C1166" s="51">
        <v>7896382706691</v>
      </c>
      <c r="D1166" s="40" t="s">
        <v>852</v>
      </c>
      <c r="E1166" s="40"/>
      <c r="F1166" s="40">
        <v>45</v>
      </c>
      <c r="G1166" s="38"/>
      <c r="H1166" s="38" t="s">
        <v>853</v>
      </c>
      <c r="I1166" s="38" t="s">
        <v>88</v>
      </c>
      <c r="J1166" s="38" t="s">
        <v>559</v>
      </c>
      <c r="K1166" s="38" t="s">
        <v>854</v>
      </c>
      <c r="L1166" s="52" t="s">
        <v>213</v>
      </c>
      <c r="M1166" s="53" t="s">
        <v>213</v>
      </c>
    </row>
    <row r="1167" spans="1:13" x14ac:dyDescent="0.3">
      <c r="A1167" s="37">
        <v>57</v>
      </c>
      <c r="B1167" s="38" t="s">
        <v>906</v>
      </c>
      <c r="C1167" s="51">
        <v>7896382706691</v>
      </c>
      <c r="D1167" s="40" t="s">
        <v>852</v>
      </c>
      <c r="E1167" s="40"/>
      <c r="F1167" s="40">
        <v>46</v>
      </c>
      <c r="G1167" s="38"/>
      <c r="H1167" s="38" t="s">
        <v>864</v>
      </c>
      <c r="I1167" s="38" t="s">
        <v>88</v>
      </c>
      <c r="J1167" s="38" t="s">
        <v>559</v>
      </c>
      <c r="K1167" s="38" t="s">
        <v>854</v>
      </c>
      <c r="L1167" s="52" t="s">
        <v>213</v>
      </c>
      <c r="M1167" s="53" t="s">
        <v>213</v>
      </c>
    </row>
    <row r="1168" spans="1:13" x14ac:dyDescent="0.3">
      <c r="A1168" s="37">
        <v>57</v>
      </c>
      <c r="B1168" s="38" t="s">
        <v>906</v>
      </c>
      <c r="C1168" s="51">
        <v>7896382706691</v>
      </c>
      <c r="D1168" s="40" t="s">
        <v>852</v>
      </c>
      <c r="E1168" s="40"/>
      <c r="F1168" s="40">
        <v>47</v>
      </c>
      <c r="G1168" s="38"/>
      <c r="H1168" s="38" t="s">
        <v>869</v>
      </c>
      <c r="I1168" s="38" t="s">
        <v>88</v>
      </c>
      <c r="J1168" s="38" t="s">
        <v>559</v>
      </c>
      <c r="K1168" s="38" t="s">
        <v>854</v>
      </c>
      <c r="L1168" s="52" t="s">
        <v>213</v>
      </c>
      <c r="M1168" s="53" t="s">
        <v>213</v>
      </c>
    </row>
    <row r="1169" spans="1:13" x14ac:dyDescent="0.3">
      <c r="A1169" s="37">
        <v>57</v>
      </c>
      <c r="B1169" s="38" t="s">
        <v>906</v>
      </c>
      <c r="C1169" s="51">
        <v>7896382706691</v>
      </c>
      <c r="D1169" s="40" t="s">
        <v>852</v>
      </c>
      <c r="E1169" s="40"/>
      <c r="F1169" s="40">
        <v>48</v>
      </c>
      <c r="G1169" s="38"/>
      <c r="H1169" s="38" t="s">
        <v>867</v>
      </c>
      <c r="I1169" s="38" t="s">
        <v>88</v>
      </c>
      <c r="J1169" s="38" t="s">
        <v>559</v>
      </c>
      <c r="K1169" s="38" t="s">
        <v>854</v>
      </c>
      <c r="L1169" s="52" t="s">
        <v>213</v>
      </c>
      <c r="M1169" s="53" t="s">
        <v>213</v>
      </c>
    </row>
    <row r="1170" spans="1:13" x14ac:dyDescent="0.3">
      <c r="A1170" s="37">
        <v>57</v>
      </c>
      <c r="B1170" s="38" t="s">
        <v>906</v>
      </c>
      <c r="C1170" s="51">
        <v>7896382706691</v>
      </c>
      <c r="D1170" s="40" t="s">
        <v>852</v>
      </c>
      <c r="E1170" s="40"/>
      <c r="F1170" s="40">
        <v>752</v>
      </c>
      <c r="G1170" s="38"/>
      <c r="H1170" s="38" t="s">
        <v>855</v>
      </c>
      <c r="I1170" s="38" t="s">
        <v>88</v>
      </c>
      <c r="J1170" s="38" t="s">
        <v>559</v>
      </c>
      <c r="K1170" s="38" t="s">
        <v>854</v>
      </c>
      <c r="L1170" s="52" t="s">
        <v>213</v>
      </c>
      <c r="M1170" s="53" t="s">
        <v>213</v>
      </c>
    </row>
    <row r="1171" spans="1:13" x14ac:dyDescent="0.3">
      <c r="A1171" s="37">
        <v>57</v>
      </c>
      <c r="B1171" s="38" t="s">
        <v>907</v>
      </c>
      <c r="C1171" s="51">
        <v>7896382706707</v>
      </c>
      <c r="D1171" s="40" t="s">
        <v>852</v>
      </c>
      <c r="E1171" s="40"/>
      <c r="F1171" s="40">
        <v>41</v>
      </c>
      <c r="G1171" s="38"/>
      <c r="H1171" s="38" t="s">
        <v>905</v>
      </c>
      <c r="I1171" s="38" t="s">
        <v>88</v>
      </c>
      <c r="J1171" s="38" t="s">
        <v>858</v>
      </c>
      <c r="K1171" s="38" t="s">
        <v>854</v>
      </c>
      <c r="L1171" s="52" t="s">
        <v>213</v>
      </c>
      <c r="M1171" s="53" t="s">
        <v>213</v>
      </c>
    </row>
    <row r="1172" spans="1:13" x14ac:dyDescent="0.3">
      <c r="A1172" s="37">
        <v>57</v>
      </c>
      <c r="B1172" s="38" t="s">
        <v>907</v>
      </c>
      <c r="C1172" s="51">
        <v>7896382706707</v>
      </c>
      <c r="D1172" s="40" t="s">
        <v>852</v>
      </c>
      <c r="E1172" s="40"/>
      <c r="F1172" s="40">
        <v>42</v>
      </c>
      <c r="G1172" s="38"/>
      <c r="H1172" s="38" t="s">
        <v>866</v>
      </c>
      <c r="I1172" s="38" t="s">
        <v>88</v>
      </c>
      <c r="J1172" s="38" t="s">
        <v>858</v>
      </c>
      <c r="K1172" s="38" t="s">
        <v>854</v>
      </c>
      <c r="L1172" s="52" t="s">
        <v>213</v>
      </c>
      <c r="M1172" s="53" t="s">
        <v>213</v>
      </c>
    </row>
    <row r="1173" spans="1:13" x14ac:dyDescent="0.3">
      <c r="A1173" s="37">
        <v>57</v>
      </c>
      <c r="B1173" s="38" t="s">
        <v>907</v>
      </c>
      <c r="C1173" s="51">
        <v>7896382706707</v>
      </c>
      <c r="D1173" s="40" t="s">
        <v>852</v>
      </c>
      <c r="E1173" s="40"/>
      <c r="F1173" s="40">
        <v>43</v>
      </c>
      <c r="G1173" s="38"/>
      <c r="H1173" s="38" t="s">
        <v>862</v>
      </c>
      <c r="I1173" s="38" t="s">
        <v>88</v>
      </c>
      <c r="J1173" s="38" t="s">
        <v>858</v>
      </c>
      <c r="K1173" s="38" t="s">
        <v>854</v>
      </c>
      <c r="L1173" s="52" t="s">
        <v>213</v>
      </c>
      <c r="M1173" s="53" t="s">
        <v>213</v>
      </c>
    </row>
    <row r="1174" spans="1:13" x14ac:dyDescent="0.3">
      <c r="A1174" s="37">
        <v>57</v>
      </c>
      <c r="B1174" s="38" t="s">
        <v>907</v>
      </c>
      <c r="C1174" s="51">
        <v>7896382706707</v>
      </c>
      <c r="D1174" s="40" t="s">
        <v>852</v>
      </c>
      <c r="E1174" s="40"/>
      <c r="F1174" s="40">
        <v>44</v>
      </c>
      <c r="G1174" s="38"/>
      <c r="H1174" s="38" t="s">
        <v>857</v>
      </c>
      <c r="I1174" s="38" t="s">
        <v>88</v>
      </c>
      <c r="J1174" s="38" t="s">
        <v>858</v>
      </c>
      <c r="K1174" s="38" t="s">
        <v>854</v>
      </c>
      <c r="L1174" s="52" t="s">
        <v>213</v>
      </c>
      <c r="M1174" s="53" t="s">
        <v>213</v>
      </c>
    </row>
    <row r="1175" spans="1:13" x14ac:dyDescent="0.3">
      <c r="A1175" s="37">
        <v>57</v>
      </c>
      <c r="B1175" s="38" t="s">
        <v>907</v>
      </c>
      <c r="C1175" s="51">
        <v>7896382706707</v>
      </c>
      <c r="D1175" s="40" t="s">
        <v>852</v>
      </c>
      <c r="E1175" s="40"/>
      <c r="F1175" s="40">
        <v>45</v>
      </c>
      <c r="G1175" s="38"/>
      <c r="H1175" s="38" t="s">
        <v>853</v>
      </c>
      <c r="I1175" s="38" t="s">
        <v>88</v>
      </c>
      <c r="J1175" s="38" t="s">
        <v>858</v>
      </c>
      <c r="K1175" s="38" t="s">
        <v>854</v>
      </c>
      <c r="L1175" s="52" t="s">
        <v>213</v>
      </c>
      <c r="M1175" s="53" t="s">
        <v>213</v>
      </c>
    </row>
    <row r="1176" spans="1:13" x14ac:dyDescent="0.3">
      <c r="A1176" s="37">
        <v>57</v>
      </c>
      <c r="B1176" s="38" t="s">
        <v>907</v>
      </c>
      <c r="C1176" s="51">
        <v>7896382706707</v>
      </c>
      <c r="D1176" s="40" t="s">
        <v>852</v>
      </c>
      <c r="E1176" s="40"/>
      <c r="F1176" s="40">
        <v>46</v>
      </c>
      <c r="G1176" s="38"/>
      <c r="H1176" s="38" t="s">
        <v>864</v>
      </c>
      <c r="I1176" s="38" t="s">
        <v>88</v>
      </c>
      <c r="J1176" s="38" t="s">
        <v>858</v>
      </c>
      <c r="K1176" s="38" t="s">
        <v>854</v>
      </c>
      <c r="L1176" s="52" t="s">
        <v>213</v>
      </c>
      <c r="M1176" s="53" t="s">
        <v>213</v>
      </c>
    </row>
    <row r="1177" spans="1:13" x14ac:dyDescent="0.3">
      <c r="A1177" s="37">
        <v>57</v>
      </c>
      <c r="B1177" s="38" t="s">
        <v>907</v>
      </c>
      <c r="C1177" s="51">
        <v>7896382706707</v>
      </c>
      <c r="D1177" s="40" t="s">
        <v>852</v>
      </c>
      <c r="E1177" s="40"/>
      <c r="F1177" s="40">
        <v>47</v>
      </c>
      <c r="G1177" s="38"/>
      <c r="H1177" s="38" t="s">
        <v>869</v>
      </c>
      <c r="I1177" s="38" t="s">
        <v>88</v>
      </c>
      <c r="J1177" s="38" t="s">
        <v>858</v>
      </c>
      <c r="K1177" s="38" t="s">
        <v>854</v>
      </c>
      <c r="L1177" s="52" t="s">
        <v>213</v>
      </c>
      <c r="M1177" s="53" t="s">
        <v>213</v>
      </c>
    </row>
    <row r="1178" spans="1:13" x14ac:dyDescent="0.3">
      <c r="A1178" s="37">
        <v>57</v>
      </c>
      <c r="B1178" s="38" t="s">
        <v>907</v>
      </c>
      <c r="C1178" s="51">
        <v>7896382706707</v>
      </c>
      <c r="D1178" s="40" t="s">
        <v>852</v>
      </c>
      <c r="E1178" s="40"/>
      <c r="F1178" s="40">
        <v>48</v>
      </c>
      <c r="G1178" s="38"/>
      <c r="H1178" s="38" t="s">
        <v>867</v>
      </c>
      <c r="I1178" s="38" t="s">
        <v>88</v>
      </c>
      <c r="J1178" s="38" t="s">
        <v>858</v>
      </c>
      <c r="K1178" s="38" t="s">
        <v>854</v>
      </c>
      <c r="L1178" s="52" t="s">
        <v>213</v>
      </c>
      <c r="M1178" s="53" t="s">
        <v>213</v>
      </c>
    </row>
    <row r="1179" spans="1:13" x14ac:dyDescent="0.3">
      <c r="A1179" s="37">
        <v>57</v>
      </c>
      <c r="B1179" s="38" t="s">
        <v>907</v>
      </c>
      <c r="C1179" s="51">
        <v>7896382706707</v>
      </c>
      <c r="D1179" s="40" t="s">
        <v>852</v>
      </c>
      <c r="E1179" s="40"/>
      <c r="F1179" s="40">
        <v>665</v>
      </c>
      <c r="G1179" s="38"/>
      <c r="H1179" s="38" t="s">
        <v>908</v>
      </c>
      <c r="I1179" s="38" t="s">
        <v>88</v>
      </c>
      <c r="J1179" s="38" t="s">
        <v>858</v>
      </c>
      <c r="K1179" s="38" t="s">
        <v>854</v>
      </c>
      <c r="L1179" s="52" t="s">
        <v>213</v>
      </c>
      <c r="M1179" s="53" t="s">
        <v>213</v>
      </c>
    </row>
    <row r="1180" spans="1:13" x14ac:dyDescent="0.3">
      <c r="A1180" s="37">
        <v>57</v>
      </c>
      <c r="B1180" s="38" t="s">
        <v>907</v>
      </c>
      <c r="C1180" s="51">
        <v>7896382706707</v>
      </c>
      <c r="D1180" s="40" t="s">
        <v>852</v>
      </c>
      <c r="E1180" s="40"/>
      <c r="F1180" s="40">
        <v>680</v>
      </c>
      <c r="G1180" s="38"/>
      <c r="H1180" s="38" t="s">
        <v>909</v>
      </c>
      <c r="I1180" s="38" t="s">
        <v>88</v>
      </c>
      <c r="J1180" s="38" t="s">
        <v>858</v>
      </c>
      <c r="K1180" s="38" t="s">
        <v>854</v>
      </c>
      <c r="L1180" s="52" t="s">
        <v>213</v>
      </c>
      <c r="M1180" s="53" t="s">
        <v>213</v>
      </c>
    </row>
    <row r="1181" spans="1:13" x14ac:dyDescent="0.3">
      <c r="A1181" s="37">
        <v>57</v>
      </c>
      <c r="B1181" s="38" t="s">
        <v>907</v>
      </c>
      <c r="C1181" s="51">
        <v>7896382706707</v>
      </c>
      <c r="D1181" s="40" t="s">
        <v>852</v>
      </c>
      <c r="E1181" s="40"/>
      <c r="F1181" s="40">
        <v>690</v>
      </c>
      <c r="G1181" s="38"/>
      <c r="H1181" s="38" t="s">
        <v>910</v>
      </c>
      <c r="I1181" s="38" t="s">
        <v>88</v>
      </c>
      <c r="J1181" s="38" t="s">
        <v>858</v>
      </c>
      <c r="K1181" s="38" t="s">
        <v>854</v>
      </c>
      <c r="L1181" s="52" t="s">
        <v>213</v>
      </c>
      <c r="M1181" s="53" t="s">
        <v>213</v>
      </c>
    </row>
    <row r="1182" spans="1:13" x14ac:dyDescent="0.3">
      <c r="A1182" s="37">
        <v>57</v>
      </c>
      <c r="B1182" s="38" t="s">
        <v>907</v>
      </c>
      <c r="C1182" s="51">
        <v>7896382706707</v>
      </c>
      <c r="D1182" s="40" t="s">
        <v>852</v>
      </c>
      <c r="E1182" s="40"/>
      <c r="F1182" s="40">
        <v>752</v>
      </c>
      <c r="G1182" s="38"/>
      <c r="H1182" s="38" t="s">
        <v>855</v>
      </c>
      <c r="I1182" s="38" t="s">
        <v>88</v>
      </c>
      <c r="J1182" s="38" t="s">
        <v>858</v>
      </c>
      <c r="K1182" s="38" t="s">
        <v>854</v>
      </c>
      <c r="L1182" s="52" t="s">
        <v>213</v>
      </c>
      <c r="M1182" s="53" t="s">
        <v>213</v>
      </c>
    </row>
    <row r="1183" spans="1:13" x14ac:dyDescent="0.3">
      <c r="A1183" s="37">
        <v>57</v>
      </c>
      <c r="B1183" s="38" t="s">
        <v>911</v>
      </c>
      <c r="C1183" s="51">
        <v>7896382706769</v>
      </c>
      <c r="D1183" s="40" t="s">
        <v>852</v>
      </c>
      <c r="E1183" s="40"/>
      <c r="F1183" s="40">
        <v>212</v>
      </c>
      <c r="G1183" s="38"/>
      <c r="H1183" s="38" t="s">
        <v>912</v>
      </c>
      <c r="I1183" s="38" t="s">
        <v>913</v>
      </c>
      <c r="J1183" s="38" t="s">
        <v>914</v>
      </c>
      <c r="K1183" s="38" t="s">
        <v>915</v>
      </c>
      <c r="L1183" s="52" t="s">
        <v>213</v>
      </c>
      <c r="M1183" s="53" t="s">
        <v>213</v>
      </c>
    </row>
    <row r="1184" spans="1:13" x14ac:dyDescent="0.3">
      <c r="A1184" s="37">
        <v>57</v>
      </c>
      <c r="B1184" s="38" t="s">
        <v>911</v>
      </c>
      <c r="C1184" s="51">
        <v>7896382706769</v>
      </c>
      <c r="D1184" s="40" t="s">
        <v>852</v>
      </c>
      <c r="E1184" s="40"/>
      <c r="F1184" s="40">
        <v>213</v>
      </c>
      <c r="G1184" s="38"/>
      <c r="H1184" s="38" t="s">
        <v>916</v>
      </c>
      <c r="I1184" s="38" t="s">
        <v>913</v>
      </c>
      <c r="J1184" s="38" t="s">
        <v>914</v>
      </c>
      <c r="K1184" s="38" t="s">
        <v>915</v>
      </c>
      <c r="L1184" s="52" t="s">
        <v>213</v>
      </c>
      <c r="M1184" s="53" t="s">
        <v>213</v>
      </c>
    </row>
    <row r="1185" spans="1:13" x14ac:dyDescent="0.3">
      <c r="A1185" s="37">
        <v>57</v>
      </c>
      <c r="B1185" s="38" t="s">
        <v>911</v>
      </c>
      <c r="C1185" s="51">
        <v>7896382706769</v>
      </c>
      <c r="D1185" s="40" t="s">
        <v>852</v>
      </c>
      <c r="E1185" s="40"/>
      <c r="F1185" s="40">
        <v>214</v>
      </c>
      <c r="G1185" s="38"/>
      <c r="H1185" s="38" t="s">
        <v>917</v>
      </c>
      <c r="I1185" s="38" t="s">
        <v>913</v>
      </c>
      <c r="J1185" s="38" t="s">
        <v>914</v>
      </c>
      <c r="K1185" s="38" t="s">
        <v>915</v>
      </c>
      <c r="L1185" s="52" t="s">
        <v>213</v>
      </c>
      <c r="M1185" s="53" t="s">
        <v>213</v>
      </c>
    </row>
    <row r="1186" spans="1:13" x14ac:dyDescent="0.3">
      <c r="A1186" s="37">
        <v>57</v>
      </c>
      <c r="B1186" s="38" t="s">
        <v>911</v>
      </c>
      <c r="C1186" s="51">
        <v>7896382706769</v>
      </c>
      <c r="D1186" s="40" t="s">
        <v>852</v>
      </c>
      <c r="E1186" s="40"/>
      <c r="F1186" s="40">
        <v>215</v>
      </c>
      <c r="G1186" s="38"/>
      <c r="H1186" s="38" t="s">
        <v>918</v>
      </c>
      <c r="I1186" s="38" t="s">
        <v>913</v>
      </c>
      <c r="J1186" s="38" t="s">
        <v>914</v>
      </c>
      <c r="K1186" s="38" t="s">
        <v>915</v>
      </c>
      <c r="L1186" s="52" t="s">
        <v>213</v>
      </c>
      <c r="M1186" s="53" t="s">
        <v>213</v>
      </c>
    </row>
    <row r="1187" spans="1:13" x14ac:dyDescent="0.3">
      <c r="A1187" s="37">
        <v>57</v>
      </c>
      <c r="B1187" s="38" t="s">
        <v>911</v>
      </c>
      <c r="C1187" s="51">
        <v>7896382706769</v>
      </c>
      <c r="D1187" s="40" t="s">
        <v>852</v>
      </c>
      <c r="E1187" s="40"/>
      <c r="F1187" s="40">
        <v>216</v>
      </c>
      <c r="G1187" s="38"/>
      <c r="H1187" s="38" t="s">
        <v>919</v>
      </c>
      <c r="I1187" s="38" t="s">
        <v>913</v>
      </c>
      <c r="J1187" s="38" t="s">
        <v>914</v>
      </c>
      <c r="K1187" s="38" t="s">
        <v>915</v>
      </c>
      <c r="L1187" s="52" t="s">
        <v>213</v>
      </c>
      <c r="M1187" s="53" t="s">
        <v>213</v>
      </c>
    </row>
    <row r="1188" spans="1:13" x14ac:dyDescent="0.3">
      <c r="A1188" s="37">
        <v>57</v>
      </c>
      <c r="B1188" s="38" t="s">
        <v>911</v>
      </c>
      <c r="C1188" s="51">
        <v>7896382706769</v>
      </c>
      <c r="D1188" s="40" t="s">
        <v>852</v>
      </c>
      <c r="E1188" s="40"/>
      <c r="F1188" s="40">
        <v>217</v>
      </c>
      <c r="G1188" s="38"/>
      <c r="H1188" s="38" t="s">
        <v>920</v>
      </c>
      <c r="I1188" s="38" t="s">
        <v>913</v>
      </c>
      <c r="J1188" s="38" t="s">
        <v>914</v>
      </c>
      <c r="K1188" s="38" t="s">
        <v>915</v>
      </c>
      <c r="L1188" s="52" t="s">
        <v>213</v>
      </c>
      <c r="M1188" s="53" t="s">
        <v>213</v>
      </c>
    </row>
    <row r="1189" spans="1:13" x14ac:dyDescent="0.3">
      <c r="A1189" s="37">
        <v>57</v>
      </c>
      <c r="B1189" s="38" t="s">
        <v>911</v>
      </c>
      <c r="C1189" s="51">
        <v>7896382706769</v>
      </c>
      <c r="D1189" s="40" t="s">
        <v>852</v>
      </c>
      <c r="E1189" s="40"/>
      <c r="F1189" s="40">
        <v>218</v>
      </c>
      <c r="G1189" s="38"/>
      <c r="H1189" s="38" t="s">
        <v>921</v>
      </c>
      <c r="I1189" s="38" t="s">
        <v>913</v>
      </c>
      <c r="J1189" s="38" t="s">
        <v>914</v>
      </c>
      <c r="K1189" s="38" t="s">
        <v>915</v>
      </c>
      <c r="L1189" s="52" t="s">
        <v>213</v>
      </c>
      <c r="M1189" s="53" t="s">
        <v>213</v>
      </c>
    </row>
    <row r="1190" spans="1:13" x14ac:dyDescent="0.3">
      <c r="A1190" s="37">
        <v>57</v>
      </c>
      <c r="B1190" s="38" t="s">
        <v>911</v>
      </c>
      <c r="C1190" s="51">
        <v>7896382706769</v>
      </c>
      <c r="D1190" s="40" t="s">
        <v>852</v>
      </c>
      <c r="E1190" s="40"/>
      <c r="F1190" s="40">
        <v>219</v>
      </c>
      <c r="G1190" s="38"/>
      <c r="H1190" s="38" t="s">
        <v>922</v>
      </c>
      <c r="I1190" s="38" t="s">
        <v>913</v>
      </c>
      <c r="J1190" s="38" t="s">
        <v>914</v>
      </c>
      <c r="K1190" s="38" t="s">
        <v>915</v>
      </c>
      <c r="L1190" s="52" t="s">
        <v>213</v>
      </c>
      <c r="M1190" s="53" t="s">
        <v>213</v>
      </c>
    </row>
    <row r="1191" spans="1:13" x14ac:dyDescent="0.3">
      <c r="A1191" s="37">
        <v>57</v>
      </c>
      <c r="B1191" s="38" t="s">
        <v>911</v>
      </c>
      <c r="C1191" s="51">
        <v>7896382706769</v>
      </c>
      <c r="D1191" s="40" t="s">
        <v>852</v>
      </c>
      <c r="E1191" s="40"/>
      <c r="F1191" s="40">
        <v>681</v>
      </c>
      <c r="G1191" s="38"/>
      <c r="H1191" s="38" t="s">
        <v>923</v>
      </c>
      <c r="I1191" s="38" t="s">
        <v>913</v>
      </c>
      <c r="J1191" s="38" t="s">
        <v>914</v>
      </c>
      <c r="K1191" s="38" t="s">
        <v>915</v>
      </c>
      <c r="L1191" s="52" t="s">
        <v>213</v>
      </c>
      <c r="M1191" s="53" t="s">
        <v>213</v>
      </c>
    </row>
    <row r="1192" spans="1:13" x14ac:dyDescent="0.3">
      <c r="A1192" s="37">
        <v>57</v>
      </c>
      <c r="B1192" s="38" t="s">
        <v>911</v>
      </c>
      <c r="C1192" s="51">
        <v>7896382706769</v>
      </c>
      <c r="D1192" s="40" t="s">
        <v>852</v>
      </c>
      <c r="E1192" s="40"/>
      <c r="F1192" s="40">
        <v>682</v>
      </c>
      <c r="G1192" s="38"/>
      <c r="H1192" s="38" t="s">
        <v>924</v>
      </c>
      <c r="I1192" s="38" t="s">
        <v>913</v>
      </c>
      <c r="J1192" s="38" t="s">
        <v>914</v>
      </c>
      <c r="K1192" s="38" t="s">
        <v>915</v>
      </c>
      <c r="L1192" s="52" t="s">
        <v>213</v>
      </c>
      <c r="M1192" s="53" t="s">
        <v>213</v>
      </c>
    </row>
    <row r="1193" spans="1:13" x14ac:dyDescent="0.3">
      <c r="A1193" s="37">
        <v>57</v>
      </c>
      <c r="B1193" s="38" t="s">
        <v>911</v>
      </c>
      <c r="C1193" s="51">
        <v>7896382706769</v>
      </c>
      <c r="D1193" s="40" t="s">
        <v>852</v>
      </c>
      <c r="E1193" s="40"/>
      <c r="F1193" s="40">
        <v>940</v>
      </c>
      <c r="G1193" s="38"/>
      <c r="H1193" s="38" t="s">
        <v>925</v>
      </c>
      <c r="I1193" s="38" t="s">
        <v>913</v>
      </c>
      <c r="J1193" s="38" t="s">
        <v>914</v>
      </c>
      <c r="K1193" s="38" t="s">
        <v>926</v>
      </c>
      <c r="L1193" s="52" t="s">
        <v>213</v>
      </c>
      <c r="M1193" s="53" t="s">
        <v>213</v>
      </c>
    </row>
    <row r="1194" spans="1:13" x14ac:dyDescent="0.3">
      <c r="A1194" s="37">
        <v>57</v>
      </c>
      <c r="B1194" s="38" t="s">
        <v>927</v>
      </c>
      <c r="C1194" s="51">
        <v>7896382708541</v>
      </c>
      <c r="D1194" s="40" t="s">
        <v>852</v>
      </c>
      <c r="E1194" s="40"/>
      <c r="F1194" s="40">
        <v>664</v>
      </c>
      <c r="G1194" s="38"/>
      <c r="H1194" s="38" t="s">
        <v>928</v>
      </c>
      <c r="I1194" s="38" t="s">
        <v>322</v>
      </c>
      <c r="J1194" s="38" t="s">
        <v>488</v>
      </c>
      <c r="K1194" s="38" t="s">
        <v>929</v>
      </c>
      <c r="L1194" s="52" t="s">
        <v>213</v>
      </c>
      <c r="M1194" s="53" t="s">
        <v>213</v>
      </c>
    </row>
    <row r="1195" spans="1:13" x14ac:dyDescent="0.3">
      <c r="A1195" s="37">
        <v>27</v>
      </c>
      <c r="B1195" s="38" t="s">
        <v>930</v>
      </c>
      <c r="C1195" s="51">
        <v>7896261000117</v>
      </c>
      <c r="D1195" s="40" t="s">
        <v>70</v>
      </c>
      <c r="E1195" s="40"/>
      <c r="F1195" s="40">
        <v>129</v>
      </c>
      <c r="G1195" s="38"/>
      <c r="H1195" s="38" t="s">
        <v>931</v>
      </c>
      <c r="I1195" s="38" t="s">
        <v>311</v>
      </c>
      <c r="J1195" s="38" t="s">
        <v>932</v>
      </c>
      <c r="K1195" s="38" t="s">
        <v>933</v>
      </c>
      <c r="L1195" s="52" t="s">
        <v>213</v>
      </c>
      <c r="M1195" s="53" t="s">
        <v>213</v>
      </c>
    </row>
    <row r="1196" spans="1:13" x14ac:dyDescent="0.3">
      <c r="A1196" s="37">
        <v>27</v>
      </c>
      <c r="B1196" s="38" t="s">
        <v>934</v>
      </c>
      <c r="C1196" s="51">
        <v>7896261000124</v>
      </c>
      <c r="D1196" s="40" t="s">
        <v>70</v>
      </c>
      <c r="E1196" s="40"/>
      <c r="F1196" s="40">
        <v>129</v>
      </c>
      <c r="G1196" s="38"/>
      <c r="H1196" s="38" t="s">
        <v>931</v>
      </c>
      <c r="I1196" s="38" t="s">
        <v>311</v>
      </c>
      <c r="J1196" s="38" t="s">
        <v>932</v>
      </c>
      <c r="K1196" s="38" t="s">
        <v>933</v>
      </c>
      <c r="L1196" s="52" t="s">
        <v>213</v>
      </c>
      <c r="M1196" s="53" t="s">
        <v>213</v>
      </c>
    </row>
    <row r="1197" spans="1:13" x14ac:dyDescent="0.3">
      <c r="A1197" s="37">
        <v>27</v>
      </c>
      <c r="B1197" s="38" t="s">
        <v>935</v>
      </c>
      <c r="C1197" s="51">
        <v>7896261000834</v>
      </c>
      <c r="D1197" s="40" t="s">
        <v>70</v>
      </c>
      <c r="E1197" s="40"/>
      <c r="F1197" s="40">
        <v>210</v>
      </c>
      <c r="G1197" s="38"/>
      <c r="H1197" s="38" t="s">
        <v>936</v>
      </c>
      <c r="I1197" s="38" t="s">
        <v>311</v>
      </c>
      <c r="J1197" s="38" t="s">
        <v>937</v>
      </c>
      <c r="K1197" s="38" t="s">
        <v>938</v>
      </c>
      <c r="L1197" s="52" t="s">
        <v>213</v>
      </c>
      <c r="M1197" s="53" t="s">
        <v>213</v>
      </c>
    </row>
    <row r="1198" spans="1:13" x14ac:dyDescent="0.3">
      <c r="A1198" s="37">
        <v>27</v>
      </c>
      <c r="B1198" s="38" t="s">
        <v>939</v>
      </c>
      <c r="C1198" s="51">
        <v>7896261000841</v>
      </c>
      <c r="D1198" s="40" t="s">
        <v>70</v>
      </c>
      <c r="E1198" s="40"/>
      <c r="F1198" s="40">
        <v>210</v>
      </c>
      <c r="G1198" s="38"/>
      <c r="H1198" s="38" t="s">
        <v>936</v>
      </c>
      <c r="I1198" s="38" t="s">
        <v>311</v>
      </c>
      <c r="J1198" s="38" t="s">
        <v>937</v>
      </c>
      <c r="K1198" s="38" t="s">
        <v>938</v>
      </c>
      <c r="L1198" s="52" t="s">
        <v>213</v>
      </c>
      <c r="M1198" s="53" t="s">
        <v>213</v>
      </c>
    </row>
    <row r="1199" spans="1:13" x14ac:dyDescent="0.3">
      <c r="A1199" s="37">
        <v>27</v>
      </c>
      <c r="B1199" s="38" t="s">
        <v>36</v>
      </c>
      <c r="C1199" s="51">
        <v>7896261001145</v>
      </c>
      <c r="D1199" s="40" t="s">
        <v>70</v>
      </c>
      <c r="E1199" s="40"/>
      <c r="F1199" s="40">
        <v>94</v>
      </c>
      <c r="G1199" s="38"/>
      <c r="H1199" s="38" t="s">
        <v>940</v>
      </c>
      <c r="I1199" s="38" t="s">
        <v>311</v>
      </c>
      <c r="J1199" s="38">
        <v>0</v>
      </c>
      <c r="K1199" s="38" t="s">
        <v>941</v>
      </c>
      <c r="L1199" s="52" t="s">
        <v>213</v>
      </c>
      <c r="M1199" s="53" t="s">
        <v>213</v>
      </c>
    </row>
    <row r="1200" spans="1:13" x14ac:dyDescent="0.3">
      <c r="A1200" s="37">
        <v>27</v>
      </c>
      <c r="B1200" s="38" t="s">
        <v>36</v>
      </c>
      <c r="C1200" s="51">
        <v>7896261001145</v>
      </c>
      <c r="D1200" s="40" t="s">
        <v>70</v>
      </c>
      <c r="E1200" s="40"/>
      <c r="F1200" s="40">
        <v>159</v>
      </c>
      <c r="G1200" s="38"/>
      <c r="H1200" s="38" t="s">
        <v>942</v>
      </c>
      <c r="I1200" s="38" t="s">
        <v>311</v>
      </c>
      <c r="J1200" s="38">
        <v>0</v>
      </c>
      <c r="K1200" s="38" t="s">
        <v>943</v>
      </c>
      <c r="L1200" s="52" t="s">
        <v>213</v>
      </c>
      <c r="M1200" s="53" t="s">
        <v>213</v>
      </c>
    </row>
    <row r="1201" spans="1:13" x14ac:dyDescent="0.3">
      <c r="A1201" s="37">
        <v>27</v>
      </c>
      <c r="B1201" s="38" t="s">
        <v>36</v>
      </c>
      <c r="C1201" s="51">
        <v>7896261001145</v>
      </c>
      <c r="D1201" s="40" t="s">
        <v>70</v>
      </c>
      <c r="E1201" s="40"/>
      <c r="F1201" s="40">
        <v>164</v>
      </c>
      <c r="G1201" s="38"/>
      <c r="H1201" s="38" t="s">
        <v>944</v>
      </c>
      <c r="I1201" s="38" t="s">
        <v>311</v>
      </c>
      <c r="J1201" s="38">
        <v>0</v>
      </c>
      <c r="K1201" s="38" t="s">
        <v>943</v>
      </c>
      <c r="L1201" s="52" t="s">
        <v>213</v>
      </c>
      <c r="M1201" s="53" t="s">
        <v>213</v>
      </c>
    </row>
    <row r="1202" spans="1:13" x14ac:dyDescent="0.3">
      <c r="A1202" s="37">
        <v>27</v>
      </c>
      <c r="B1202" s="38" t="s">
        <v>36</v>
      </c>
      <c r="C1202" s="51">
        <v>7896261001145</v>
      </c>
      <c r="D1202" s="40" t="s">
        <v>70</v>
      </c>
      <c r="E1202" s="40"/>
      <c r="F1202" s="40">
        <v>174</v>
      </c>
      <c r="G1202" s="38"/>
      <c r="H1202" s="38" t="s">
        <v>945</v>
      </c>
      <c r="I1202" s="38" t="s">
        <v>311</v>
      </c>
      <c r="J1202" s="38">
        <v>0</v>
      </c>
      <c r="K1202" s="38" t="s">
        <v>943</v>
      </c>
      <c r="L1202" s="52" t="s">
        <v>213</v>
      </c>
      <c r="M1202" s="53" t="s">
        <v>213</v>
      </c>
    </row>
    <row r="1203" spans="1:13" x14ac:dyDescent="0.3">
      <c r="A1203" s="37">
        <v>27</v>
      </c>
      <c r="B1203" s="38" t="s">
        <v>36</v>
      </c>
      <c r="C1203" s="51">
        <v>7896261001145</v>
      </c>
      <c r="D1203" s="40" t="s">
        <v>70</v>
      </c>
      <c r="E1203" s="40"/>
      <c r="F1203" s="40">
        <v>178</v>
      </c>
      <c r="G1203" s="38"/>
      <c r="H1203" s="38" t="s">
        <v>946</v>
      </c>
      <c r="I1203" s="38" t="s">
        <v>424</v>
      </c>
      <c r="J1203" s="38" t="s">
        <v>947</v>
      </c>
      <c r="K1203" s="56">
        <v>0.59</v>
      </c>
      <c r="L1203" s="52" t="s">
        <v>213</v>
      </c>
      <c r="M1203" s="53" t="s">
        <v>213</v>
      </c>
    </row>
    <row r="1204" spans="1:13" x14ac:dyDescent="0.3">
      <c r="A1204" s="37">
        <v>27</v>
      </c>
      <c r="B1204" s="38" t="s">
        <v>36</v>
      </c>
      <c r="C1204" s="51">
        <v>7896261001145</v>
      </c>
      <c r="D1204" s="40" t="s">
        <v>70</v>
      </c>
      <c r="E1204" s="40"/>
      <c r="F1204" s="40">
        <v>179</v>
      </c>
      <c r="G1204" s="38"/>
      <c r="H1204" s="38" t="s">
        <v>948</v>
      </c>
      <c r="I1204" s="38" t="s">
        <v>424</v>
      </c>
      <c r="J1204" s="38" t="s">
        <v>947</v>
      </c>
      <c r="K1204" s="56">
        <v>0.69</v>
      </c>
      <c r="L1204" s="52" t="s">
        <v>213</v>
      </c>
      <c r="M1204" s="53" t="s">
        <v>213</v>
      </c>
    </row>
    <row r="1205" spans="1:13" x14ac:dyDescent="0.3">
      <c r="A1205" s="37">
        <v>27</v>
      </c>
      <c r="B1205" s="38" t="s">
        <v>36</v>
      </c>
      <c r="C1205" s="51">
        <v>7896261001145</v>
      </c>
      <c r="D1205" s="40" t="s">
        <v>70</v>
      </c>
      <c r="E1205" s="40"/>
      <c r="F1205" s="40">
        <v>196</v>
      </c>
      <c r="G1205" s="38"/>
      <c r="H1205" s="38" t="s">
        <v>949</v>
      </c>
      <c r="I1205" s="38" t="s">
        <v>311</v>
      </c>
      <c r="J1205" s="38" t="s">
        <v>947</v>
      </c>
      <c r="K1205" s="38" t="s">
        <v>950</v>
      </c>
      <c r="L1205" s="52" t="s">
        <v>213</v>
      </c>
      <c r="M1205" s="53" t="s">
        <v>213</v>
      </c>
    </row>
    <row r="1206" spans="1:13" x14ac:dyDescent="0.3">
      <c r="A1206" s="37">
        <v>27</v>
      </c>
      <c r="B1206" s="38" t="s">
        <v>36</v>
      </c>
      <c r="C1206" s="51">
        <v>7896261001145</v>
      </c>
      <c r="D1206" s="40" t="s">
        <v>70</v>
      </c>
      <c r="E1206" s="40"/>
      <c r="F1206" s="40">
        <v>197</v>
      </c>
      <c r="G1206" s="38"/>
      <c r="H1206" s="38" t="s">
        <v>951</v>
      </c>
      <c r="I1206" s="38" t="s">
        <v>311</v>
      </c>
      <c r="J1206" s="38" t="s">
        <v>947</v>
      </c>
      <c r="K1206" s="38" t="s">
        <v>950</v>
      </c>
      <c r="L1206" s="52" t="s">
        <v>213</v>
      </c>
      <c r="M1206" s="53" t="s">
        <v>213</v>
      </c>
    </row>
    <row r="1207" spans="1:13" x14ac:dyDescent="0.3">
      <c r="A1207" s="37">
        <v>27</v>
      </c>
      <c r="B1207" s="38" t="s">
        <v>36</v>
      </c>
      <c r="C1207" s="51">
        <v>7896261001145</v>
      </c>
      <c r="D1207" s="40" t="s">
        <v>70</v>
      </c>
      <c r="E1207" s="40"/>
      <c r="F1207" s="40">
        <v>198</v>
      </c>
      <c r="G1207" s="38"/>
      <c r="H1207" s="38" t="s">
        <v>952</v>
      </c>
      <c r="I1207" s="38" t="s">
        <v>311</v>
      </c>
      <c r="J1207" s="38" t="s">
        <v>947</v>
      </c>
      <c r="K1207" s="38" t="s">
        <v>950</v>
      </c>
      <c r="L1207" s="52" t="s">
        <v>213</v>
      </c>
      <c r="M1207" s="53" t="s">
        <v>213</v>
      </c>
    </row>
    <row r="1208" spans="1:13" x14ac:dyDescent="0.3">
      <c r="A1208" s="37">
        <v>27</v>
      </c>
      <c r="B1208" s="38" t="s">
        <v>36</v>
      </c>
      <c r="C1208" s="51">
        <v>7896261001145</v>
      </c>
      <c r="D1208" s="40" t="s">
        <v>70</v>
      </c>
      <c r="E1208" s="40"/>
      <c r="F1208" s="40">
        <v>199</v>
      </c>
      <c r="G1208" s="38"/>
      <c r="H1208" s="38" t="s">
        <v>953</v>
      </c>
      <c r="I1208" s="38" t="s">
        <v>311</v>
      </c>
      <c r="J1208" s="38" t="s">
        <v>947</v>
      </c>
      <c r="K1208" s="38" t="s">
        <v>950</v>
      </c>
      <c r="L1208" s="52" t="s">
        <v>213</v>
      </c>
      <c r="M1208" s="53" t="s">
        <v>213</v>
      </c>
    </row>
    <row r="1209" spans="1:13" x14ac:dyDescent="0.3">
      <c r="A1209" s="37">
        <v>27</v>
      </c>
      <c r="B1209" s="38" t="s">
        <v>36</v>
      </c>
      <c r="C1209" s="51">
        <v>7896261001145</v>
      </c>
      <c r="D1209" s="40" t="s">
        <v>70</v>
      </c>
      <c r="E1209" s="40"/>
      <c r="F1209" s="40">
        <v>200</v>
      </c>
      <c r="G1209" s="38"/>
      <c r="H1209" s="38" t="s">
        <v>954</v>
      </c>
      <c r="I1209" s="38" t="s">
        <v>311</v>
      </c>
      <c r="J1209" s="38" t="s">
        <v>947</v>
      </c>
      <c r="K1209" s="38" t="s">
        <v>950</v>
      </c>
      <c r="L1209" s="52" t="s">
        <v>213</v>
      </c>
      <c r="M1209" s="53" t="s">
        <v>213</v>
      </c>
    </row>
    <row r="1210" spans="1:13" x14ac:dyDescent="0.3">
      <c r="A1210" s="37">
        <v>27</v>
      </c>
      <c r="B1210" s="38" t="s">
        <v>36</v>
      </c>
      <c r="C1210" s="51">
        <v>7896261001145</v>
      </c>
      <c r="D1210" s="40" t="s">
        <v>70</v>
      </c>
      <c r="E1210" s="40"/>
      <c r="F1210" s="40">
        <v>215</v>
      </c>
      <c r="G1210" s="38"/>
      <c r="H1210" s="38" t="s">
        <v>955</v>
      </c>
      <c r="I1210" s="38" t="s">
        <v>311</v>
      </c>
      <c r="J1210" s="38" t="s">
        <v>947</v>
      </c>
      <c r="K1210" s="38" t="s">
        <v>950</v>
      </c>
      <c r="L1210" s="52" t="s">
        <v>213</v>
      </c>
      <c r="M1210" s="53" t="s">
        <v>213</v>
      </c>
    </row>
    <row r="1211" spans="1:13" x14ac:dyDescent="0.3">
      <c r="A1211" s="37">
        <v>27</v>
      </c>
      <c r="B1211" s="38" t="s">
        <v>36</v>
      </c>
      <c r="C1211" s="51">
        <v>7896261001145</v>
      </c>
      <c r="D1211" s="40" t="s">
        <v>70</v>
      </c>
      <c r="E1211" s="40"/>
      <c r="F1211" s="40">
        <v>217</v>
      </c>
      <c r="G1211" s="38"/>
      <c r="H1211" s="38" t="s">
        <v>956</v>
      </c>
      <c r="I1211" s="38" t="s">
        <v>311</v>
      </c>
      <c r="J1211" s="38" t="s">
        <v>947</v>
      </c>
      <c r="K1211" s="38" t="s">
        <v>950</v>
      </c>
      <c r="L1211" s="52" t="s">
        <v>213</v>
      </c>
      <c r="M1211" s="53" t="s">
        <v>213</v>
      </c>
    </row>
    <row r="1212" spans="1:13" x14ac:dyDescent="0.3">
      <c r="A1212" s="37">
        <v>27</v>
      </c>
      <c r="B1212" s="38" t="s">
        <v>36</v>
      </c>
      <c r="C1212" s="51">
        <v>7896261001145</v>
      </c>
      <c r="D1212" s="40" t="s">
        <v>70</v>
      </c>
      <c r="E1212" s="40"/>
      <c r="F1212" s="40">
        <v>219</v>
      </c>
      <c r="G1212" s="38"/>
      <c r="H1212" s="38" t="s">
        <v>957</v>
      </c>
      <c r="I1212" s="38" t="s">
        <v>311</v>
      </c>
      <c r="J1212" s="38" t="s">
        <v>947</v>
      </c>
      <c r="K1212" s="38" t="s">
        <v>950</v>
      </c>
      <c r="L1212" s="52" t="s">
        <v>213</v>
      </c>
      <c r="M1212" s="53" t="s">
        <v>213</v>
      </c>
    </row>
    <row r="1213" spans="1:13" x14ac:dyDescent="0.3">
      <c r="A1213" s="37">
        <v>27</v>
      </c>
      <c r="B1213" s="38" t="s">
        <v>36</v>
      </c>
      <c r="C1213" s="51">
        <v>7896261001145</v>
      </c>
      <c r="D1213" s="40" t="s">
        <v>70</v>
      </c>
      <c r="E1213" s="40"/>
      <c r="F1213" s="40">
        <v>228</v>
      </c>
      <c r="G1213" s="38"/>
      <c r="H1213" s="38" t="s">
        <v>958</v>
      </c>
      <c r="I1213" s="38" t="s">
        <v>311</v>
      </c>
      <c r="J1213" s="38" t="s">
        <v>947</v>
      </c>
      <c r="K1213" s="38" t="s">
        <v>950</v>
      </c>
      <c r="L1213" s="52" t="s">
        <v>213</v>
      </c>
      <c r="M1213" s="53" t="s">
        <v>213</v>
      </c>
    </row>
    <row r="1214" spans="1:13" x14ac:dyDescent="0.3">
      <c r="A1214" s="37">
        <v>27</v>
      </c>
      <c r="B1214" s="38" t="s">
        <v>36</v>
      </c>
      <c r="C1214" s="51">
        <v>7896261001145</v>
      </c>
      <c r="D1214" s="40" t="s">
        <v>70</v>
      </c>
      <c r="E1214" s="40"/>
      <c r="F1214" s="40">
        <v>229</v>
      </c>
      <c r="G1214" s="38"/>
      <c r="H1214" s="38" t="s">
        <v>959</v>
      </c>
      <c r="I1214" s="38" t="s">
        <v>311</v>
      </c>
      <c r="J1214" s="38" t="s">
        <v>947</v>
      </c>
      <c r="K1214" s="38" t="s">
        <v>950</v>
      </c>
      <c r="L1214" s="52" t="s">
        <v>213</v>
      </c>
      <c r="M1214" s="53" t="s">
        <v>213</v>
      </c>
    </row>
    <row r="1215" spans="1:13" x14ac:dyDescent="0.3">
      <c r="A1215" s="37">
        <v>27</v>
      </c>
      <c r="B1215" s="38" t="s">
        <v>36</v>
      </c>
      <c r="C1215" s="51">
        <v>7896261001145</v>
      </c>
      <c r="D1215" s="40" t="s">
        <v>70</v>
      </c>
      <c r="E1215" s="40"/>
      <c r="F1215" s="40">
        <v>249</v>
      </c>
      <c r="G1215" s="38"/>
      <c r="H1215" s="38" t="s">
        <v>960</v>
      </c>
      <c r="I1215" s="38" t="s">
        <v>311</v>
      </c>
      <c r="J1215" s="38" t="s">
        <v>947</v>
      </c>
      <c r="K1215" s="38" t="s">
        <v>950</v>
      </c>
      <c r="L1215" s="52" t="s">
        <v>213</v>
      </c>
      <c r="M1215" s="53" t="s">
        <v>213</v>
      </c>
    </row>
    <row r="1216" spans="1:13" x14ac:dyDescent="0.3">
      <c r="A1216" s="37">
        <v>27</v>
      </c>
      <c r="B1216" s="38" t="s">
        <v>36</v>
      </c>
      <c r="C1216" s="51">
        <v>7896261001145</v>
      </c>
      <c r="D1216" s="40" t="s">
        <v>70</v>
      </c>
      <c r="E1216" s="40"/>
      <c r="F1216" s="40">
        <v>262</v>
      </c>
      <c r="G1216" s="38"/>
      <c r="H1216" s="38" t="s">
        <v>961</v>
      </c>
      <c r="I1216" s="38" t="s">
        <v>424</v>
      </c>
      <c r="J1216" s="38" t="s">
        <v>947</v>
      </c>
      <c r="K1216" s="38">
        <v>58.7</v>
      </c>
      <c r="L1216" s="52" t="s">
        <v>213</v>
      </c>
      <c r="M1216" s="53" t="s">
        <v>213</v>
      </c>
    </row>
    <row r="1217" spans="1:13" x14ac:dyDescent="0.3">
      <c r="A1217" s="37">
        <v>27</v>
      </c>
      <c r="B1217" s="38" t="s">
        <v>36</v>
      </c>
      <c r="C1217" s="51">
        <v>7896261001145</v>
      </c>
      <c r="D1217" s="40" t="s">
        <v>70</v>
      </c>
      <c r="E1217" s="40"/>
      <c r="F1217" s="40">
        <v>276</v>
      </c>
      <c r="G1217" s="38"/>
      <c r="H1217" s="38" t="s">
        <v>962</v>
      </c>
      <c r="I1217" s="38" t="s">
        <v>424</v>
      </c>
      <c r="J1217" s="38" t="s">
        <v>947</v>
      </c>
      <c r="K1217" s="56">
        <v>0.54</v>
      </c>
      <c r="L1217" s="52" t="s">
        <v>213</v>
      </c>
      <c r="M1217" s="53" t="s">
        <v>213</v>
      </c>
    </row>
    <row r="1218" spans="1:13" x14ac:dyDescent="0.3">
      <c r="A1218" s="37">
        <v>27</v>
      </c>
      <c r="B1218" s="38" t="s">
        <v>36</v>
      </c>
      <c r="C1218" s="51">
        <v>7896261001145</v>
      </c>
      <c r="D1218" s="40" t="s">
        <v>70</v>
      </c>
      <c r="E1218" s="40"/>
      <c r="F1218" s="40">
        <v>301</v>
      </c>
      <c r="G1218" s="38"/>
      <c r="H1218" s="38" t="s">
        <v>963</v>
      </c>
      <c r="I1218" s="38" t="s">
        <v>311</v>
      </c>
      <c r="J1218" s="38" t="s">
        <v>947</v>
      </c>
      <c r="K1218" s="38" t="s">
        <v>950</v>
      </c>
      <c r="L1218" s="52" t="s">
        <v>213</v>
      </c>
      <c r="M1218" s="53" t="s">
        <v>213</v>
      </c>
    </row>
    <row r="1219" spans="1:13" x14ac:dyDescent="0.3">
      <c r="A1219" s="37">
        <v>27</v>
      </c>
      <c r="B1219" s="38" t="s">
        <v>964</v>
      </c>
      <c r="C1219" s="51">
        <v>7896261001183</v>
      </c>
      <c r="D1219" s="40" t="s">
        <v>70</v>
      </c>
      <c r="E1219" s="40"/>
      <c r="F1219" s="40">
        <v>337</v>
      </c>
      <c r="G1219" s="38"/>
      <c r="H1219" s="38" t="s">
        <v>965</v>
      </c>
      <c r="I1219" s="38" t="s">
        <v>424</v>
      </c>
      <c r="J1219" s="38" t="s">
        <v>966</v>
      </c>
      <c r="K1219" s="56">
        <v>0.5</v>
      </c>
      <c r="L1219" s="52" t="s">
        <v>213</v>
      </c>
      <c r="M1219" s="53" t="s">
        <v>213</v>
      </c>
    </row>
    <row r="1220" spans="1:13" x14ac:dyDescent="0.3">
      <c r="A1220" s="37">
        <v>27</v>
      </c>
      <c r="B1220" s="38" t="s">
        <v>967</v>
      </c>
      <c r="C1220" s="51">
        <v>7896261003804</v>
      </c>
      <c r="D1220" s="40" t="s">
        <v>70</v>
      </c>
      <c r="E1220" s="40"/>
      <c r="F1220" s="40">
        <v>96</v>
      </c>
      <c r="G1220" s="38"/>
      <c r="H1220" s="38" t="s">
        <v>968</v>
      </c>
      <c r="I1220" s="38" t="s">
        <v>424</v>
      </c>
      <c r="J1220" s="38">
        <v>0</v>
      </c>
      <c r="K1220" s="56">
        <v>0.3</v>
      </c>
      <c r="L1220" s="52" t="s">
        <v>213</v>
      </c>
      <c r="M1220" s="53" t="s">
        <v>213</v>
      </c>
    </row>
    <row r="1221" spans="1:13" x14ac:dyDescent="0.3">
      <c r="A1221" s="37">
        <v>27</v>
      </c>
      <c r="B1221" s="38" t="s">
        <v>969</v>
      </c>
      <c r="C1221" s="51">
        <v>7896261004580</v>
      </c>
      <c r="D1221" s="40" t="s">
        <v>70</v>
      </c>
      <c r="E1221" s="40"/>
      <c r="F1221" s="40">
        <v>181</v>
      </c>
      <c r="G1221" s="38"/>
      <c r="H1221" s="38" t="s">
        <v>970</v>
      </c>
      <c r="I1221" s="38" t="s">
        <v>424</v>
      </c>
      <c r="J1221" s="38" t="s">
        <v>966</v>
      </c>
      <c r="K1221" s="56">
        <v>0.4</v>
      </c>
      <c r="L1221" s="52" t="s">
        <v>213</v>
      </c>
      <c r="M1221" s="53" t="s">
        <v>213</v>
      </c>
    </row>
    <row r="1222" spans="1:13" x14ac:dyDescent="0.3">
      <c r="A1222" s="37">
        <v>27</v>
      </c>
      <c r="B1222" s="38" t="s">
        <v>969</v>
      </c>
      <c r="C1222" s="51">
        <v>7896261004580</v>
      </c>
      <c r="D1222" s="40" t="s">
        <v>70</v>
      </c>
      <c r="E1222" s="40"/>
      <c r="F1222" s="40">
        <v>195</v>
      </c>
      <c r="G1222" s="38"/>
      <c r="H1222" s="38" t="s">
        <v>971</v>
      </c>
      <c r="I1222" s="38" t="s">
        <v>424</v>
      </c>
      <c r="J1222" s="38" t="s">
        <v>947</v>
      </c>
      <c r="K1222" s="56">
        <v>0.3</v>
      </c>
      <c r="L1222" s="52" t="s">
        <v>213</v>
      </c>
      <c r="M1222" s="53" t="s">
        <v>213</v>
      </c>
    </row>
    <row r="1223" spans="1:13" x14ac:dyDescent="0.3">
      <c r="A1223" s="37">
        <v>27</v>
      </c>
      <c r="B1223" s="38" t="s">
        <v>969</v>
      </c>
      <c r="C1223" s="51">
        <v>7896261004580</v>
      </c>
      <c r="D1223" s="40" t="s">
        <v>70</v>
      </c>
      <c r="E1223" s="40"/>
      <c r="F1223" s="40">
        <v>226</v>
      </c>
      <c r="G1223" s="38"/>
      <c r="H1223" s="38" t="s">
        <v>972</v>
      </c>
      <c r="I1223" s="38" t="s">
        <v>424</v>
      </c>
      <c r="J1223" s="38" t="s">
        <v>947</v>
      </c>
      <c r="K1223" s="56">
        <v>0.3</v>
      </c>
      <c r="L1223" s="52" t="s">
        <v>213</v>
      </c>
      <c r="M1223" s="53" t="s">
        <v>213</v>
      </c>
    </row>
    <row r="1224" spans="1:13" x14ac:dyDescent="0.3">
      <c r="A1224" s="37">
        <v>27</v>
      </c>
      <c r="B1224" s="38" t="s">
        <v>969</v>
      </c>
      <c r="C1224" s="51">
        <v>7896261004580</v>
      </c>
      <c r="D1224" s="40" t="s">
        <v>70</v>
      </c>
      <c r="E1224" s="40"/>
      <c r="F1224" s="40">
        <v>238</v>
      </c>
      <c r="G1224" s="38"/>
      <c r="H1224" s="38" t="s">
        <v>973</v>
      </c>
      <c r="I1224" s="38" t="s">
        <v>424</v>
      </c>
      <c r="J1224" s="38" t="s">
        <v>947</v>
      </c>
      <c r="K1224" s="56">
        <v>0.3</v>
      </c>
      <c r="L1224" s="52" t="s">
        <v>213</v>
      </c>
      <c r="M1224" s="53" t="s">
        <v>213</v>
      </c>
    </row>
    <row r="1225" spans="1:13" x14ac:dyDescent="0.3">
      <c r="A1225" s="37">
        <v>27</v>
      </c>
      <c r="B1225" s="38" t="s">
        <v>969</v>
      </c>
      <c r="C1225" s="51">
        <v>7896261004580</v>
      </c>
      <c r="D1225" s="40" t="s">
        <v>70</v>
      </c>
      <c r="E1225" s="40"/>
      <c r="F1225" s="40">
        <v>298</v>
      </c>
      <c r="G1225" s="38"/>
      <c r="H1225" s="38" t="s">
        <v>974</v>
      </c>
      <c r="I1225" s="38" t="s">
        <v>424</v>
      </c>
      <c r="J1225" s="38" t="s">
        <v>947</v>
      </c>
      <c r="K1225" s="56">
        <v>0.3</v>
      </c>
      <c r="L1225" s="52" t="s">
        <v>213</v>
      </c>
      <c r="M1225" s="53" t="s">
        <v>213</v>
      </c>
    </row>
    <row r="1226" spans="1:13" x14ac:dyDescent="0.3">
      <c r="A1226" s="37">
        <v>27</v>
      </c>
      <c r="B1226" s="38" t="s">
        <v>969</v>
      </c>
      <c r="C1226" s="51">
        <v>7896261004580</v>
      </c>
      <c r="D1226" s="40" t="s">
        <v>70</v>
      </c>
      <c r="E1226" s="40"/>
      <c r="F1226" s="40">
        <v>317</v>
      </c>
      <c r="G1226" s="38"/>
      <c r="H1226" s="38" t="s">
        <v>975</v>
      </c>
      <c r="I1226" s="38" t="s">
        <v>424</v>
      </c>
      <c r="J1226" s="38" t="s">
        <v>966</v>
      </c>
      <c r="K1226" s="56">
        <v>0.3</v>
      </c>
      <c r="L1226" s="52" t="s">
        <v>213</v>
      </c>
      <c r="M1226" s="53" t="s">
        <v>213</v>
      </c>
    </row>
    <row r="1227" spans="1:13" x14ac:dyDescent="0.3">
      <c r="A1227" s="37">
        <v>27</v>
      </c>
      <c r="B1227" s="38" t="s">
        <v>976</v>
      </c>
      <c r="C1227" s="51">
        <v>7896261004900</v>
      </c>
      <c r="D1227" s="40" t="s">
        <v>70</v>
      </c>
      <c r="E1227" s="40"/>
      <c r="F1227" s="40">
        <v>94</v>
      </c>
      <c r="G1227" s="38"/>
      <c r="H1227" s="38" t="s">
        <v>940</v>
      </c>
      <c r="I1227" s="38" t="s">
        <v>311</v>
      </c>
      <c r="J1227" s="38">
        <v>0</v>
      </c>
      <c r="K1227" s="38" t="s">
        <v>941</v>
      </c>
      <c r="L1227" s="52" t="s">
        <v>213</v>
      </c>
      <c r="M1227" s="53" t="s">
        <v>213</v>
      </c>
    </row>
    <row r="1228" spans="1:13" x14ac:dyDescent="0.3">
      <c r="A1228" s="37">
        <v>27</v>
      </c>
      <c r="B1228" s="38" t="s">
        <v>976</v>
      </c>
      <c r="C1228" s="51">
        <v>7896261004900</v>
      </c>
      <c r="D1228" s="40" t="s">
        <v>70</v>
      </c>
      <c r="E1228" s="40"/>
      <c r="F1228" s="40">
        <v>159</v>
      </c>
      <c r="G1228" s="38"/>
      <c r="H1228" s="38" t="s">
        <v>942</v>
      </c>
      <c r="I1228" s="38" t="s">
        <v>311</v>
      </c>
      <c r="J1228" s="38">
        <v>0</v>
      </c>
      <c r="K1228" s="38" t="s">
        <v>943</v>
      </c>
      <c r="L1228" s="52" t="s">
        <v>213</v>
      </c>
      <c r="M1228" s="53" t="s">
        <v>213</v>
      </c>
    </row>
    <row r="1229" spans="1:13" x14ac:dyDescent="0.3">
      <c r="A1229" s="37">
        <v>27</v>
      </c>
      <c r="B1229" s="38" t="s">
        <v>976</v>
      </c>
      <c r="C1229" s="51">
        <v>7896261004900</v>
      </c>
      <c r="D1229" s="40" t="s">
        <v>70</v>
      </c>
      <c r="E1229" s="40"/>
      <c r="F1229" s="40">
        <v>164</v>
      </c>
      <c r="G1229" s="38"/>
      <c r="H1229" s="38" t="s">
        <v>944</v>
      </c>
      <c r="I1229" s="38" t="s">
        <v>311</v>
      </c>
      <c r="J1229" s="38">
        <v>0</v>
      </c>
      <c r="K1229" s="38" t="s">
        <v>943</v>
      </c>
      <c r="L1229" s="52" t="s">
        <v>213</v>
      </c>
      <c r="M1229" s="53" t="s">
        <v>213</v>
      </c>
    </row>
    <row r="1230" spans="1:13" x14ac:dyDescent="0.3">
      <c r="A1230" s="37">
        <v>27</v>
      </c>
      <c r="B1230" s="38" t="s">
        <v>976</v>
      </c>
      <c r="C1230" s="51">
        <v>7896261004900</v>
      </c>
      <c r="D1230" s="40" t="s">
        <v>70</v>
      </c>
      <c r="E1230" s="40"/>
      <c r="F1230" s="40">
        <v>174</v>
      </c>
      <c r="G1230" s="38"/>
      <c r="H1230" s="38" t="s">
        <v>945</v>
      </c>
      <c r="I1230" s="38" t="s">
        <v>311</v>
      </c>
      <c r="J1230" s="38">
        <v>0</v>
      </c>
      <c r="K1230" s="38" t="s">
        <v>943</v>
      </c>
      <c r="L1230" s="52" t="s">
        <v>213</v>
      </c>
      <c r="M1230" s="53" t="s">
        <v>213</v>
      </c>
    </row>
    <row r="1231" spans="1:13" x14ac:dyDescent="0.3">
      <c r="A1231" s="37">
        <v>27</v>
      </c>
      <c r="B1231" s="38" t="s">
        <v>976</v>
      </c>
      <c r="C1231" s="51">
        <v>7896261004900</v>
      </c>
      <c r="D1231" s="40" t="s">
        <v>70</v>
      </c>
      <c r="E1231" s="40"/>
      <c r="F1231" s="40">
        <v>178</v>
      </c>
      <c r="G1231" s="38"/>
      <c r="H1231" s="38" t="s">
        <v>946</v>
      </c>
      <c r="I1231" s="38" t="s">
        <v>424</v>
      </c>
      <c r="J1231" s="38" t="s">
        <v>947</v>
      </c>
      <c r="K1231" s="56">
        <v>0.59</v>
      </c>
      <c r="L1231" s="52" t="s">
        <v>213</v>
      </c>
      <c r="M1231" s="53" t="s">
        <v>213</v>
      </c>
    </row>
    <row r="1232" spans="1:13" x14ac:dyDescent="0.3">
      <c r="A1232" s="37">
        <v>27</v>
      </c>
      <c r="B1232" s="38" t="s">
        <v>976</v>
      </c>
      <c r="C1232" s="51">
        <v>7896261004900</v>
      </c>
      <c r="D1232" s="40" t="s">
        <v>70</v>
      </c>
      <c r="E1232" s="40"/>
      <c r="F1232" s="40">
        <v>179</v>
      </c>
      <c r="G1232" s="38"/>
      <c r="H1232" s="38" t="s">
        <v>948</v>
      </c>
      <c r="I1232" s="38" t="s">
        <v>424</v>
      </c>
      <c r="J1232" s="38" t="s">
        <v>947</v>
      </c>
      <c r="K1232" s="56">
        <v>0.69</v>
      </c>
      <c r="L1232" s="52" t="s">
        <v>213</v>
      </c>
      <c r="M1232" s="53" t="s">
        <v>213</v>
      </c>
    </row>
    <row r="1233" spans="1:13" x14ac:dyDescent="0.3">
      <c r="A1233" s="37">
        <v>27</v>
      </c>
      <c r="B1233" s="38" t="s">
        <v>976</v>
      </c>
      <c r="C1233" s="51">
        <v>7896261004900</v>
      </c>
      <c r="D1233" s="40" t="s">
        <v>70</v>
      </c>
      <c r="E1233" s="40"/>
      <c r="F1233" s="40">
        <v>185</v>
      </c>
      <c r="G1233" s="38"/>
      <c r="H1233" s="38" t="s">
        <v>977</v>
      </c>
      <c r="I1233" s="38" t="s">
        <v>424</v>
      </c>
      <c r="J1233" s="38">
        <v>0</v>
      </c>
      <c r="K1233" s="56">
        <v>0.59</v>
      </c>
      <c r="L1233" s="52" t="s">
        <v>213</v>
      </c>
      <c r="M1233" s="53" t="s">
        <v>213</v>
      </c>
    </row>
    <row r="1234" spans="1:13" x14ac:dyDescent="0.3">
      <c r="A1234" s="37">
        <v>27</v>
      </c>
      <c r="B1234" s="38" t="s">
        <v>976</v>
      </c>
      <c r="C1234" s="51">
        <v>7896261004900</v>
      </c>
      <c r="D1234" s="40" t="s">
        <v>70</v>
      </c>
      <c r="E1234" s="40"/>
      <c r="F1234" s="40">
        <v>192</v>
      </c>
      <c r="G1234" s="38"/>
      <c r="H1234" s="38" t="s">
        <v>978</v>
      </c>
      <c r="I1234" s="38" t="s">
        <v>424</v>
      </c>
      <c r="J1234" s="38" t="s">
        <v>947</v>
      </c>
      <c r="K1234" s="56">
        <v>0.49</v>
      </c>
      <c r="L1234" s="52" t="s">
        <v>213</v>
      </c>
      <c r="M1234" s="53" t="s">
        <v>213</v>
      </c>
    </row>
    <row r="1235" spans="1:13" x14ac:dyDescent="0.3">
      <c r="A1235" s="37">
        <v>27</v>
      </c>
      <c r="B1235" s="38" t="s">
        <v>976</v>
      </c>
      <c r="C1235" s="51">
        <v>7896261004900</v>
      </c>
      <c r="D1235" s="40" t="s">
        <v>70</v>
      </c>
      <c r="E1235" s="40"/>
      <c r="F1235" s="40">
        <v>196</v>
      </c>
      <c r="G1235" s="38"/>
      <c r="H1235" s="38" t="s">
        <v>949</v>
      </c>
      <c r="I1235" s="38" t="s">
        <v>311</v>
      </c>
      <c r="J1235" s="38" t="s">
        <v>947</v>
      </c>
      <c r="K1235" s="38" t="s">
        <v>950</v>
      </c>
      <c r="L1235" s="52" t="s">
        <v>213</v>
      </c>
      <c r="M1235" s="53" t="s">
        <v>213</v>
      </c>
    </row>
    <row r="1236" spans="1:13" x14ac:dyDescent="0.3">
      <c r="A1236" s="37">
        <v>27</v>
      </c>
      <c r="B1236" s="38" t="s">
        <v>976</v>
      </c>
      <c r="C1236" s="51">
        <v>7896261004900</v>
      </c>
      <c r="D1236" s="40" t="s">
        <v>70</v>
      </c>
      <c r="E1236" s="40"/>
      <c r="F1236" s="40">
        <v>197</v>
      </c>
      <c r="G1236" s="38"/>
      <c r="H1236" s="38" t="s">
        <v>951</v>
      </c>
      <c r="I1236" s="38" t="s">
        <v>311</v>
      </c>
      <c r="J1236" s="38" t="s">
        <v>947</v>
      </c>
      <c r="K1236" s="38" t="s">
        <v>950</v>
      </c>
      <c r="L1236" s="52" t="s">
        <v>213</v>
      </c>
      <c r="M1236" s="53" t="s">
        <v>213</v>
      </c>
    </row>
    <row r="1237" spans="1:13" x14ac:dyDescent="0.3">
      <c r="A1237" s="37">
        <v>27</v>
      </c>
      <c r="B1237" s="38" t="s">
        <v>976</v>
      </c>
      <c r="C1237" s="51">
        <v>7896261004900</v>
      </c>
      <c r="D1237" s="40" t="s">
        <v>70</v>
      </c>
      <c r="E1237" s="40"/>
      <c r="F1237" s="40">
        <v>198</v>
      </c>
      <c r="G1237" s="38"/>
      <c r="H1237" s="38" t="s">
        <v>952</v>
      </c>
      <c r="I1237" s="38" t="s">
        <v>311</v>
      </c>
      <c r="J1237" s="38" t="s">
        <v>947</v>
      </c>
      <c r="K1237" s="38" t="s">
        <v>950</v>
      </c>
      <c r="L1237" s="52" t="s">
        <v>213</v>
      </c>
      <c r="M1237" s="53" t="s">
        <v>213</v>
      </c>
    </row>
    <row r="1238" spans="1:13" x14ac:dyDescent="0.3">
      <c r="A1238" s="37">
        <v>27</v>
      </c>
      <c r="B1238" s="38" t="s">
        <v>976</v>
      </c>
      <c r="C1238" s="51">
        <v>7896261004900</v>
      </c>
      <c r="D1238" s="40" t="s">
        <v>70</v>
      </c>
      <c r="E1238" s="40"/>
      <c r="F1238" s="40">
        <v>199</v>
      </c>
      <c r="G1238" s="38"/>
      <c r="H1238" s="38" t="s">
        <v>953</v>
      </c>
      <c r="I1238" s="38" t="s">
        <v>311</v>
      </c>
      <c r="J1238" s="38" t="s">
        <v>947</v>
      </c>
      <c r="K1238" s="38" t="s">
        <v>950</v>
      </c>
      <c r="L1238" s="52" t="s">
        <v>213</v>
      </c>
      <c r="M1238" s="53" t="s">
        <v>213</v>
      </c>
    </row>
    <row r="1239" spans="1:13" x14ac:dyDescent="0.3">
      <c r="A1239" s="37">
        <v>27</v>
      </c>
      <c r="B1239" s="38" t="s">
        <v>976</v>
      </c>
      <c r="C1239" s="51">
        <v>7896261004900</v>
      </c>
      <c r="D1239" s="40" t="s">
        <v>70</v>
      </c>
      <c r="E1239" s="40"/>
      <c r="F1239" s="40">
        <v>200</v>
      </c>
      <c r="G1239" s="38"/>
      <c r="H1239" s="38" t="s">
        <v>954</v>
      </c>
      <c r="I1239" s="38" t="s">
        <v>311</v>
      </c>
      <c r="J1239" s="38" t="s">
        <v>947</v>
      </c>
      <c r="K1239" s="38" t="s">
        <v>950</v>
      </c>
      <c r="L1239" s="52" t="s">
        <v>213</v>
      </c>
      <c r="M1239" s="53" t="s">
        <v>213</v>
      </c>
    </row>
    <row r="1240" spans="1:13" x14ac:dyDescent="0.3">
      <c r="A1240" s="37">
        <v>27</v>
      </c>
      <c r="B1240" s="38" t="s">
        <v>976</v>
      </c>
      <c r="C1240" s="51">
        <v>7896261004900</v>
      </c>
      <c r="D1240" s="40" t="s">
        <v>70</v>
      </c>
      <c r="E1240" s="40"/>
      <c r="F1240" s="40">
        <v>215</v>
      </c>
      <c r="G1240" s="38"/>
      <c r="H1240" s="38" t="s">
        <v>955</v>
      </c>
      <c r="I1240" s="38" t="s">
        <v>311</v>
      </c>
      <c r="J1240" s="38" t="s">
        <v>947</v>
      </c>
      <c r="K1240" s="38" t="s">
        <v>950</v>
      </c>
      <c r="L1240" s="52" t="s">
        <v>213</v>
      </c>
      <c r="M1240" s="53" t="s">
        <v>213</v>
      </c>
    </row>
    <row r="1241" spans="1:13" x14ac:dyDescent="0.3">
      <c r="A1241" s="37">
        <v>27</v>
      </c>
      <c r="B1241" s="38" t="s">
        <v>976</v>
      </c>
      <c r="C1241" s="51">
        <v>7896261004900</v>
      </c>
      <c r="D1241" s="40" t="s">
        <v>70</v>
      </c>
      <c r="E1241" s="40"/>
      <c r="F1241" s="40">
        <v>217</v>
      </c>
      <c r="G1241" s="38"/>
      <c r="H1241" s="38" t="s">
        <v>956</v>
      </c>
      <c r="I1241" s="38" t="s">
        <v>311</v>
      </c>
      <c r="J1241" s="38" t="s">
        <v>947</v>
      </c>
      <c r="K1241" s="38" t="s">
        <v>950</v>
      </c>
      <c r="L1241" s="52" t="s">
        <v>213</v>
      </c>
      <c r="M1241" s="53" t="s">
        <v>213</v>
      </c>
    </row>
    <row r="1242" spans="1:13" x14ac:dyDescent="0.3">
      <c r="A1242" s="37">
        <v>27</v>
      </c>
      <c r="B1242" s="38" t="s">
        <v>976</v>
      </c>
      <c r="C1242" s="51">
        <v>7896261004900</v>
      </c>
      <c r="D1242" s="40" t="s">
        <v>70</v>
      </c>
      <c r="E1242" s="40"/>
      <c r="F1242" s="40">
        <v>219</v>
      </c>
      <c r="G1242" s="38"/>
      <c r="H1242" s="38" t="s">
        <v>957</v>
      </c>
      <c r="I1242" s="38" t="s">
        <v>311</v>
      </c>
      <c r="J1242" s="38" t="s">
        <v>947</v>
      </c>
      <c r="K1242" s="38" t="s">
        <v>950</v>
      </c>
      <c r="L1242" s="52" t="s">
        <v>213</v>
      </c>
      <c r="M1242" s="53" t="s">
        <v>213</v>
      </c>
    </row>
    <row r="1243" spans="1:13" x14ac:dyDescent="0.3">
      <c r="A1243" s="37">
        <v>27</v>
      </c>
      <c r="B1243" s="38" t="s">
        <v>976</v>
      </c>
      <c r="C1243" s="51">
        <v>7896261004900</v>
      </c>
      <c r="D1243" s="40" t="s">
        <v>70</v>
      </c>
      <c r="E1243" s="40"/>
      <c r="F1243" s="40">
        <v>228</v>
      </c>
      <c r="G1243" s="38"/>
      <c r="H1243" s="38" t="s">
        <v>958</v>
      </c>
      <c r="I1243" s="38" t="s">
        <v>311</v>
      </c>
      <c r="J1243" s="38" t="s">
        <v>947</v>
      </c>
      <c r="K1243" s="38" t="s">
        <v>950</v>
      </c>
      <c r="L1243" s="52" t="s">
        <v>213</v>
      </c>
      <c r="M1243" s="53" t="s">
        <v>213</v>
      </c>
    </row>
    <row r="1244" spans="1:13" x14ac:dyDescent="0.3">
      <c r="A1244" s="37">
        <v>27</v>
      </c>
      <c r="B1244" s="38" t="s">
        <v>976</v>
      </c>
      <c r="C1244" s="51">
        <v>7896261004900</v>
      </c>
      <c r="D1244" s="40" t="s">
        <v>70</v>
      </c>
      <c r="E1244" s="40"/>
      <c r="F1244" s="40">
        <v>229</v>
      </c>
      <c r="G1244" s="38"/>
      <c r="H1244" s="38" t="s">
        <v>959</v>
      </c>
      <c r="I1244" s="38" t="s">
        <v>311</v>
      </c>
      <c r="J1244" s="38" t="s">
        <v>947</v>
      </c>
      <c r="K1244" s="38" t="s">
        <v>950</v>
      </c>
      <c r="L1244" s="52" t="s">
        <v>213</v>
      </c>
      <c r="M1244" s="53" t="s">
        <v>213</v>
      </c>
    </row>
    <row r="1245" spans="1:13" x14ac:dyDescent="0.3">
      <c r="A1245" s="37">
        <v>27</v>
      </c>
      <c r="B1245" s="38" t="s">
        <v>976</v>
      </c>
      <c r="C1245" s="51">
        <v>7896261004900</v>
      </c>
      <c r="D1245" s="40" t="s">
        <v>70</v>
      </c>
      <c r="E1245" s="40"/>
      <c r="F1245" s="40">
        <v>247</v>
      </c>
      <c r="G1245" s="38"/>
      <c r="H1245" s="38" t="s">
        <v>979</v>
      </c>
      <c r="I1245" s="38" t="s">
        <v>424</v>
      </c>
      <c r="J1245" s="38" t="s">
        <v>947</v>
      </c>
      <c r="K1245" s="56">
        <v>0.6</v>
      </c>
      <c r="L1245" s="52" t="s">
        <v>213</v>
      </c>
      <c r="M1245" s="53" t="s">
        <v>213</v>
      </c>
    </row>
    <row r="1246" spans="1:13" x14ac:dyDescent="0.3">
      <c r="A1246" s="37">
        <v>27</v>
      </c>
      <c r="B1246" s="38" t="s">
        <v>976</v>
      </c>
      <c r="C1246" s="51">
        <v>7896261004900</v>
      </c>
      <c r="D1246" s="40" t="s">
        <v>70</v>
      </c>
      <c r="E1246" s="40"/>
      <c r="F1246" s="40">
        <v>249</v>
      </c>
      <c r="G1246" s="38"/>
      <c r="H1246" s="38" t="s">
        <v>960</v>
      </c>
      <c r="I1246" s="38" t="s">
        <v>311</v>
      </c>
      <c r="J1246" s="38" t="s">
        <v>947</v>
      </c>
      <c r="K1246" s="38" t="s">
        <v>950</v>
      </c>
      <c r="L1246" s="52" t="s">
        <v>213</v>
      </c>
      <c r="M1246" s="53" t="s">
        <v>213</v>
      </c>
    </row>
    <row r="1247" spans="1:13" x14ac:dyDescent="0.3">
      <c r="A1247" s="37">
        <v>27</v>
      </c>
      <c r="B1247" s="38" t="s">
        <v>976</v>
      </c>
      <c r="C1247" s="51">
        <v>7896261004900</v>
      </c>
      <c r="D1247" s="40" t="s">
        <v>70</v>
      </c>
      <c r="E1247" s="40"/>
      <c r="F1247" s="40">
        <v>262</v>
      </c>
      <c r="G1247" s="38"/>
      <c r="H1247" s="38" t="s">
        <v>961</v>
      </c>
      <c r="I1247" s="38" t="s">
        <v>424</v>
      </c>
      <c r="J1247" s="38" t="s">
        <v>947</v>
      </c>
      <c r="K1247" s="38">
        <v>58.7</v>
      </c>
      <c r="L1247" s="52" t="s">
        <v>213</v>
      </c>
      <c r="M1247" s="53" t="s">
        <v>213</v>
      </c>
    </row>
    <row r="1248" spans="1:13" x14ac:dyDescent="0.3">
      <c r="A1248" s="37">
        <v>27</v>
      </c>
      <c r="B1248" s="38" t="s">
        <v>976</v>
      </c>
      <c r="C1248" s="51">
        <v>7896261004900</v>
      </c>
      <c r="D1248" s="40" t="s">
        <v>70</v>
      </c>
      <c r="E1248" s="40"/>
      <c r="F1248" s="40">
        <v>301</v>
      </c>
      <c r="G1248" s="38"/>
      <c r="H1248" s="38" t="s">
        <v>963</v>
      </c>
      <c r="I1248" s="38" t="s">
        <v>311</v>
      </c>
      <c r="J1248" s="38" t="s">
        <v>947</v>
      </c>
      <c r="K1248" s="38" t="s">
        <v>950</v>
      </c>
      <c r="L1248" s="52" t="s">
        <v>213</v>
      </c>
      <c r="M1248" s="53" t="s">
        <v>213</v>
      </c>
    </row>
    <row r="1249" spans="1:13" x14ac:dyDescent="0.3">
      <c r="A1249" s="37">
        <v>27</v>
      </c>
      <c r="B1249" s="38" t="s">
        <v>976</v>
      </c>
      <c r="C1249" s="51">
        <v>7896261004900</v>
      </c>
      <c r="D1249" s="40" t="s">
        <v>70</v>
      </c>
      <c r="E1249" s="40"/>
      <c r="F1249" s="40">
        <v>334</v>
      </c>
      <c r="G1249" s="38"/>
      <c r="H1249" s="38" t="s">
        <v>980</v>
      </c>
      <c r="I1249" s="38" t="s">
        <v>311</v>
      </c>
      <c r="J1249" s="38" t="s">
        <v>947</v>
      </c>
      <c r="K1249" s="38" t="s">
        <v>981</v>
      </c>
      <c r="L1249" s="52" t="s">
        <v>213</v>
      </c>
      <c r="M1249" s="53" t="s">
        <v>213</v>
      </c>
    </row>
    <row r="1250" spans="1:13" x14ac:dyDescent="0.3">
      <c r="A1250" s="37">
        <v>27</v>
      </c>
      <c r="B1250" s="38" t="s">
        <v>982</v>
      </c>
      <c r="C1250" s="51">
        <v>7896261005198</v>
      </c>
      <c r="D1250" s="40" t="s">
        <v>70</v>
      </c>
      <c r="E1250" s="40"/>
      <c r="F1250" s="40">
        <v>129</v>
      </c>
      <c r="G1250" s="38"/>
      <c r="H1250" s="38" t="s">
        <v>931</v>
      </c>
      <c r="I1250" s="38" t="s">
        <v>311</v>
      </c>
      <c r="J1250" s="38" t="s">
        <v>947</v>
      </c>
      <c r="K1250" s="38" t="s">
        <v>933</v>
      </c>
      <c r="L1250" s="52" t="s">
        <v>213</v>
      </c>
      <c r="M1250" s="53" t="s">
        <v>213</v>
      </c>
    </row>
    <row r="1251" spans="1:13" x14ac:dyDescent="0.3">
      <c r="A1251" s="37">
        <v>27</v>
      </c>
      <c r="B1251" s="38" t="s">
        <v>983</v>
      </c>
      <c r="C1251" s="51">
        <v>7896261005259</v>
      </c>
      <c r="D1251" s="40" t="s">
        <v>70</v>
      </c>
      <c r="E1251" s="40"/>
      <c r="F1251" s="40">
        <v>293</v>
      </c>
      <c r="G1251" s="38"/>
      <c r="H1251" s="38" t="s">
        <v>984</v>
      </c>
      <c r="I1251" s="38" t="s">
        <v>424</v>
      </c>
      <c r="J1251" s="38" t="s">
        <v>985</v>
      </c>
      <c r="K1251" s="56">
        <v>0.2</v>
      </c>
      <c r="L1251" s="52" t="s">
        <v>213</v>
      </c>
      <c r="M1251" s="53" t="s">
        <v>213</v>
      </c>
    </row>
    <row r="1252" spans="1:13" x14ac:dyDescent="0.3">
      <c r="A1252" s="37">
        <v>27</v>
      </c>
      <c r="B1252" s="38" t="s">
        <v>986</v>
      </c>
      <c r="C1252" s="51">
        <v>7896261005266</v>
      </c>
      <c r="D1252" s="40" t="s">
        <v>70</v>
      </c>
      <c r="E1252" s="40"/>
      <c r="F1252" s="40">
        <v>91</v>
      </c>
      <c r="G1252" s="38"/>
      <c r="H1252" s="38" t="s">
        <v>987</v>
      </c>
      <c r="I1252" s="38" t="s">
        <v>424</v>
      </c>
      <c r="J1252" s="38" t="s">
        <v>985</v>
      </c>
      <c r="K1252" s="56">
        <v>0.2</v>
      </c>
      <c r="L1252" s="52" t="s">
        <v>213</v>
      </c>
      <c r="M1252" s="53" t="s">
        <v>213</v>
      </c>
    </row>
    <row r="1253" spans="1:13" x14ac:dyDescent="0.3">
      <c r="A1253" s="37">
        <v>27</v>
      </c>
      <c r="B1253" s="38" t="s">
        <v>986</v>
      </c>
      <c r="C1253" s="51">
        <v>7896261005266</v>
      </c>
      <c r="D1253" s="40" t="s">
        <v>70</v>
      </c>
      <c r="E1253" s="40"/>
      <c r="F1253" s="40">
        <v>258</v>
      </c>
      <c r="G1253" s="38"/>
      <c r="H1253" s="38" t="s">
        <v>988</v>
      </c>
      <c r="I1253" s="38" t="s">
        <v>424</v>
      </c>
      <c r="J1253" s="38" t="s">
        <v>985</v>
      </c>
      <c r="K1253" s="56">
        <v>0.2</v>
      </c>
      <c r="L1253" s="52" t="s">
        <v>213</v>
      </c>
      <c r="M1253" s="53" t="s">
        <v>213</v>
      </c>
    </row>
    <row r="1254" spans="1:13" x14ac:dyDescent="0.3">
      <c r="A1254" s="37">
        <v>27</v>
      </c>
      <c r="B1254" s="38" t="s">
        <v>986</v>
      </c>
      <c r="C1254" s="51">
        <v>7896261005266</v>
      </c>
      <c r="D1254" s="40" t="s">
        <v>70</v>
      </c>
      <c r="E1254" s="40"/>
      <c r="F1254" s="40">
        <v>293</v>
      </c>
      <c r="G1254" s="38"/>
      <c r="H1254" s="38" t="s">
        <v>984</v>
      </c>
      <c r="I1254" s="38" t="s">
        <v>424</v>
      </c>
      <c r="J1254" s="38" t="s">
        <v>985</v>
      </c>
      <c r="K1254" s="56">
        <v>0.2</v>
      </c>
      <c r="L1254" s="52" t="s">
        <v>213</v>
      </c>
      <c r="M1254" s="53" t="s">
        <v>213</v>
      </c>
    </row>
    <row r="1255" spans="1:13" x14ac:dyDescent="0.3">
      <c r="A1255" s="37">
        <v>27</v>
      </c>
      <c r="B1255" s="38" t="s">
        <v>989</v>
      </c>
      <c r="C1255" s="51">
        <v>7896261005372</v>
      </c>
      <c r="D1255" s="40" t="s">
        <v>70</v>
      </c>
      <c r="E1255" s="40"/>
      <c r="F1255" s="40">
        <v>210</v>
      </c>
      <c r="G1255" s="38"/>
      <c r="H1255" s="38" t="s">
        <v>936</v>
      </c>
      <c r="I1255" s="38" t="s">
        <v>311</v>
      </c>
      <c r="J1255" s="38" t="s">
        <v>937</v>
      </c>
      <c r="K1255" s="38" t="s">
        <v>990</v>
      </c>
      <c r="L1255" s="52" t="s">
        <v>213</v>
      </c>
      <c r="M1255" s="53" t="s">
        <v>213</v>
      </c>
    </row>
    <row r="1256" spans="1:13" x14ac:dyDescent="0.3">
      <c r="A1256" s="37">
        <v>27</v>
      </c>
      <c r="B1256" s="38" t="s">
        <v>989</v>
      </c>
      <c r="C1256" s="51">
        <v>7896261005372</v>
      </c>
      <c r="D1256" s="40" t="s">
        <v>70</v>
      </c>
      <c r="E1256" s="40"/>
      <c r="F1256" s="40">
        <v>407</v>
      </c>
      <c r="G1256" s="38"/>
      <c r="H1256" s="38" t="s">
        <v>991</v>
      </c>
      <c r="I1256" s="38" t="s">
        <v>424</v>
      </c>
      <c r="J1256" s="38" t="s">
        <v>937</v>
      </c>
      <c r="K1256" s="56">
        <v>0.45</v>
      </c>
      <c r="L1256" s="52" t="s">
        <v>213</v>
      </c>
      <c r="M1256" s="53" t="s">
        <v>213</v>
      </c>
    </row>
    <row r="1257" spans="1:13" x14ac:dyDescent="0.3">
      <c r="A1257" s="37">
        <v>27</v>
      </c>
      <c r="B1257" s="38" t="s">
        <v>992</v>
      </c>
      <c r="C1257" s="51">
        <v>7896261005570</v>
      </c>
      <c r="D1257" s="40" t="s">
        <v>70</v>
      </c>
      <c r="E1257" s="40"/>
      <c r="F1257" s="40">
        <v>343</v>
      </c>
      <c r="G1257" s="38"/>
      <c r="H1257" s="38" t="s">
        <v>993</v>
      </c>
      <c r="I1257" s="38" t="s">
        <v>424</v>
      </c>
      <c r="J1257" s="38" t="s">
        <v>947</v>
      </c>
      <c r="K1257" s="56">
        <v>0.23</v>
      </c>
      <c r="L1257" s="52" t="s">
        <v>213</v>
      </c>
      <c r="M1257" s="53" t="s">
        <v>213</v>
      </c>
    </row>
    <row r="1258" spans="1:13" x14ac:dyDescent="0.3">
      <c r="A1258" s="37">
        <v>27</v>
      </c>
      <c r="B1258" s="38" t="s">
        <v>994</v>
      </c>
      <c r="C1258" s="51">
        <v>7896261005587</v>
      </c>
      <c r="D1258" s="40" t="s">
        <v>70</v>
      </c>
      <c r="E1258" s="40"/>
      <c r="F1258" s="40">
        <v>151</v>
      </c>
      <c r="G1258" s="38"/>
      <c r="H1258" s="38" t="s">
        <v>995</v>
      </c>
      <c r="I1258" s="38" t="s">
        <v>424</v>
      </c>
      <c r="J1258" s="38">
        <v>0</v>
      </c>
      <c r="K1258" s="56">
        <v>0.5</v>
      </c>
      <c r="L1258" s="52" t="s">
        <v>213</v>
      </c>
      <c r="M1258" s="53" t="s">
        <v>213</v>
      </c>
    </row>
    <row r="1259" spans="1:13" x14ac:dyDescent="0.3">
      <c r="A1259" s="37">
        <v>27</v>
      </c>
      <c r="B1259" s="38" t="s">
        <v>994</v>
      </c>
      <c r="C1259" s="51">
        <v>7896261005587</v>
      </c>
      <c r="D1259" s="40" t="s">
        <v>70</v>
      </c>
      <c r="E1259" s="40"/>
      <c r="F1259" s="40">
        <v>343</v>
      </c>
      <c r="G1259" s="38"/>
      <c r="H1259" s="38" t="s">
        <v>993</v>
      </c>
      <c r="I1259" s="38" t="s">
        <v>424</v>
      </c>
      <c r="J1259" s="38" t="s">
        <v>947</v>
      </c>
      <c r="K1259" s="56">
        <v>0.23</v>
      </c>
      <c r="L1259" s="52" t="s">
        <v>213</v>
      </c>
      <c r="M1259" s="53" t="s">
        <v>213</v>
      </c>
    </row>
    <row r="1260" spans="1:13" x14ac:dyDescent="0.3">
      <c r="A1260" s="37">
        <v>27</v>
      </c>
      <c r="B1260" s="38" t="s">
        <v>996</v>
      </c>
      <c r="C1260" s="51">
        <v>7896261005747</v>
      </c>
      <c r="D1260" s="40" t="s">
        <v>70</v>
      </c>
      <c r="E1260" s="40"/>
      <c r="F1260" s="40">
        <v>129</v>
      </c>
      <c r="G1260" s="38"/>
      <c r="H1260" s="38" t="s">
        <v>931</v>
      </c>
      <c r="I1260" s="38" t="s">
        <v>311</v>
      </c>
      <c r="J1260" s="38" t="s">
        <v>947</v>
      </c>
      <c r="K1260" s="38" t="s">
        <v>933</v>
      </c>
      <c r="L1260" s="52" t="s">
        <v>213</v>
      </c>
      <c r="M1260" s="53" t="s">
        <v>213</v>
      </c>
    </row>
    <row r="1261" spans="1:13" x14ac:dyDescent="0.3">
      <c r="A1261" s="37">
        <v>27</v>
      </c>
      <c r="B1261" s="38" t="s">
        <v>996</v>
      </c>
      <c r="C1261" s="51">
        <v>7896261005747</v>
      </c>
      <c r="D1261" s="40" t="s">
        <v>70</v>
      </c>
      <c r="E1261" s="40"/>
      <c r="F1261" s="40">
        <v>446</v>
      </c>
      <c r="G1261" s="38"/>
      <c r="H1261" s="38" t="s">
        <v>997</v>
      </c>
      <c r="I1261" s="38" t="s">
        <v>311</v>
      </c>
      <c r="J1261" s="38" t="s">
        <v>937</v>
      </c>
      <c r="K1261" s="38" t="s">
        <v>998</v>
      </c>
      <c r="L1261" s="52" t="s">
        <v>213</v>
      </c>
      <c r="M1261" s="53" t="s">
        <v>213</v>
      </c>
    </row>
    <row r="1262" spans="1:13" x14ac:dyDescent="0.3">
      <c r="A1262" s="37">
        <v>27</v>
      </c>
      <c r="B1262" s="38" t="s">
        <v>999</v>
      </c>
      <c r="C1262" s="51">
        <v>7896261005860</v>
      </c>
      <c r="D1262" s="40" t="s">
        <v>70</v>
      </c>
      <c r="E1262" s="40"/>
      <c r="F1262" s="40">
        <v>94</v>
      </c>
      <c r="G1262" s="38"/>
      <c r="H1262" s="38" t="s">
        <v>940</v>
      </c>
      <c r="I1262" s="38" t="s">
        <v>311</v>
      </c>
      <c r="J1262" s="38">
        <v>0</v>
      </c>
      <c r="K1262" s="38" t="s">
        <v>1000</v>
      </c>
      <c r="L1262" s="52" t="s">
        <v>213</v>
      </c>
      <c r="M1262" s="53" t="s">
        <v>213</v>
      </c>
    </row>
    <row r="1263" spans="1:13" x14ac:dyDescent="0.3">
      <c r="A1263" s="37">
        <v>27</v>
      </c>
      <c r="B1263" s="38" t="s">
        <v>999</v>
      </c>
      <c r="C1263" s="51">
        <v>7896261005860</v>
      </c>
      <c r="D1263" s="40" t="s">
        <v>70</v>
      </c>
      <c r="E1263" s="40"/>
      <c r="F1263" s="40">
        <v>159</v>
      </c>
      <c r="G1263" s="38"/>
      <c r="H1263" s="38" t="s">
        <v>942</v>
      </c>
      <c r="I1263" s="38" t="s">
        <v>311</v>
      </c>
      <c r="J1263" s="38">
        <v>0</v>
      </c>
      <c r="K1263" s="38" t="s">
        <v>1001</v>
      </c>
      <c r="L1263" s="52" t="s">
        <v>213</v>
      </c>
      <c r="M1263" s="53" t="s">
        <v>213</v>
      </c>
    </row>
    <row r="1264" spans="1:13" x14ac:dyDescent="0.3">
      <c r="A1264" s="37">
        <v>27</v>
      </c>
      <c r="B1264" s="38" t="s">
        <v>999</v>
      </c>
      <c r="C1264" s="51">
        <v>7896261005860</v>
      </c>
      <c r="D1264" s="40" t="s">
        <v>70</v>
      </c>
      <c r="E1264" s="40"/>
      <c r="F1264" s="40">
        <v>164</v>
      </c>
      <c r="G1264" s="38"/>
      <c r="H1264" s="38" t="s">
        <v>944</v>
      </c>
      <c r="I1264" s="38" t="s">
        <v>311</v>
      </c>
      <c r="J1264" s="38">
        <v>0</v>
      </c>
      <c r="K1264" s="38" t="s">
        <v>1001</v>
      </c>
      <c r="L1264" s="52" t="s">
        <v>213</v>
      </c>
      <c r="M1264" s="53" t="s">
        <v>213</v>
      </c>
    </row>
    <row r="1265" spans="1:13" x14ac:dyDescent="0.3">
      <c r="A1265" s="37">
        <v>27</v>
      </c>
      <c r="B1265" s="38" t="s">
        <v>999</v>
      </c>
      <c r="C1265" s="51">
        <v>7896261005860</v>
      </c>
      <c r="D1265" s="40" t="s">
        <v>70</v>
      </c>
      <c r="E1265" s="40"/>
      <c r="F1265" s="40">
        <v>174</v>
      </c>
      <c r="G1265" s="38"/>
      <c r="H1265" s="38" t="s">
        <v>945</v>
      </c>
      <c r="I1265" s="38" t="s">
        <v>311</v>
      </c>
      <c r="J1265" s="38">
        <v>0</v>
      </c>
      <c r="K1265" s="38" t="s">
        <v>1001</v>
      </c>
      <c r="L1265" s="52" t="s">
        <v>213</v>
      </c>
      <c r="M1265" s="53" t="s">
        <v>213</v>
      </c>
    </row>
    <row r="1266" spans="1:13" x14ac:dyDescent="0.3">
      <c r="A1266" s="37">
        <v>27</v>
      </c>
      <c r="B1266" s="38" t="s">
        <v>999</v>
      </c>
      <c r="C1266" s="51">
        <v>7896261005860</v>
      </c>
      <c r="D1266" s="40" t="s">
        <v>70</v>
      </c>
      <c r="E1266" s="40"/>
      <c r="F1266" s="40">
        <v>178</v>
      </c>
      <c r="G1266" s="38"/>
      <c r="H1266" s="38" t="s">
        <v>946</v>
      </c>
      <c r="I1266" s="38" t="s">
        <v>424</v>
      </c>
      <c r="J1266" s="38" t="s">
        <v>947</v>
      </c>
      <c r="K1266" s="56">
        <v>0.57999999999999996</v>
      </c>
      <c r="L1266" s="52" t="s">
        <v>213</v>
      </c>
      <c r="M1266" s="53" t="s">
        <v>213</v>
      </c>
    </row>
    <row r="1267" spans="1:13" x14ac:dyDescent="0.3">
      <c r="A1267" s="37">
        <v>27</v>
      </c>
      <c r="B1267" s="38" t="s">
        <v>999</v>
      </c>
      <c r="C1267" s="51">
        <v>7896261005860</v>
      </c>
      <c r="D1267" s="40" t="s">
        <v>70</v>
      </c>
      <c r="E1267" s="40"/>
      <c r="F1267" s="40">
        <v>179</v>
      </c>
      <c r="G1267" s="38"/>
      <c r="H1267" s="38" t="s">
        <v>948</v>
      </c>
      <c r="I1267" s="38" t="s">
        <v>424</v>
      </c>
      <c r="J1267" s="38" t="s">
        <v>947</v>
      </c>
      <c r="K1267" s="56">
        <v>0.68</v>
      </c>
      <c r="L1267" s="52" t="s">
        <v>213</v>
      </c>
      <c r="M1267" s="53" t="s">
        <v>213</v>
      </c>
    </row>
    <row r="1268" spans="1:13" x14ac:dyDescent="0.3">
      <c r="A1268" s="37">
        <v>27</v>
      </c>
      <c r="B1268" s="38" t="s">
        <v>999</v>
      </c>
      <c r="C1268" s="51">
        <v>7896261005860</v>
      </c>
      <c r="D1268" s="40" t="s">
        <v>70</v>
      </c>
      <c r="E1268" s="40"/>
      <c r="F1268" s="40">
        <v>196</v>
      </c>
      <c r="G1268" s="38"/>
      <c r="H1268" s="38" t="s">
        <v>949</v>
      </c>
      <c r="I1268" s="38" t="s">
        <v>311</v>
      </c>
      <c r="J1268" s="38" t="s">
        <v>947</v>
      </c>
      <c r="K1268" s="38" t="s">
        <v>1002</v>
      </c>
      <c r="L1268" s="52" t="s">
        <v>213</v>
      </c>
      <c r="M1268" s="53" t="s">
        <v>213</v>
      </c>
    </row>
    <row r="1269" spans="1:13" x14ac:dyDescent="0.3">
      <c r="A1269" s="37">
        <v>27</v>
      </c>
      <c r="B1269" s="38" t="s">
        <v>999</v>
      </c>
      <c r="C1269" s="51">
        <v>7896261005860</v>
      </c>
      <c r="D1269" s="40" t="s">
        <v>70</v>
      </c>
      <c r="E1269" s="40"/>
      <c r="F1269" s="40">
        <v>197</v>
      </c>
      <c r="G1269" s="38"/>
      <c r="H1269" s="38" t="s">
        <v>951</v>
      </c>
      <c r="I1269" s="38" t="s">
        <v>311</v>
      </c>
      <c r="J1269" s="38" t="s">
        <v>947</v>
      </c>
      <c r="K1269" s="38" t="s">
        <v>1002</v>
      </c>
      <c r="L1269" s="52" t="s">
        <v>213</v>
      </c>
      <c r="M1269" s="53" t="s">
        <v>213</v>
      </c>
    </row>
    <row r="1270" spans="1:13" x14ac:dyDescent="0.3">
      <c r="A1270" s="37">
        <v>27</v>
      </c>
      <c r="B1270" s="38" t="s">
        <v>999</v>
      </c>
      <c r="C1270" s="51">
        <v>7896261005860</v>
      </c>
      <c r="D1270" s="40" t="s">
        <v>70</v>
      </c>
      <c r="E1270" s="40"/>
      <c r="F1270" s="40">
        <v>198</v>
      </c>
      <c r="G1270" s="38"/>
      <c r="H1270" s="38" t="s">
        <v>952</v>
      </c>
      <c r="I1270" s="38" t="s">
        <v>311</v>
      </c>
      <c r="J1270" s="38" t="s">
        <v>947</v>
      </c>
      <c r="K1270" s="38" t="s">
        <v>1002</v>
      </c>
      <c r="L1270" s="52" t="s">
        <v>213</v>
      </c>
      <c r="M1270" s="53" t="s">
        <v>213</v>
      </c>
    </row>
    <row r="1271" spans="1:13" x14ac:dyDescent="0.3">
      <c r="A1271" s="37">
        <v>27</v>
      </c>
      <c r="B1271" s="38" t="s">
        <v>999</v>
      </c>
      <c r="C1271" s="51">
        <v>7896261005860</v>
      </c>
      <c r="D1271" s="40" t="s">
        <v>70</v>
      </c>
      <c r="E1271" s="40"/>
      <c r="F1271" s="40">
        <v>199</v>
      </c>
      <c r="G1271" s="38"/>
      <c r="H1271" s="38" t="s">
        <v>953</v>
      </c>
      <c r="I1271" s="38" t="s">
        <v>311</v>
      </c>
      <c r="J1271" s="38" t="s">
        <v>947</v>
      </c>
      <c r="K1271" s="38" t="s">
        <v>1002</v>
      </c>
      <c r="L1271" s="52" t="s">
        <v>213</v>
      </c>
      <c r="M1271" s="53" t="s">
        <v>213</v>
      </c>
    </row>
    <row r="1272" spans="1:13" x14ac:dyDescent="0.3">
      <c r="A1272" s="37">
        <v>27</v>
      </c>
      <c r="B1272" s="38" t="s">
        <v>999</v>
      </c>
      <c r="C1272" s="51">
        <v>7896261005860</v>
      </c>
      <c r="D1272" s="40" t="s">
        <v>70</v>
      </c>
      <c r="E1272" s="40"/>
      <c r="F1272" s="40">
        <v>200</v>
      </c>
      <c r="G1272" s="38"/>
      <c r="H1272" s="38" t="s">
        <v>954</v>
      </c>
      <c r="I1272" s="38" t="s">
        <v>311</v>
      </c>
      <c r="J1272" s="38" t="s">
        <v>947</v>
      </c>
      <c r="K1272" s="38" t="s">
        <v>1002</v>
      </c>
      <c r="L1272" s="52" t="s">
        <v>213</v>
      </c>
      <c r="M1272" s="53" t="s">
        <v>213</v>
      </c>
    </row>
    <row r="1273" spans="1:13" x14ac:dyDescent="0.3">
      <c r="A1273" s="37">
        <v>27</v>
      </c>
      <c r="B1273" s="38" t="s">
        <v>999</v>
      </c>
      <c r="C1273" s="51">
        <v>7896261005860</v>
      </c>
      <c r="D1273" s="40" t="s">
        <v>70</v>
      </c>
      <c r="E1273" s="40"/>
      <c r="F1273" s="40">
        <v>215</v>
      </c>
      <c r="G1273" s="38"/>
      <c r="H1273" s="38" t="s">
        <v>955</v>
      </c>
      <c r="I1273" s="38" t="s">
        <v>311</v>
      </c>
      <c r="J1273" s="38" t="s">
        <v>947</v>
      </c>
      <c r="K1273" s="38" t="s">
        <v>1002</v>
      </c>
      <c r="L1273" s="52" t="s">
        <v>213</v>
      </c>
      <c r="M1273" s="53" t="s">
        <v>213</v>
      </c>
    </row>
    <row r="1274" spans="1:13" x14ac:dyDescent="0.3">
      <c r="A1274" s="37">
        <v>27</v>
      </c>
      <c r="B1274" s="38" t="s">
        <v>999</v>
      </c>
      <c r="C1274" s="51">
        <v>7896261005860</v>
      </c>
      <c r="D1274" s="40" t="s">
        <v>70</v>
      </c>
      <c r="E1274" s="40"/>
      <c r="F1274" s="40">
        <v>217</v>
      </c>
      <c r="G1274" s="38"/>
      <c r="H1274" s="38" t="s">
        <v>956</v>
      </c>
      <c r="I1274" s="38" t="s">
        <v>311</v>
      </c>
      <c r="J1274" s="38" t="s">
        <v>947</v>
      </c>
      <c r="K1274" s="38" t="s">
        <v>1002</v>
      </c>
      <c r="L1274" s="52" t="s">
        <v>213</v>
      </c>
      <c r="M1274" s="53" t="s">
        <v>213</v>
      </c>
    </row>
    <row r="1275" spans="1:13" x14ac:dyDescent="0.3">
      <c r="A1275" s="37">
        <v>27</v>
      </c>
      <c r="B1275" s="38" t="s">
        <v>999</v>
      </c>
      <c r="C1275" s="51">
        <v>7896261005860</v>
      </c>
      <c r="D1275" s="40" t="s">
        <v>70</v>
      </c>
      <c r="E1275" s="40"/>
      <c r="F1275" s="40">
        <v>219</v>
      </c>
      <c r="G1275" s="38"/>
      <c r="H1275" s="38" t="s">
        <v>957</v>
      </c>
      <c r="I1275" s="38" t="s">
        <v>311</v>
      </c>
      <c r="J1275" s="38" t="s">
        <v>947</v>
      </c>
      <c r="K1275" s="38" t="s">
        <v>1002</v>
      </c>
      <c r="L1275" s="52" t="s">
        <v>213</v>
      </c>
      <c r="M1275" s="53" t="s">
        <v>213</v>
      </c>
    </row>
    <row r="1276" spans="1:13" x14ac:dyDescent="0.3">
      <c r="A1276" s="37">
        <v>27</v>
      </c>
      <c r="B1276" s="38" t="s">
        <v>999</v>
      </c>
      <c r="C1276" s="51">
        <v>7896261005860</v>
      </c>
      <c r="D1276" s="40" t="s">
        <v>70</v>
      </c>
      <c r="E1276" s="40"/>
      <c r="F1276" s="40">
        <v>228</v>
      </c>
      <c r="G1276" s="38"/>
      <c r="H1276" s="38" t="s">
        <v>958</v>
      </c>
      <c r="I1276" s="38" t="s">
        <v>311</v>
      </c>
      <c r="J1276" s="38" t="s">
        <v>947</v>
      </c>
      <c r="K1276" s="38" t="s">
        <v>1002</v>
      </c>
      <c r="L1276" s="52" t="s">
        <v>213</v>
      </c>
      <c r="M1276" s="53" t="s">
        <v>213</v>
      </c>
    </row>
    <row r="1277" spans="1:13" x14ac:dyDescent="0.3">
      <c r="A1277" s="37">
        <v>27</v>
      </c>
      <c r="B1277" s="38" t="s">
        <v>999</v>
      </c>
      <c r="C1277" s="51">
        <v>7896261005860</v>
      </c>
      <c r="D1277" s="40" t="s">
        <v>70</v>
      </c>
      <c r="E1277" s="40"/>
      <c r="F1277" s="40">
        <v>229</v>
      </c>
      <c r="G1277" s="38"/>
      <c r="H1277" s="38" t="s">
        <v>959</v>
      </c>
      <c r="I1277" s="38" t="s">
        <v>311</v>
      </c>
      <c r="J1277" s="38" t="s">
        <v>947</v>
      </c>
      <c r="K1277" s="38" t="s">
        <v>1002</v>
      </c>
      <c r="L1277" s="52" t="s">
        <v>213</v>
      </c>
      <c r="M1277" s="53" t="s">
        <v>213</v>
      </c>
    </row>
    <row r="1278" spans="1:13" x14ac:dyDescent="0.3">
      <c r="A1278" s="37">
        <v>27</v>
      </c>
      <c r="B1278" s="38" t="s">
        <v>999</v>
      </c>
      <c r="C1278" s="51">
        <v>7896261005860</v>
      </c>
      <c r="D1278" s="40" t="s">
        <v>70</v>
      </c>
      <c r="E1278" s="40"/>
      <c r="F1278" s="40">
        <v>247</v>
      </c>
      <c r="G1278" s="38"/>
      <c r="H1278" s="38" t="s">
        <v>979</v>
      </c>
      <c r="I1278" s="38" t="s">
        <v>424</v>
      </c>
      <c r="J1278" s="38" t="s">
        <v>947</v>
      </c>
      <c r="K1278" s="56">
        <v>0.59</v>
      </c>
      <c r="L1278" s="52" t="s">
        <v>213</v>
      </c>
      <c r="M1278" s="53" t="s">
        <v>213</v>
      </c>
    </row>
    <row r="1279" spans="1:13" x14ac:dyDescent="0.3">
      <c r="A1279" s="37">
        <v>27</v>
      </c>
      <c r="B1279" s="38" t="s">
        <v>999</v>
      </c>
      <c r="C1279" s="51">
        <v>7896261005860</v>
      </c>
      <c r="D1279" s="40" t="s">
        <v>70</v>
      </c>
      <c r="E1279" s="40"/>
      <c r="F1279" s="40">
        <v>249</v>
      </c>
      <c r="G1279" s="38"/>
      <c r="H1279" s="38" t="s">
        <v>960</v>
      </c>
      <c r="I1279" s="38" t="s">
        <v>311</v>
      </c>
      <c r="J1279" s="38" t="s">
        <v>947</v>
      </c>
      <c r="K1279" s="38" t="s">
        <v>1002</v>
      </c>
      <c r="L1279" s="52" t="s">
        <v>213</v>
      </c>
      <c r="M1279" s="53" t="s">
        <v>213</v>
      </c>
    </row>
    <row r="1280" spans="1:13" x14ac:dyDescent="0.3">
      <c r="A1280" s="37">
        <v>27</v>
      </c>
      <c r="B1280" s="38" t="s">
        <v>999</v>
      </c>
      <c r="C1280" s="51">
        <v>7896261005860</v>
      </c>
      <c r="D1280" s="40" t="s">
        <v>70</v>
      </c>
      <c r="E1280" s="40"/>
      <c r="F1280" s="40">
        <v>255</v>
      </c>
      <c r="G1280" s="38"/>
      <c r="H1280" s="38" t="s">
        <v>1003</v>
      </c>
      <c r="I1280" s="38" t="s">
        <v>424</v>
      </c>
      <c r="J1280" s="38" t="s">
        <v>947</v>
      </c>
      <c r="K1280" s="56">
        <v>0.66869999999999996</v>
      </c>
      <c r="L1280" s="52" t="s">
        <v>213</v>
      </c>
      <c r="M1280" s="53" t="s">
        <v>213</v>
      </c>
    </row>
    <row r="1281" spans="1:13" x14ac:dyDescent="0.3">
      <c r="A1281" s="37">
        <v>27</v>
      </c>
      <c r="B1281" s="38" t="s">
        <v>999</v>
      </c>
      <c r="C1281" s="51">
        <v>7896261005860</v>
      </c>
      <c r="D1281" s="40" t="s">
        <v>70</v>
      </c>
      <c r="E1281" s="40"/>
      <c r="F1281" s="40">
        <v>262</v>
      </c>
      <c r="G1281" s="38"/>
      <c r="H1281" s="38" t="s">
        <v>961</v>
      </c>
      <c r="I1281" s="38" t="s">
        <v>424</v>
      </c>
      <c r="J1281" s="38" t="s">
        <v>947</v>
      </c>
      <c r="K1281" s="56">
        <v>0.57999999999999996</v>
      </c>
      <c r="L1281" s="52" t="s">
        <v>213</v>
      </c>
      <c r="M1281" s="53" t="s">
        <v>213</v>
      </c>
    </row>
    <row r="1282" spans="1:13" x14ac:dyDescent="0.3">
      <c r="A1282" s="37">
        <v>27</v>
      </c>
      <c r="B1282" s="38" t="s">
        <v>999</v>
      </c>
      <c r="C1282" s="51">
        <v>7896261005860</v>
      </c>
      <c r="D1282" s="40" t="s">
        <v>70</v>
      </c>
      <c r="E1282" s="40"/>
      <c r="F1282" s="40">
        <v>301</v>
      </c>
      <c r="G1282" s="38"/>
      <c r="H1282" s="38" t="s">
        <v>963</v>
      </c>
      <c r="I1282" s="38" t="s">
        <v>311</v>
      </c>
      <c r="J1282" s="38" t="s">
        <v>947</v>
      </c>
      <c r="K1282" s="38" t="s">
        <v>1002</v>
      </c>
      <c r="L1282" s="52" t="s">
        <v>213</v>
      </c>
      <c r="M1282" s="53" t="s">
        <v>213</v>
      </c>
    </row>
    <row r="1283" spans="1:13" x14ac:dyDescent="0.3">
      <c r="A1283" s="37">
        <v>27</v>
      </c>
      <c r="B1283" s="38" t="s">
        <v>999</v>
      </c>
      <c r="C1283" s="51">
        <v>7896261005860</v>
      </c>
      <c r="D1283" s="40" t="s">
        <v>70</v>
      </c>
      <c r="E1283" s="40"/>
      <c r="F1283" s="40">
        <v>334</v>
      </c>
      <c r="G1283" s="38"/>
      <c r="H1283" s="38" t="s">
        <v>980</v>
      </c>
      <c r="I1283" s="38" t="s">
        <v>311</v>
      </c>
      <c r="J1283" s="38" t="s">
        <v>947</v>
      </c>
      <c r="K1283" s="38" t="s">
        <v>1004</v>
      </c>
      <c r="L1283" s="52" t="s">
        <v>213</v>
      </c>
      <c r="M1283" s="53" t="s">
        <v>213</v>
      </c>
    </row>
    <row r="1284" spans="1:13" x14ac:dyDescent="0.3">
      <c r="A1284" s="37">
        <v>27</v>
      </c>
      <c r="B1284" s="38" t="s">
        <v>999</v>
      </c>
      <c r="C1284" s="51">
        <v>7896261005860</v>
      </c>
      <c r="D1284" s="40" t="s">
        <v>70</v>
      </c>
      <c r="E1284" s="40"/>
      <c r="F1284" s="40">
        <v>421</v>
      </c>
      <c r="G1284" s="38"/>
      <c r="H1284" s="38" t="s">
        <v>1005</v>
      </c>
      <c r="I1284" s="38" t="s">
        <v>311</v>
      </c>
      <c r="J1284" s="38" t="s">
        <v>947</v>
      </c>
      <c r="K1284" s="38" t="s">
        <v>1006</v>
      </c>
      <c r="L1284" s="52" t="s">
        <v>213</v>
      </c>
      <c r="M1284" s="53" t="s">
        <v>213</v>
      </c>
    </row>
    <row r="1285" spans="1:13" x14ac:dyDescent="0.3">
      <c r="A1285" s="37">
        <v>27</v>
      </c>
      <c r="B1285" s="38" t="s">
        <v>1007</v>
      </c>
      <c r="C1285" s="51">
        <v>7896261005884</v>
      </c>
      <c r="D1285" s="40" t="s">
        <v>70</v>
      </c>
      <c r="E1285" s="40"/>
      <c r="F1285" s="40">
        <v>94</v>
      </c>
      <c r="G1285" s="38"/>
      <c r="H1285" s="38" t="s">
        <v>940</v>
      </c>
      <c r="I1285" s="38" t="s">
        <v>311</v>
      </c>
      <c r="J1285" s="38">
        <v>0</v>
      </c>
      <c r="K1285" s="38" t="s">
        <v>1000</v>
      </c>
      <c r="L1285" s="52" t="s">
        <v>213</v>
      </c>
      <c r="M1285" s="53" t="s">
        <v>213</v>
      </c>
    </row>
    <row r="1286" spans="1:13" x14ac:dyDescent="0.3">
      <c r="A1286" s="37">
        <v>27</v>
      </c>
      <c r="B1286" s="38" t="s">
        <v>1008</v>
      </c>
      <c r="C1286" s="51">
        <v>7896261005884</v>
      </c>
      <c r="D1286" s="40" t="s">
        <v>70</v>
      </c>
      <c r="E1286" s="40"/>
      <c r="F1286" s="40">
        <v>94</v>
      </c>
      <c r="G1286" s="38"/>
      <c r="H1286" s="38" t="s">
        <v>940</v>
      </c>
      <c r="I1286" s="38" t="s">
        <v>311</v>
      </c>
      <c r="J1286" s="38">
        <v>0</v>
      </c>
      <c r="K1286" s="38" t="s">
        <v>1000</v>
      </c>
      <c r="L1286" s="52" t="s">
        <v>213</v>
      </c>
      <c r="M1286" s="53" t="s">
        <v>213</v>
      </c>
    </row>
    <row r="1287" spans="1:13" x14ac:dyDescent="0.3">
      <c r="A1287" s="37">
        <v>27</v>
      </c>
      <c r="B1287" s="38" t="s">
        <v>1007</v>
      </c>
      <c r="C1287" s="51">
        <v>7896261005884</v>
      </c>
      <c r="D1287" s="40" t="s">
        <v>70</v>
      </c>
      <c r="E1287" s="40"/>
      <c r="F1287" s="40">
        <v>159</v>
      </c>
      <c r="G1287" s="38"/>
      <c r="H1287" s="38" t="s">
        <v>942</v>
      </c>
      <c r="I1287" s="38" t="s">
        <v>311</v>
      </c>
      <c r="J1287" s="38">
        <v>0</v>
      </c>
      <c r="K1287" s="38" t="s">
        <v>1001</v>
      </c>
      <c r="L1287" s="52" t="s">
        <v>213</v>
      </c>
      <c r="M1287" s="53" t="s">
        <v>213</v>
      </c>
    </row>
    <row r="1288" spans="1:13" x14ac:dyDescent="0.3">
      <c r="A1288" s="37">
        <v>27</v>
      </c>
      <c r="B1288" s="38" t="s">
        <v>1008</v>
      </c>
      <c r="C1288" s="51">
        <v>7896261005884</v>
      </c>
      <c r="D1288" s="40" t="s">
        <v>70</v>
      </c>
      <c r="E1288" s="40"/>
      <c r="F1288" s="40">
        <v>159</v>
      </c>
      <c r="G1288" s="38"/>
      <c r="H1288" s="38" t="s">
        <v>942</v>
      </c>
      <c r="I1288" s="38" t="s">
        <v>311</v>
      </c>
      <c r="J1288" s="38">
        <v>0</v>
      </c>
      <c r="K1288" s="38" t="s">
        <v>1001</v>
      </c>
      <c r="L1288" s="52" t="s">
        <v>213</v>
      </c>
      <c r="M1288" s="53" t="s">
        <v>213</v>
      </c>
    </row>
    <row r="1289" spans="1:13" x14ac:dyDescent="0.3">
      <c r="A1289" s="37">
        <v>27</v>
      </c>
      <c r="B1289" s="38" t="s">
        <v>1007</v>
      </c>
      <c r="C1289" s="51">
        <v>7896261005884</v>
      </c>
      <c r="D1289" s="40" t="s">
        <v>70</v>
      </c>
      <c r="E1289" s="40"/>
      <c r="F1289" s="40">
        <v>164</v>
      </c>
      <c r="G1289" s="38"/>
      <c r="H1289" s="38" t="s">
        <v>944</v>
      </c>
      <c r="I1289" s="38" t="s">
        <v>311</v>
      </c>
      <c r="J1289" s="38">
        <v>0</v>
      </c>
      <c r="K1289" s="38" t="s">
        <v>1001</v>
      </c>
      <c r="L1289" s="52" t="s">
        <v>213</v>
      </c>
      <c r="M1289" s="53" t="s">
        <v>213</v>
      </c>
    </row>
    <row r="1290" spans="1:13" x14ac:dyDescent="0.3">
      <c r="A1290" s="37">
        <v>27</v>
      </c>
      <c r="B1290" s="38" t="s">
        <v>1008</v>
      </c>
      <c r="C1290" s="51">
        <v>7896261005884</v>
      </c>
      <c r="D1290" s="40" t="s">
        <v>70</v>
      </c>
      <c r="E1290" s="40"/>
      <c r="F1290" s="40">
        <v>164</v>
      </c>
      <c r="G1290" s="38"/>
      <c r="H1290" s="38" t="s">
        <v>944</v>
      </c>
      <c r="I1290" s="38" t="s">
        <v>311</v>
      </c>
      <c r="J1290" s="38">
        <v>0</v>
      </c>
      <c r="K1290" s="38" t="s">
        <v>1001</v>
      </c>
      <c r="L1290" s="52" t="s">
        <v>213</v>
      </c>
      <c r="M1290" s="53" t="s">
        <v>213</v>
      </c>
    </row>
    <row r="1291" spans="1:13" x14ac:dyDescent="0.3">
      <c r="A1291" s="37">
        <v>27</v>
      </c>
      <c r="B1291" s="38" t="s">
        <v>1007</v>
      </c>
      <c r="C1291" s="51">
        <v>7896261005884</v>
      </c>
      <c r="D1291" s="40" t="s">
        <v>70</v>
      </c>
      <c r="E1291" s="40"/>
      <c r="F1291" s="40">
        <v>174</v>
      </c>
      <c r="G1291" s="38"/>
      <c r="H1291" s="38" t="s">
        <v>945</v>
      </c>
      <c r="I1291" s="38" t="s">
        <v>311</v>
      </c>
      <c r="J1291" s="38">
        <v>0</v>
      </c>
      <c r="K1291" s="38" t="s">
        <v>1001</v>
      </c>
      <c r="L1291" s="52" t="s">
        <v>213</v>
      </c>
      <c r="M1291" s="53" t="s">
        <v>213</v>
      </c>
    </row>
    <row r="1292" spans="1:13" x14ac:dyDescent="0.3">
      <c r="A1292" s="37">
        <v>27</v>
      </c>
      <c r="B1292" s="38" t="s">
        <v>1008</v>
      </c>
      <c r="C1292" s="51">
        <v>7896261005884</v>
      </c>
      <c r="D1292" s="40" t="s">
        <v>70</v>
      </c>
      <c r="E1292" s="40"/>
      <c r="F1292" s="40">
        <v>174</v>
      </c>
      <c r="G1292" s="38"/>
      <c r="H1292" s="38" t="s">
        <v>945</v>
      </c>
      <c r="I1292" s="38" t="s">
        <v>311</v>
      </c>
      <c r="J1292" s="38">
        <v>0</v>
      </c>
      <c r="K1292" s="38" t="s">
        <v>1001</v>
      </c>
      <c r="L1292" s="52" t="s">
        <v>213</v>
      </c>
      <c r="M1292" s="53" t="s">
        <v>213</v>
      </c>
    </row>
    <row r="1293" spans="1:13" x14ac:dyDescent="0.3">
      <c r="A1293" s="37">
        <v>27</v>
      </c>
      <c r="B1293" s="38" t="s">
        <v>1007</v>
      </c>
      <c r="C1293" s="51">
        <v>7896261005884</v>
      </c>
      <c r="D1293" s="40" t="s">
        <v>70</v>
      </c>
      <c r="E1293" s="40"/>
      <c r="F1293" s="40">
        <v>178</v>
      </c>
      <c r="G1293" s="38"/>
      <c r="H1293" s="38" t="s">
        <v>946</v>
      </c>
      <c r="I1293" s="38" t="s">
        <v>424</v>
      </c>
      <c r="J1293" s="38" t="s">
        <v>947</v>
      </c>
      <c r="K1293" s="56">
        <v>0.57999999999999996</v>
      </c>
      <c r="L1293" s="52" t="s">
        <v>213</v>
      </c>
      <c r="M1293" s="53" t="s">
        <v>213</v>
      </c>
    </row>
    <row r="1294" spans="1:13" x14ac:dyDescent="0.3">
      <c r="A1294" s="37">
        <v>27</v>
      </c>
      <c r="B1294" s="38" t="s">
        <v>1008</v>
      </c>
      <c r="C1294" s="51">
        <v>7896261005884</v>
      </c>
      <c r="D1294" s="40" t="s">
        <v>70</v>
      </c>
      <c r="E1294" s="40"/>
      <c r="F1294" s="40">
        <v>178</v>
      </c>
      <c r="G1294" s="38"/>
      <c r="H1294" s="38" t="s">
        <v>946</v>
      </c>
      <c r="I1294" s="38" t="s">
        <v>424</v>
      </c>
      <c r="J1294" s="38" t="s">
        <v>947</v>
      </c>
      <c r="K1294" s="56">
        <v>0.57999999999999996</v>
      </c>
      <c r="L1294" s="52" t="s">
        <v>213</v>
      </c>
      <c r="M1294" s="53" t="s">
        <v>213</v>
      </c>
    </row>
    <row r="1295" spans="1:13" x14ac:dyDescent="0.3">
      <c r="A1295" s="37">
        <v>27</v>
      </c>
      <c r="B1295" s="38" t="s">
        <v>1007</v>
      </c>
      <c r="C1295" s="51">
        <v>7896261005884</v>
      </c>
      <c r="D1295" s="40" t="s">
        <v>70</v>
      </c>
      <c r="E1295" s="40"/>
      <c r="F1295" s="40">
        <v>179</v>
      </c>
      <c r="G1295" s="38"/>
      <c r="H1295" s="38" t="s">
        <v>948</v>
      </c>
      <c r="I1295" s="38" t="s">
        <v>424</v>
      </c>
      <c r="J1295" s="38" t="s">
        <v>947</v>
      </c>
      <c r="K1295" s="56">
        <v>0.68</v>
      </c>
      <c r="L1295" s="52" t="s">
        <v>213</v>
      </c>
      <c r="M1295" s="53" t="s">
        <v>213</v>
      </c>
    </row>
    <row r="1296" spans="1:13" x14ac:dyDescent="0.3">
      <c r="A1296" s="37">
        <v>27</v>
      </c>
      <c r="B1296" s="38" t="s">
        <v>1008</v>
      </c>
      <c r="C1296" s="51">
        <v>7896261005884</v>
      </c>
      <c r="D1296" s="40" t="s">
        <v>70</v>
      </c>
      <c r="E1296" s="40"/>
      <c r="F1296" s="40">
        <v>179</v>
      </c>
      <c r="G1296" s="38"/>
      <c r="H1296" s="38" t="s">
        <v>948</v>
      </c>
      <c r="I1296" s="38" t="s">
        <v>424</v>
      </c>
      <c r="J1296" s="38" t="s">
        <v>947</v>
      </c>
      <c r="K1296" s="56">
        <v>0.68</v>
      </c>
      <c r="L1296" s="52" t="s">
        <v>213</v>
      </c>
      <c r="M1296" s="53" t="s">
        <v>213</v>
      </c>
    </row>
    <row r="1297" spans="1:13" x14ac:dyDescent="0.3">
      <c r="A1297" s="37">
        <v>27</v>
      </c>
      <c r="B1297" s="38" t="s">
        <v>1007</v>
      </c>
      <c r="C1297" s="51">
        <v>7896261005884</v>
      </c>
      <c r="D1297" s="40" t="s">
        <v>70</v>
      </c>
      <c r="E1297" s="40"/>
      <c r="F1297" s="40">
        <v>185</v>
      </c>
      <c r="G1297" s="38"/>
      <c r="H1297" s="38" t="s">
        <v>977</v>
      </c>
      <c r="I1297" s="38" t="s">
        <v>424</v>
      </c>
      <c r="J1297" s="38">
        <v>0</v>
      </c>
      <c r="K1297" s="56">
        <v>0.57999999999999996</v>
      </c>
      <c r="L1297" s="52" t="s">
        <v>213</v>
      </c>
      <c r="M1297" s="53" t="s">
        <v>213</v>
      </c>
    </row>
    <row r="1298" spans="1:13" x14ac:dyDescent="0.3">
      <c r="A1298" s="37">
        <v>27</v>
      </c>
      <c r="B1298" s="38" t="s">
        <v>1008</v>
      </c>
      <c r="C1298" s="51">
        <v>7896261005884</v>
      </c>
      <c r="D1298" s="40" t="s">
        <v>70</v>
      </c>
      <c r="E1298" s="40"/>
      <c r="F1298" s="40">
        <v>185</v>
      </c>
      <c r="G1298" s="38"/>
      <c r="H1298" s="38" t="s">
        <v>977</v>
      </c>
      <c r="I1298" s="38" t="s">
        <v>424</v>
      </c>
      <c r="J1298" s="38">
        <v>0</v>
      </c>
      <c r="K1298" s="56">
        <v>0.57999999999999996</v>
      </c>
      <c r="L1298" s="52" t="s">
        <v>213</v>
      </c>
      <c r="M1298" s="53" t="s">
        <v>213</v>
      </c>
    </row>
    <row r="1299" spans="1:13" x14ac:dyDescent="0.3">
      <c r="A1299" s="37">
        <v>27</v>
      </c>
      <c r="B1299" s="38" t="s">
        <v>1007</v>
      </c>
      <c r="C1299" s="51">
        <v>7896261005884</v>
      </c>
      <c r="D1299" s="40" t="s">
        <v>70</v>
      </c>
      <c r="E1299" s="40"/>
      <c r="F1299" s="40">
        <v>196</v>
      </c>
      <c r="G1299" s="38"/>
      <c r="H1299" s="38" t="s">
        <v>949</v>
      </c>
      <c r="I1299" s="38" t="s">
        <v>311</v>
      </c>
      <c r="J1299" s="38" t="s">
        <v>947</v>
      </c>
      <c r="K1299" s="38" t="s">
        <v>1002</v>
      </c>
      <c r="L1299" s="52" t="s">
        <v>213</v>
      </c>
      <c r="M1299" s="53" t="s">
        <v>213</v>
      </c>
    </row>
    <row r="1300" spans="1:13" x14ac:dyDescent="0.3">
      <c r="A1300" s="37">
        <v>27</v>
      </c>
      <c r="B1300" s="38" t="s">
        <v>1008</v>
      </c>
      <c r="C1300" s="51">
        <v>7896261005884</v>
      </c>
      <c r="D1300" s="40" t="s">
        <v>70</v>
      </c>
      <c r="E1300" s="40"/>
      <c r="F1300" s="40">
        <v>196</v>
      </c>
      <c r="G1300" s="38"/>
      <c r="H1300" s="38" t="s">
        <v>949</v>
      </c>
      <c r="I1300" s="38" t="s">
        <v>311</v>
      </c>
      <c r="J1300" s="38" t="s">
        <v>947</v>
      </c>
      <c r="K1300" s="38" t="s">
        <v>1002</v>
      </c>
      <c r="L1300" s="52" t="s">
        <v>213</v>
      </c>
      <c r="M1300" s="53" t="s">
        <v>213</v>
      </c>
    </row>
    <row r="1301" spans="1:13" x14ac:dyDescent="0.3">
      <c r="A1301" s="37">
        <v>27</v>
      </c>
      <c r="B1301" s="38" t="s">
        <v>1007</v>
      </c>
      <c r="C1301" s="51">
        <v>7896261005884</v>
      </c>
      <c r="D1301" s="40" t="s">
        <v>70</v>
      </c>
      <c r="E1301" s="40"/>
      <c r="F1301" s="40">
        <v>197</v>
      </c>
      <c r="G1301" s="38"/>
      <c r="H1301" s="38" t="s">
        <v>951</v>
      </c>
      <c r="I1301" s="38" t="s">
        <v>311</v>
      </c>
      <c r="J1301" s="38" t="s">
        <v>947</v>
      </c>
      <c r="K1301" s="38" t="s">
        <v>1002</v>
      </c>
      <c r="L1301" s="52" t="s">
        <v>213</v>
      </c>
      <c r="M1301" s="53" t="s">
        <v>213</v>
      </c>
    </row>
    <row r="1302" spans="1:13" x14ac:dyDescent="0.3">
      <c r="A1302" s="37">
        <v>27</v>
      </c>
      <c r="B1302" s="38" t="s">
        <v>1008</v>
      </c>
      <c r="C1302" s="51">
        <v>7896261005884</v>
      </c>
      <c r="D1302" s="40" t="s">
        <v>70</v>
      </c>
      <c r="E1302" s="40"/>
      <c r="F1302" s="40">
        <v>197</v>
      </c>
      <c r="G1302" s="38"/>
      <c r="H1302" s="38" t="s">
        <v>951</v>
      </c>
      <c r="I1302" s="38" t="s">
        <v>311</v>
      </c>
      <c r="J1302" s="38" t="s">
        <v>947</v>
      </c>
      <c r="K1302" s="38" t="s">
        <v>1002</v>
      </c>
      <c r="L1302" s="52" t="s">
        <v>213</v>
      </c>
      <c r="M1302" s="53" t="s">
        <v>213</v>
      </c>
    </row>
    <row r="1303" spans="1:13" x14ac:dyDescent="0.3">
      <c r="A1303" s="37">
        <v>27</v>
      </c>
      <c r="B1303" s="38" t="s">
        <v>1007</v>
      </c>
      <c r="C1303" s="51">
        <v>7896261005884</v>
      </c>
      <c r="D1303" s="40" t="s">
        <v>70</v>
      </c>
      <c r="E1303" s="40"/>
      <c r="F1303" s="40">
        <v>198</v>
      </c>
      <c r="G1303" s="38"/>
      <c r="H1303" s="38" t="s">
        <v>952</v>
      </c>
      <c r="I1303" s="38" t="s">
        <v>311</v>
      </c>
      <c r="J1303" s="38" t="s">
        <v>947</v>
      </c>
      <c r="K1303" s="38" t="s">
        <v>1002</v>
      </c>
      <c r="L1303" s="52" t="s">
        <v>213</v>
      </c>
      <c r="M1303" s="53" t="s">
        <v>213</v>
      </c>
    </row>
    <row r="1304" spans="1:13" x14ac:dyDescent="0.3">
      <c r="A1304" s="37">
        <v>27</v>
      </c>
      <c r="B1304" s="38" t="s">
        <v>1008</v>
      </c>
      <c r="C1304" s="51">
        <v>7896261005884</v>
      </c>
      <c r="D1304" s="40" t="s">
        <v>70</v>
      </c>
      <c r="E1304" s="40"/>
      <c r="F1304" s="40">
        <v>198</v>
      </c>
      <c r="G1304" s="38"/>
      <c r="H1304" s="38" t="s">
        <v>952</v>
      </c>
      <c r="I1304" s="38" t="s">
        <v>311</v>
      </c>
      <c r="J1304" s="38" t="s">
        <v>947</v>
      </c>
      <c r="K1304" s="38" t="s">
        <v>1002</v>
      </c>
      <c r="L1304" s="52" t="s">
        <v>213</v>
      </c>
      <c r="M1304" s="53" t="s">
        <v>213</v>
      </c>
    </row>
    <row r="1305" spans="1:13" x14ac:dyDescent="0.3">
      <c r="A1305" s="37">
        <v>27</v>
      </c>
      <c r="B1305" s="38" t="s">
        <v>1007</v>
      </c>
      <c r="C1305" s="51">
        <v>7896261005884</v>
      </c>
      <c r="D1305" s="40" t="s">
        <v>70</v>
      </c>
      <c r="E1305" s="40"/>
      <c r="F1305" s="40">
        <v>199</v>
      </c>
      <c r="G1305" s="38"/>
      <c r="H1305" s="38" t="s">
        <v>953</v>
      </c>
      <c r="I1305" s="38" t="s">
        <v>311</v>
      </c>
      <c r="J1305" s="38" t="s">
        <v>947</v>
      </c>
      <c r="K1305" s="38" t="s">
        <v>1002</v>
      </c>
      <c r="L1305" s="52" t="s">
        <v>213</v>
      </c>
      <c r="M1305" s="53" t="s">
        <v>213</v>
      </c>
    </row>
    <row r="1306" spans="1:13" x14ac:dyDescent="0.3">
      <c r="A1306" s="37">
        <v>27</v>
      </c>
      <c r="B1306" s="38" t="s">
        <v>1008</v>
      </c>
      <c r="C1306" s="51">
        <v>7896261005884</v>
      </c>
      <c r="D1306" s="40" t="s">
        <v>70</v>
      </c>
      <c r="E1306" s="40"/>
      <c r="F1306" s="40">
        <v>199</v>
      </c>
      <c r="G1306" s="38"/>
      <c r="H1306" s="38" t="s">
        <v>953</v>
      </c>
      <c r="I1306" s="38" t="s">
        <v>311</v>
      </c>
      <c r="J1306" s="38" t="s">
        <v>947</v>
      </c>
      <c r="K1306" s="38" t="s">
        <v>1002</v>
      </c>
      <c r="L1306" s="52" t="s">
        <v>213</v>
      </c>
      <c r="M1306" s="53" t="s">
        <v>213</v>
      </c>
    </row>
    <row r="1307" spans="1:13" x14ac:dyDescent="0.3">
      <c r="A1307" s="37">
        <v>27</v>
      </c>
      <c r="B1307" s="38" t="s">
        <v>1007</v>
      </c>
      <c r="C1307" s="51">
        <v>7896261005884</v>
      </c>
      <c r="D1307" s="40" t="s">
        <v>70</v>
      </c>
      <c r="E1307" s="40"/>
      <c r="F1307" s="40">
        <v>200</v>
      </c>
      <c r="G1307" s="38"/>
      <c r="H1307" s="38" t="s">
        <v>954</v>
      </c>
      <c r="I1307" s="38" t="s">
        <v>311</v>
      </c>
      <c r="J1307" s="38" t="s">
        <v>947</v>
      </c>
      <c r="K1307" s="38" t="s">
        <v>1002</v>
      </c>
      <c r="L1307" s="52" t="s">
        <v>213</v>
      </c>
      <c r="M1307" s="53" t="s">
        <v>213</v>
      </c>
    </row>
    <row r="1308" spans="1:13" x14ac:dyDescent="0.3">
      <c r="A1308" s="37">
        <v>27</v>
      </c>
      <c r="B1308" s="38" t="s">
        <v>1008</v>
      </c>
      <c r="C1308" s="51">
        <v>7896261005884</v>
      </c>
      <c r="D1308" s="40" t="s">
        <v>70</v>
      </c>
      <c r="E1308" s="40"/>
      <c r="F1308" s="40">
        <v>200</v>
      </c>
      <c r="G1308" s="38"/>
      <c r="H1308" s="38" t="s">
        <v>954</v>
      </c>
      <c r="I1308" s="38" t="s">
        <v>311</v>
      </c>
      <c r="J1308" s="38" t="s">
        <v>947</v>
      </c>
      <c r="K1308" s="38" t="s">
        <v>1002</v>
      </c>
      <c r="L1308" s="52" t="s">
        <v>213</v>
      </c>
      <c r="M1308" s="53" t="s">
        <v>213</v>
      </c>
    </row>
    <row r="1309" spans="1:13" x14ac:dyDescent="0.3">
      <c r="A1309" s="37">
        <v>27</v>
      </c>
      <c r="B1309" s="38" t="s">
        <v>1007</v>
      </c>
      <c r="C1309" s="51">
        <v>7896261005884</v>
      </c>
      <c r="D1309" s="40" t="s">
        <v>70</v>
      </c>
      <c r="E1309" s="40"/>
      <c r="F1309" s="40">
        <v>215</v>
      </c>
      <c r="G1309" s="38"/>
      <c r="H1309" s="38" t="s">
        <v>955</v>
      </c>
      <c r="I1309" s="38" t="s">
        <v>311</v>
      </c>
      <c r="J1309" s="38" t="s">
        <v>947</v>
      </c>
      <c r="K1309" s="38" t="s">
        <v>1002</v>
      </c>
      <c r="L1309" s="52" t="s">
        <v>213</v>
      </c>
      <c r="M1309" s="53" t="s">
        <v>213</v>
      </c>
    </row>
    <row r="1310" spans="1:13" x14ac:dyDescent="0.3">
      <c r="A1310" s="37">
        <v>27</v>
      </c>
      <c r="B1310" s="38" t="s">
        <v>1008</v>
      </c>
      <c r="C1310" s="51">
        <v>7896261005884</v>
      </c>
      <c r="D1310" s="40" t="s">
        <v>70</v>
      </c>
      <c r="E1310" s="40"/>
      <c r="F1310" s="40">
        <v>215</v>
      </c>
      <c r="G1310" s="38"/>
      <c r="H1310" s="38" t="s">
        <v>955</v>
      </c>
      <c r="I1310" s="38" t="s">
        <v>311</v>
      </c>
      <c r="J1310" s="38" t="s">
        <v>947</v>
      </c>
      <c r="K1310" s="38" t="s">
        <v>1002</v>
      </c>
      <c r="L1310" s="52" t="s">
        <v>213</v>
      </c>
      <c r="M1310" s="53" t="s">
        <v>213</v>
      </c>
    </row>
    <row r="1311" spans="1:13" x14ac:dyDescent="0.3">
      <c r="A1311" s="37">
        <v>27</v>
      </c>
      <c r="B1311" s="38" t="s">
        <v>1007</v>
      </c>
      <c r="C1311" s="51">
        <v>7896261005884</v>
      </c>
      <c r="D1311" s="40" t="s">
        <v>70</v>
      </c>
      <c r="E1311" s="40"/>
      <c r="F1311" s="40">
        <v>217</v>
      </c>
      <c r="G1311" s="38"/>
      <c r="H1311" s="38" t="s">
        <v>956</v>
      </c>
      <c r="I1311" s="38" t="s">
        <v>311</v>
      </c>
      <c r="J1311" s="38" t="s">
        <v>947</v>
      </c>
      <c r="K1311" s="38" t="s">
        <v>1002</v>
      </c>
      <c r="L1311" s="52" t="s">
        <v>213</v>
      </c>
      <c r="M1311" s="53" t="s">
        <v>213</v>
      </c>
    </row>
    <row r="1312" spans="1:13" x14ac:dyDescent="0.3">
      <c r="A1312" s="37">
        <v>27</v>
      </c>
      <c r="B1312" s="38" t="s">
        <v>1008</v>
      </c>
      <c r="C1312" s="51">
        <v>7896261005884</v>
      </c>
      <c r="D1312" s="40" t="s">
        <v>70</v>
      </c>
      <c r="E1312" s="40"/>
      <c r="F1312" s="40">
        <v>217</v>
      </c>
      <c r="G1312" s="38"/>
      <c r="H1312" s="38" t="s">
        <v>956</v>
      </c>
      <c r="I1312" s="38" t="s">
        <v>311</v>
      </c>
      <c r="J1312" s="38" t="s">
        <v>947</v>
      </c>
      <c r="K1312" s="38" t="s">
        <v>1002</v>
      </c>
      <c r="L1312" s="52" t="s">
        <v>213</v>
      </c>
      <c r="M1312" s="53" t="s">
        <v>213</v>
      </c>
    </row>
    <row r="1313" spans="1:13" x14ac:dyDescent="0.3">
      <c r="A1313" s="37">
        <v>27</v>
      </c>
      <c r="B1313" s="38" t="s">
        <v>1007</v>
      </c>
      <c r="C1313" s="51">
        <v>7896261005884</v>
      </c>
      <c r="D1313" s="40" t="s">
        <v>70</v>
      </c>
      <c r="E1313" s="40"/>
      <c r="F1313" s="40">
        <v>219</v>
      </c>
      <c r="G1313" s="38"/>
      <c r="H1313" s="38" t="s">
        <v>957</v>
      </c>
      <c r="I1313" s="38" t="s">
        <v>311</v>
      </c>
      <c r="J1313" s="38" t="s">
        <v>947</v>
      </c>
      <c r="K1313" s="38" t="s">
        <v>1002</v>
      </c>
      <c r="L1313" s="52" t="s">
        <v>213</v>
      </c>
      <c r="M1313" s="53" t="s">
        <v>213</v>
      </c>
    </row>
    <row r="1314" spans="1:13" x14ac:dyDescent="0.3">
      <c r="A1314" s="37">
        <v>27</v>
      </c>
      <c r="B1314" s="38" t="s">
        <v>1008</v>
      </c>
      <c r="C1314" s="51">
        <v>7896261005884</v>
      </c>
      <c r="D1314" s="40" t="s">
        <v>70</v>
      </c>
      <c r="E1314" s="40"/>
      <c r="F1314" s="40">
        <v>219</v>
      </c>
      <c r="G1314" s="38"/>
      <c r="H1314" s="38" t="s">
        <v>957</v>
      </c>
      <c r="I1314" s="38" t="s">
        <v>311</v>
      </c>
      <c r="J1314" s="38" t="s">
        <v>947</v>
      </c>
      <c r="K1314" s="38" t="s">
        <v>1002</v>
      </c>
      <c r="L1314" s="52" t="s">
        <v>213</v>
      </c>
      <c r="M1314" s="53" t="s">
        <v>213</v>
      </c>
    </row>
    <row r="1315" spans="1:13" x14ac:dyDescent="0.3">
      <c r="A1315" s="37">
        <v>27</v>
      </c>
      <c r="B1315" s="38" t="s">
        <v>1007</v>
      </c>
      <c r="C1315" s="51">
        <v>7896261005884</v>
      </c>
      <c r="D1315" s="40" t="s">
        <v>70</v>
      </c>
      <c r="E1315" s="40"/>
      <c r="F1315" s="40">
        <v>228</v>
      </c>
      <c r="G1315" s="38"/>
      <c r="H1315" s="38" t="s">
        <v>958</v>
      </c>
      <c r="I1315" s="38" t="s">
        <v>311</v>
      </c>
      <c r="J1315" s="38" t="s">
        <v>947</v>
      </c>
      <c r="K1315" s="38" t="s">
        <v>1002</v>
      </c>
      <c r="L1315" s="52" t="s">
        <v>213</v>
      </c>
      <c r="M1315" s="53" t="s">
        <v>213</v>
      </c>
    </row>
    <row r="1316" spans="1:13" x14ac:dyDescent="0.3">
      <c r="A1316" s="37">
        <v>27</v>
      </c>
      <c r="B1316" s="38" t="s">
        <v>1008</v>
      </c>
      <c r="C1316" s="51">
        <v>7896261005884</v>
      </c>
      <c r="D1316" s="40" t="s">
        <v>70</v>
      </c>
      <c r="E1316" s="40"/>
      <c r="F1316" s="40">
        <v>228</v>
      </c>
      <c r="G1316" s="38"/>
      <c r="H1316" s="38" t="s">
        <v>958</v>
      </c>
      <c r="I1316" s="38" t="s">
        <v>311</v>
      </c>
      <c r="J1316" s="38" t="s">
        <v>947</v>
      </c>
      <c r="K1316" s="38" t="s">
        <v>1002</v>
      </c>
      <c r="L1316" s="52" t="s">
        <v>213</v>
      </c>
      <c r="M1316" s="53" t="s">
        <v>213</v>
      </c>
    </row>
    <row r="1317" spans="1:13" x14ac:dyDescent="0.3">
      <c r="A1317" s="37">
        <v>27</v>
      </c>
      <c r="B1317" s="38" t="s">
        <v>1007</v>
      </c>
      <c r="C1317" s="51">
        <v>7896261005884</v>
      </c>
      <c r="D1317" s="40" t="s">
        <v>70</v>
      </c>
      <c r="E1317" s="40"/>
      <c r="F1317" s="40">
        <v>229</v>
      </c>
      <c r="G1317" s="38"/>
      <c r="H1317" s="38" t="s">
        <v>959</v>
      </c>
      <c r="I1317" s="38" t="s">
        <v>311</v>
      </c>
      <c r="J1317" s="38" t="s">
        <v>947</v>
      </c>
      <c r="K1317" s="38" t="s">
        <v>1002</v>
      </c>
      <c r="L1317" s="52" t="s">
        <v>213</v>
      </c>
      <c r="M1317" s="53" t="s">
        <v>213</v>
      </c>
    </row>
    <row r="1318" spans="1:13" x14ac:dyDescent="0.3">
      <c r="A1318" s="37">
        <v>27</v>
      </c>
      <c r="B1318" s="38" t="s">
        <v>1008</v>
      </c>
      <c r="C1318" s="51">
        <v>7896261005884</v>
      </c>
      <c r="D1318" s="40" t="s">
        <v>70</v>
      </c>
      <c r="E1318" s="40"/>
      <c r="F1318" s="40">
        <v>229</v>
      </c>
      <c r="G1318" s="38"/>
      <c r="H1318" s="38" t="s">
        <v>959</v>
      </c>
      <c r="I1318" s="38" t="s">
        <v>311</v>
      </c>
      <c r="J1318" s="38" t="s">
        <v>947</v>
      </c>
      <c r="K1318" s="38" t="s">
        <v>1002</v>
      </c>
      <c r="L1318" s="52" t="s">
        <v>213</v>
      </c>
      <c r="M1318" s="53" t="s">
        <v>213</v>
      </c>
    </row>
    <row r="1319" spans="1:13" x14ac:dyDescent="0.3">
      <c r="A1319" s="37">
        <v>27</v>
      </c>
      <c r="B1319" s="38" t="s">
        <v>1007</v>
      </c>
      <c r="C1319" s="51">
        <v>7896261005884</v>
      </c>
      <c r="D1319" s="40" t="s">
        <v>70</v>
      </c>
      <c r="E1319" s="40"/>
      <c r="F1319" s="40">
        <v>247</v>
      </c>
      <c r="G1319" s="38"/>
      <c r="H1319" s="38" t="s">
        <v>979</v>
      </c>
      <c r="I1319" s="38" t="s">
        <v>424</v>
      </c>
      <c r="J1319" s="38" t="s">
        <v>947</v>
      </c>
      <c r="K1319" s="56">
        <v>0.59</v>
      </c>
      <c r="L1319" s="52" t="s">
        <v>213</v>
      </c>
      <c r="M1319" s="53" t="s">
        <v>213</v>
      </c>
    </row>
    <row r="1320" spans="1:13" x14ac:dyDescent="0.3">
      <c r="A1320" s="37">
        <v>27</v>
      </c>
      <c r="B1320" s="38" t="s">
        <v>1008</v>
      </c>
      <c r="C1320" s="51">
        <v>7896261005884</v>
      </c>
      <c r="D1320" s="40" t="s">
        <v>70</v>
      </c>
      <c r="E1320" s="40"/>
      <c r="F1320" s="40">
        <v>247</v>
      </c>
      <c r="G1320" s="38"/>
      <c r="H1320" s="38" t="s">
        <v>979</v>
      </c>
      <c r="I1320" s="38" t="s">
        <v>424</v>
      </c>
      <c r="J1320" s="38" t="s">
        <v>947</v>
      </c>
      <c r="K1320" s="56">
        <v>0.59</v>
      </c>
      <c r="L1320" s="52" t="s">
        <v>213</v>
      </c>
      <c r="M1320" s="53" t="s">
        <v>213</v>
      </c>
    </row>
    <row r="1321" spans="1:13" x14ac:dyDescent="0.3">
      <c r="A1321" s="37">
        <v>27</v>
      </c>
      <c r="B1321" s="38" t="s">
        <v>1007</v>
      </c>
      <c r="C1321" s="51">
        <v>7896261005884</v>
      </c>
      <c r="D1321" s="40" t="s">
        <v>70</v>
      </c>
      <c r="E1321" s="40"/>
      <c r="F1321" s="40">
        <v>249</v>
      </c>
      <c r="G1321" s="38"/>
      <c r="H1321" s="38" t="s">
        <v>960</v>
      </c>
      <c r="I1321" s="38" t="s">
        <v>311</v>
      </c>
      <c r="J1321" s="38" t="s">
        <v>947</v>
      </c>
      <c r="K1321" s="38" t="s">
        <v>1002</v>
      </c>
      <c r="L1321" s="52" t="s">
        <v>213</v>
      </c>
      <c r="M1321" s="53" t="s">
        <v>213</v>
      </c>
    </row>
    <row r="1322" spans="1:13" x14ac:dyDescent="0.3">
      <c r="A1322" s="37">
        <v>27</v>
      </c>
      <c r="B1322" s="38" t="s">
        <v>1008</v>
      </c>
      <c r="C1322" s="51">
        <v>7896261005884</v>
      </c>
      <c r="D1322" s="40" t="s">
        <v>70</v>
      </c>
      <c r="E1322" s="40"/>
      <c r="F1322" s="40">
        <v>249</v>
      </c>
      <c r="G1322" s="38"/>
      <c r="H1322" s="38" t="s">
        <v>960</v>
      </c>
      <c r="I1322" s="38" t="s">
        <v>311</v>
      </c>
      <c r="J1322" s="38" t="s">
        <v>947</v>
      </c>
      <c r="K1322" s="38" t="s">
        <v>1002</v>
      </c>
      <c r="L1322" s="52" t="s">
        <v>213</v>
      </c>
      <c r="M1322" s="53" t="s">
        <v>213</v>
      </c>
    </row>
    <row r="1323" spans="1:13" x14ac:dyDescent="0.3">
      <c r="A1323" s="37">
        <v>27</v>
      </c>
      <c r="B1323" s="38" t="s">
        <v>1007</v>
      </c>
      <c r="C1323" s="51">
        <v>7896261005884</v>
      </c>
      <c r="D1323" s="40" t="s">
        <v>70</v>
      </c>
      <c r="E1323" s="40"/>
      <c r="F1323" s="40">
        <v>255</v>
      </c>
      <c r="G1323" s="38"/>
      <c r="H1323" s="38" t="s">
        <v>1003</v>
      </c>
      <c r="I1323" s="38" t="s">
        <v>424</v>
      </c>
      <c r="J1323" s="38" t="s">
        <v>947</v>
      </c>
      <c r="K1323" s="56">
        <v>0.66869999999999996</v>
      </c>
      <c r="L1323" s="52" t="s">
        <v>213</v>
      </c>
      <c r="M1323" s="53" t="s">
        <v>213</v>
      </c>
    </row>
    <row r="1324" spans="1:13" x14ac:dyDescent="0.3">
      <c r="A1324" s="37">
        <v>27</v>
      </c>
      <c r="B1324" s="38" t="s">
        <v>1008</v>
      </c>
      <c r="C1324" s="51">
        <v>7896261005884</v>
      </c>
      <c r="D1324" s="40" t="s">
        <v>70</v>
      </c>
      <c r="E1324" s="40"/>
      <c r="F1324" s="40">
        <v>255</v>
      </c>
      <c r="G1324" s="38"/>
      <c r="H1324" s="38" t="s">
        <v>1003</v>
      </c>
      <c r="I1324" s="38" t="s">
        <v>424</v>
      </c>
      <c r="J1324" s="38" t="s">
        <v>947</v>
      </c>
      <c r="K1324" s="56">
        <v>0.66869999999999996</v>
      </c>
      <c r="L1324" s="52" t="s">
        <v>213</v>
      </c>
      <c r="M1324" s="53" t="s">
        <v>213</v>
      </c>
    </row>
    <row r="1325" spans="1:13" x14ac:dyDescent="0.3">
      <c r="A1325" s="37">
        <v>27</v>
      </c>
      <c r="B1325" s="38" t="s">
        <v>1007</v>
      </c>
      <c r="C1325" s="51">
        <v>7896261005884</v>
      </c>
      <c r="D1325" s="40" t="s">
        <v>70</v>
      </c>
      <c r="E1325" s="40"/>
      <c r="F1325" s="40">
        <v>262</v>
      </c>
      <c r="G1325" s="38"/>
      <c r="H1325" s="38" t="s">
        <v>961</v>
      </c>
      <c r="I1325" s="38" t="s">
        <v>424</v>
      </c>
      <c r="J1325" s="38" t="s">
        <v>947</v>
      </c>
      <c r="K1325" s="56">
        <v>0.57999999999999996</v>
      </c>
      <c r="L1325" s="52" t="s">
        <v>213</v>
      </c>
      <c r="M1325" s="53" t="s">
        <v>213</v>
      </c>
    </row>
    <row r="1326" spans="1:13" x14ac:dyDescent="0.3">
      <c r="A1326" s="37">
        <v>27</v>
      </c>
      <c r="B1326" s="38" t="s">
        <v>1008</v>
      </c>
      <c r="C1326" s="51">
        <v>7896261005884</v>
      </c>
      <c r="D1326" s="40" t="s">
        <v>70</v>
      </c>
      <c r="E1326" s="40"/>
      <c r="F1326" s="40">
        <v>262</v>
      </c>
      <c r="G1326" s="38"/>
      <c r="H1326" s="38" t="s">
        <v>961</v>
      </c>
      <c r="I1326" s="38" t="s">
        <v>424</v>
      </c>
      <c r="J1326" s="38" t="s">
        <v>947</v>
      </c>
      <c r="K1326" s="56">
        <v>0.57999999999999996</v>
      </c>
      <c r="L1326" s="52" t="s">
        <v>213</v>
      </c>
      <c r="M1326" s="53" t="s">
        <v>213</v>
      </c>
    </row>
    <row r="1327" spans="1:13" x14ac:dyDescent="0.3">
      <c r="A1327" s="37">
        <v>27</v>
      </c>
      <c r="B1327" s="38" t="s">
        <v>1007</v>
      </c>
      <c r="C1327" s="51">
        <v>7896261005884</v>
      </c>
      <c r="D1327" s="40" t="s">
        <v>70</v>
      </c>
      <c r="E1327" s="40"/>
      <c r="F1327" s="40">
        <v>266</v>
      </c>
      <c r="G1327" s="38"/>
      <c r="H1327" s="38" t="s">
        <v>1009</v>
      </c>
      <c r="I1327" s="38" t="s">
        <v>424</v>
      </c>
      <c r="J1327" s="38" t="s">
        <v>947</v>
      </c>
      <c r="K1327" s="56">
        <v>0.48699999999999999</v>
      </c>
      <c r="L1327" s="52" t="s">
        <v>213</v>
      </c>
      <c r="M1327" s="53" t="s">
        <v>213</v>
      </c>
    </row>
    <row r="1328" spans="1:13" x14ac:dyDescent="0.3">
      <c r="A1328" s="37">
        <v>27</v>
      </c>
      <c r="B1328" s="38" t="s">
        <v>1008</v>
      </c>
      <c r="C1328" s="51">
        <v>7896261005884</v>
      </c>
      <c r="D1328" s="40" t="s">
        <v>70</v>
      </c>
      <c r="E1328" s="40"/>
      <c r="F1328" s="40">
        <v>266</v>
      </c>
      <c r="G1328" s="38"/>
      <c r="H1328" s="38" t="s">
        <v>1009</v>
      </c>
      <c r="I1328" s="38" t="s">
        <v>424</v>
      </c>
      <c r="J1328" s="38" t="s">
        <v>947</v>
      </c>
      <c r="K1328" s="56">
        <v>0.48699999999999999</v>
      </c>
      <c r="L1328" s="52" t="s">
        <v>213</v>
      </c>
      <c r="M1328" s="53" t="s">
        <v>213</v>
      </c>
    </row>
    <row r="1329" spans="1:13" x14ac:dyDescent="0.3">
      <c r="A1329" s="37">
        <v>27</v>
      </c>
      <c r="B1329" s="38" t="s">
        <v>1007</v>
      </c>
      <c r="C1329" s="51">
        <v>7896261005884</v>
      </c>
      <c r="D1329" s="40" t="s">
        <v>70</v>
      </c>
      <c r="E1329" s="40"/>
      <c r="F1329" s="40">
        <v>270</v>
      </c>
      <c r="G1329" s="38"/>
      <c r="H1329" s="38" t="s">
        <v>1010</v>
      </c>
      <c r="I1329" s="38" t="s">
        <v>311</v>
      </c>
      <c r="J1329" s="38">
        <v>0</v>
      </c>
      <c r="K1329" s="38" t="s">
        <v>1011</v>
      </c>
      <c r="L1329" s="52" t="s">
        <v>213</v>
      </c>
      <c r="M1329" s="53" t="s">
        <v>213</v>
      </c>
    </row>
    <row r="1330" spans="1:13" x14ac:dyDescent="0.3">
      <c r="A1330" s="37">
        <v>27</v>
      </c>
      <c r="B1330" s="38" t="s">
        <v>1008</v>
      </c>
      <c r="C1330" s="51">
        <v>7896261005884</v>
      </c>
      <c r="D1330" s="40" t="s">
        <v>70</v>
      </c>
      <c r="E1330" s="40"/>
      <c r="F1330" s="40">
        <v>270</v>
      </c>
      <c r="G1330" s="38"/>
      <c r="H1330" s="38" t="s">
        <v>1010</v>
      </c>
      <c r="I1330" s="38" t="s">
        <v>311</v>
      </c>
      <c r="J1330" s="38">
        <v>0</v>
      </c>
      <c r="K1330" s="38" t="s">
        <v>1011</v>
      </c>
      <c r="L1330" s="52" t="s">
        <v>213</v>
      </c>
      <c r="M1330" s="53" t="s">
        <v>213</v>
      </c>
    </row>
    <row r="1331" spans="1:13" x14ac:dyDescent="0.3">
      <c r="A1331" s="37">
        <v>27</v>
      </c>
      <c r="B1331" s="38" t="s">
        <v>1007</v>
      </c>
      <c r="C1331" s="51">
        <v>7896261005884</v>
      </c>
      <c r="D1331" s="40" t="s">
        <v>70</v>
      </c>
      <c r="E1331" s="40"/>
      <c r="F1331" s="40">
        <v>301</v>
      </c>
      <c r="G1331" s="38"/>
      <c r="H1331" s="38" t="s">
        <v>963</v>
      </c>
      <c r="I1331" s="38" t="s">
        <v>311</v>
      </c>
      <c r="J1331" s="38" t="s">
        <v>947</v>
      </c>
      <c r="K1331" s="38" t="s">
        <v>1002</v>
      </c>
      <c r="L1331" s="52" t="s">
        <v>213</v>
      </c>
      <c r="M1331" s="53" t="s">
        <v>213</v>
      </c>
    </row>
    <row r="1332" spans="1:13" x14ac:dyDescent="0.3">
      <c r="A1332" s="37">
        <v>27</v>
      </c>
      <c r="B1332" s="38" t="s">
        <v>1008</v>
      </c>
      <c r="C1332" s="51">
        <v>7896261005884</v>
      </c>
      <c r="D1332" s="40" t="s">
        <v>70</v>
      </c>
      <c r="E1332" s="40"/>
      <c r="F1332" s="40">
        <v>301</v>
      </c>
      <c r="G1332" s="38"/>
      <c r="H1332" s="38" t="s">
        <v>963</v>
      </c>
      <c r="I1332" s="38" t="s">
        <v>311</v>
      </c>
      <c r="J1332" s="38" t="s">
        <v>947</v>
      </c>
      <c r="K1332" s="38" t="s">
        <v>1002</v>
      </c>
      <c r="L1332" s="52" t="s">
        <v>213</v>
      </c>
      <c r="M1332" s="53" t="s">
        <v>213</v>
      </c>
    </row>
    <row r="1333" spans="1:13" x14ac:dyDescent="0.3">
      <c r="A1333" s="37">
        <v>27</v>
      </c>
      <c r="B1333" s="38" t="s">
        <v>1012</v>
      </c>
      <c r="C1333" s="51">
        <v>7896261006850</v>
      </c>
      <c r="D1333" s="40" t="s">
        <v>70</v>
      </c>
      <c r="E1333" s="40"/>
      <c r="F1333" s="40">
        <v>233</v>
      </c>
      <c r="G1333" s="38"/>
      <c r="H1333" s="38" t="s">
        <v>1013</v>
      </c>
      <c r="I1333" s="38" t="s">
        <v>424</v>
      </c>
      <c r="J1333" s="38" t="s">
        <v>1014</v>
      </c>
      <c r="K1333" s="56">
        <v>0.21</v>
      </c>
      <c r="L1333" s="52" t="s">
        <v>213</v>
      </c>
      <c r="M1333" s="53" t="s">
        <v>213</v>
      </c>
    </row>
    <row r="1334" spans="1:13" x14ac:dyDescent="0.3">
      <c r="A1334" s="37">
        <v>27</v>
      </c>
      <c r="B1334" s="38" t="s">
        <v>1012</v>
      </c>
      <c r="C1334" s="51">
        <v>7896261006850</v>
      </c>
      <c r="D1334" s="40" t="s">
        <v>70</v>
      </c>
      <c r="E1334" s="40"/>
      <c r="F1334" s="40">
        <v>234</v>
      </c>
      <c r="G1334" s="38"/>
      <c r="H1334" s="38" t="s">
        <v>1015</v>
      </c>
      <c r="I1334" s="38" t="s">
        <v>424</v>
      </c>
      <c r="J1334" s="38" t="s">
        <v>1014</v>
      </c>
      <c r="K1334" s="56">
        <v>0.21</v>
      </c>
      <c r="L1334" s="52" t="s">
        <v>213</v>
      </c>
      <c r="M1334" s="53" t="s">
        <v>213</v>
      </c>
    </row>
    <row r="1335" spans="1:13" x14ac:dyDescent="0.3">
      <c r="A1335" s="37">
        <v>27</v>
      </c>
      <c r="B1335" s="38" t="s">
        <v>1012</v>
      </c>
      <c r="C1335" s="51">
        <v>7896261006850</v>
      </c>
      <c r="D1335" s="40" t="s">
        <v>70</v>
      </c>
      <c r="E1335" s="40"/>
      <c r="F1335" s="40">
        <v>280</v>
      </c>
      <c r="G1335" s="38"/>
      <c r="H1335" s="38" t="s">
        <v>1016</v>
      </c>
      <c r="I1335" s="38" t="s">
        <v>424</v>
      </c>
      <c r="J1335" s="38" t="s">
        <v>1014</v>
      </c>
      <c r="K1335" s="56">
        <v>0.21</v>
      </c>
      <c r="L1335" s="52" t="s">
        <v>213</v>
      </c>
      <c r="M1335" s="53" t="s">
        <v>213</v>
      </c>
    </row>
    <row r="1336" spans="1:13" x14ac:dyDescent="0.3">
      <c r="A1336" s="37">
        <v>27</v>
      </c>
      <c r="B1336" s="38" t="s">
        <v>1017</v>
      </c>
      <c r="C1336" s="51">
        <v>7896261006867</v>
      </c>
      <c r="D1336" s="40" t="s">
        <v>70</v>
      </c>
      <c r="E1336" s="40"/>
      <c r="F1336" s="40">
        <v>233</v>
      </c>
      <c r="G1336" s="38"/>
      <c r="H1336" s="38" t="s">
        <v>1013</v>
      </c>
      <c r="I1336" s="38" t="s">
        <v>424</v>
      </c>
      <c r="J1336" s="38" t="s">
        <v>1014</v>
      </c>
      <c r="K1336" s="56">
        <v>0.25</v>
      </c>
      <c r="L1336" s="52" t="s">
        <v>213</v>
      </c>
      <c r="M1336" s="53" t="s">
        <v>213</v>
      </c>
    </row>
    <row r="1337" spans="1:13" x14ac:dyDescent="0.3">
      <c r="A1337" s="37">
        <v>27</v>
      </c>
      <c r="B1337" s="38" t="s">
        <v>1017</v>
      </c>
      <c r="C1337" s="51">
        <v>7896261006867</v>
      </c>
      <c r="D1337" s="40" t="s">
        <v>70</v>
      </c>
      <c r="E1337" s="40"/>
      <c r="F1337" s="40">
        <v>280</v>
      </c>
      <c r="G1337" s="38"/>
      <c r="H1337" s="38" t="s">
        <v>1016</v>
      </c>
      <c r="I1337" s="38" t="s">
        <v>424</v>
      </c>
      <c r="J1337" s="38" t="s">
        <v>1014</v>
      </c>
      <c r="K1337" s="56">
        <v>0.25</v>
      </c>
      <c r="L1337" s="52" t="s">
        <v>213</v>
      </c>
      <c r="M1337" s="53" t="s">
        <v>213</v>
      </c>
    </row>
    <row r="1338" spans="1:13" x14ac:dyDescent="0.3">
      <c r="A1338" s="37">
        <v>27</v>
      </c>
      <c r="B1338" s="38" t="s">
        <v>1017</v>
      </c>
      <c r="C1338" s="51">
        <v>7896261006867</v>
      </c>
      <c r="D1338" s="40" t="s">
        <v>70</v>
      </c>
      <c r="E1338" s="40"/>
      <c r="F1338" s="40">
        <v>409</v>
      </c>
      <c r="G1338" s="38"/>
      <c r="H1338" s="38" t="s">
        <v>1018</v>
      </c>
      <c r="I1338" s="38" t="s">
        <v>424</v>
      </c>
      <c r="J1338" s="38" t="s">
        <v>1014</v>
      </c>
      <c r="K1338" s="56">
        <v>0.45</v>
      </c>
      <c r="L1338" s="52" t="s">
        <v>213</v>
      </c>
      <c r="M1338" s="53" t="s">
        <v>213</v>
      </c>
    </row>
    <row r="1339" spans="1:13" x14ac:dyDescent="0.3">
      <c r="A1339" s="37">
        <v>27</v>
      </c>
      <c r="B1339" s="38" t="s">
        <v>1019</v>
      </c>
      <c r="C1339" s="51">
        <v>7896261006874</v>
      </c>
      <c r="D1339" s="40" t="s">
        <v>70</v>
      </c>
      <c r="E1339" s="40"/>
      <c r="F1339" s="40">
        <v>233</v>
      </c>
      <c r="G1339" s="38"/>
      <c r="H1339" s="38" t="s">
        <v>1013</v>
      </c>
      <c r="I1339" s="38" t="s">
        <v>424</v>
      </c>
      <c r="J1339" s="38" t="s">
        <v>1014</v>
      </c>
      <c r="K1339" s="56">
        <v>0.28499999999999998</v>
      </c>
      <c r="L1339" s="52" t="s">
        <v>213</v>
      </c>
      <c r="M1339" s="53" t="s">
        <v>213</v>
      </c>
    </row>
    <row r="1340" spans="1:13" x14ac:dyDescent="0.3">
      <c r="A1340" s="37">
        <v>27</v>
      </c>
      <c r="B1340" s="38" t="s">
        <v>1019</v>
      </c>
      <c r="C1340" s="51">
        <v>7896261006874</v>
      </c>
      <c r="D1340" s="40" t="s">
        <v>70</v>
      </c>
      <c r="E1340" s="40"/>
      <c r="F1340" s="40">
        <v>234</v>
      </c>
      <c r="G1340" s="38"/>
      <c r="H1340" s="38" t="s">
        <v>1015</v>
      </c>
      <c r="I1340" s="38" t="s">
        <v>424</v>
      </c>
      <c r="J1340" s="38" t="s">
        <v>1014</v>
      </c>
      <c r="K1340" s="56">
        <v>0.28499999999999998</v>
      </c>
      <c r="L1340" s="52" t="s">
        <v>213</v>
      </c>
      <c r="M1340" s="53" t="s">
        <v>213</v>
      </c>
    </row>
    <row r="1341" spans="1:13" x14ac:dyDescent="0.3">
      <c r="A1341" s="37">
        <v>27</v>
      </c>
      <c r="B1341" s="38" t="s">
        <v>1019</v>
      </c>
      <c r="C1341" s="51">
        <v>7896261006874</v>
      </c>
      <c r="D1341" s="40" t="s">
        <v>70</v>
      </c>
      <c r="E1341" s="40"/>
      <c r="F1341" s="40">
        <v>280</v>
      </c>
      <c r="G1341" s="38"/>
      <c r="H1341" s="38" t="s">
        <v>1016</v>
      </c>
      <c r="I1341" s="38" t="s">
        <v>424</v>
      </c>
      <c r="J1341" s="38" t="s">
        <v>1014</v>
      </c>
      <c r="K1341" s="56">
        <v>0.28499999999999998</v>
      </c>
      <c r="L1341" s="52" t="s">
        <v>213</v>
      </c>
      <c r="M1341" s="53" t="s">
        <v>213</v>
      </c>
    </row>
    <row r="1342" spans="1:13" x14ac:dyDescent="0.3">
      <c r="A1342" s="37">
        <v>27</v>
      </c>
      <c r="B1342" s="38" t="s">
        <v>1019</v>
      </c>
      <c r="C1342" s="51">
        <v>7896261006874</v>
      </c>
      <c r="D1342" s="40" t="s">
        <v>70</v>
      </c>
      <c r="E1342" s="40"/>
      <c r="F1342" s="40">
        <v>327</v>
      </c>
      <c r="G1342" s="38"/>
      <c r="H1342" s="38" t="s">
        <v>1020</v>
      </c>
      <c r="I1342" s="38" t="s">
        <v>311</v>
      </c>
      <c r="J1342" s="38" t="s">
        <v>1014</v>
      </c>
      <c r="K1342" s="38" t="s">
        <v>1021</v>
      </c>
      <c r="L1342" s="52" t="s">
        <v>213</v>
      </c>
      <c r="M1342" s="53" t="s">
        <v>213</v>
      </c>
    </row>
    <row r="1343" spans="1:13" x14ac:dyDescent="0.3">
      <c r="A1343" s="37">
        <v>27</v>
      </c>
      <c r="B1343" s="38" t="s">
        <v>1022</v>
      </c>
      <c r="C1343" s="51">
        <v>7896261006898</v>
      </c>
      <c r="D1343" s="40" t="s">
        <v>70</v>
      </c>
      <c r="E1343" s="40"/>
      <c r="F1343" s="40">
        <v>210</v>
      </c>
      <c r="G1343" s="38"/>
      <c r="H1343" s="38" t="s">
        <v>936</v>
      </c>
      <c r="I1343" s="38" t="s">
        <v>311</v>
      </c>
      <c r="J1343" s="38" t="s">
        <v>937</v>
      </c>
      <c r="K1343" s="38" t="s">
        <v>990</v>
      </c>
      <c r="L1343" s="52" t="s">
        <v>213</v>
      </c>
      <c r="M1343" s="53" t="s">
        <v>213</v>
      </c>
    </row>
    <row r="1344" spans="1:13" x14ac:dyDescent="0.3">
      <c r="A1344" s="37">
        <v>27</v>
      </c>
      <c r="B1344" s="38" t="s">
        <v>1022</v>
      </c>
      <c r="C1344" s="51">
        <v>7896261006898</v>
      </c>
      <c r="D1344" s="40" t="s">
        <v>70</v>
      </c>
      <c r="E1344" s="40"/>
      <c r="F1344" s="40">
        <v>407</v>
      </c>
      <c r="G1344" s="38"/>
      <c r="H1344" s="38" t="s">
        <v>991</v>
      </c>
      <c r="I1344" s="38" t="s">
        <v>424</v>
      </c>
      <c r="J1344" s="38" t="s">
        <v>937</v>
      </c>
      <c r="K1344" s="56">
        <v>0.55000000000000004</v>
      </c>
      <c r="L1344" s="52" t="s">
        <v>213</v>
      </c>
      <c r="M1344" s="53" t="s">
        <v>213</v>
      </c>
    </row>
    <row r="1345" spans="1:13" x14ac:dyDescent="0.3">
      <c r="A1345" s="37">
        <v>27</v>
      </c>
      <c r="B1345" s="38" t="s">
        <v>1023</v>
      </c>
      <c r="C1345" s="51">
        <v>7896261007703</v>
      </c>
      <c r="D1345" s="40" t="s">
        <v>70</v>
      </c>
      <c r="E1345" s="40"/>
      <c r="F1345" s="40">
        <v>96</v>
      </c>
      <c r="G1345" s="38"/>
      <c r="H1345" s="38" t="s">
        <v>968</v>
      </c>
      <c r="I1345" s="38" t="s">
        <v>424</v>
      </c>
      <c r="J1345" s="38">
        <v>0</v>
      </c>
      <c r="K1345" s="56">
        <v>0.3</v>
      </c>
      <c r="L1345" s="52" t="s">
        <v>213</v>
      </c>
      <c r="M1345" s="53" t="s">
        <v>213</v>
      </c>
    </row>
    <row r="1346" spans="1:13" x14ac:dyDescent="0.3">
      <c r="A1346" s="37">
        <v>27</v>
      </c>
      <c r="B1346" s="38" t="s">
        <v>1024</v>
      </c>
      <c r="C1346" s="51">
        <v>7896261007758</v>
      </c>
      <c r="D1346" s="40" t="s">
        <v>70</v>
      </c>
      <c r="E1346" s="40"/>
      <c r="F1346" s="40">
        <v>181</v>
      </c>
      <c r="G1346" s="38"/>
      <c r="H1346" s="38" t="s">
        <v>970</v>
      </c>
      <c r="I1346" s="38" t="s">
        <v>311</v>
      </c>
      <c r="J1346" s="38" t="s">
        <v>966</v>
      </c>
      <c r="K1346" s="38" t="s">
        <v>1025</v>
      </c>
      <c r="L1346" s="52" t="s">
        <v>213</v>
      </c>
      <c r="M1346" s="53" t="s">
        <v>213</v>
      </c>
    </row>
    <row r="1347" spans="1:13" x14ac:dyDescent="0.3">
      <c r="A1347" s="37">
        <v>27</v>
      </c>
      <c r="B1347" s="38" t="s">
        <v>1024</v>
      </c>
      <c r="C1347" s="51">
        <v>7896261007758</v>
      </c>
      <c r="D1347" s="40" t="s">
        <v>70</v>
      </c>
      <c r="E1347" s="40"/>
      <c r="F1347" s="40">
        <v>195</v>
      </c>
      <c r="G1347" s="38"/>
      <c r="H1347" s="38" t="s">
        <v>971</v>
      </c>
      <c r="I1347" s="38" t="s">
        <v>311</v>
      </c>
      <c r="J1347" s="38" t="s">
        <v>947</v>
      </c>
      <c r="K1347" s="38" t="s">
        <v>1026</v>
      </c>
      <c r="L1347" s="52" t="s">
        <v>213</v>
      </c>
      <c r="M1347" s="53" t="s">
        <v>213</v>
      </c>
    </row>
    <row r="1348" spans="1:13" x14ac:dyDescent="0.3">
      <c r="A1348" s="37">
        <v>27</v>
      </c>
      <c r="B1348" s="38" t="s">
        <v>1024</v>
      </c>
      <c r="C1348" s="51">
        <v>7896261007758</v>
      </c>
      <c r="D1348" s="40" t="s">
        <v>70</v>
      </c>
      <c r="E1348" s="40"/>
      <c r="F1348" s="40">
        <v>226</v>
      </c>
      <c r="G1348" s="38"/>
      <c r="H1348" s="38" t="s">
        <v>972</v>
      </c>
      <c r="I1348" s="38" t="s">
        <v>311</v>
      </c>
      <c r="J1348" s="38" t="s">
        <v>947</v>
      </c>
      <c r="K1348" s="38" t="s">
        <v>1027</v>
      </c>
      <c r="L1348" s="52" t="s">
        <v>213</v>
      </c>
      <c r="M1348" s="53" t="s">
        <v>213</v>
      </c>
    </row>
    <row r="1349" spans="1:13" x14ac:dyDescent="0.3">
      <c r="A1349" s="37">
        <v>27</v>
      </c>
      <c r="B1349" s="38" t="s">
        <v>1024</v>
      </c>
      <c r="C1349" s="51">
        <v>7896261007758</v>
      </c>
      <c r="D1349" s="40" t="s">
        <v>70</v>
      </c>
      <c r="E1349" s="40"/>
      <c r="F1349" s="40">
        <v>238</v>
      </c>
      <c r="G1349" s="38"/>
      <c r="H1349" s="38" t="s">
        <v>973</v>
      </c>
      <c r="I1349" s="38" t="s">
        <v>311</v>
      </c>
      <c r="J1349" s="38" t="s">
        <v>947</v>
      </c>
      <c r="K1349" s="38" t="s">
        <v>1027</v>
      </c>
      <c r="L1349" s="52" t="s">
        <v>213</v>
      </c>
      <c r="M1349" s="53" t="s">
        <v>213</v>
      </c>
    </row>
    <row r="1350" spans="1:13" x14ac:dyDescent="0.3">
      <c r="A1350" s="37">
        <v>27</v>
      </c>
      <c r="B1350" s="38" t="s">
        <v>1024</v>
      </c>
      <c r="C1350" s="51">
        <v>7896261007758</v>
      </c>
      <c r="D1350" s="40" t="s">
        <v>70</v>
      </c>
      <c r="E1350" s="40"/>
      <c r="F1350" s="40">
        <v>277</v>
      </c>
      <c r="G1350" s="38"/>
      <c r="H1350" s="38" t="s">
        <v>1028</v>
      </c>
      <c r="I1350" s="38" t="s">
        <v>311</v>
      </c>
      <c r="J1350" s="38" t="s">
        <v>947</v>
      </c>
      <c r="K1350" s="38" t="s">
        <v>1029</v>
      </c>
      <c r="L1350" s="52" t="s">
        <v>213</v>
      </c>
      <c r="M1350" s="53" t="s">
        <v>213</v>
      </c>
    </row>
    <row r="1351" spans="1:13" x14ac:dyDescent="0.3">
      <c r="A1351" s="37">
        <v>27</v>
      </c>
      <c r="B1351" s="38" t="s">
        <v>1024</v>
      </c>
      <c r="C1351" s="51">
        <v>7896261007758</v>
      </c>
      <c r="D1351" s="40" t="s">
        <v>70</v>
      </c>
      <c r="E1351" s="40"/>
      <c r="F1351" s="40">
        <v>298</v>
      </c>
      <c r="G1351" s="38"/>
      <c r="H1351" s="38" t="s">
        <v>974</v>
      </c>
      <c r="I1351" s="38" t="s">
        <v>311</v>
      </c>
      <c r="J1351" s="38" t="s">
        <v>947</v>
      </c>
      <c r="K1351" s="38" t="s">
        <v>1029</v>
      </c>
      <c r="L1351" s="52" t="s">
        <v>213</v>
      </c>
      <c r="M1351" s="53" t="s">
        <v>213</v>
      </c>
    </row>
    <row r="1352" spans="1:13" x14ac:dyDescent="0.3">
      <c r="A1352" s="37">
        <v>27</v>
      </c>
      <c r="B1352" s="38" t="s">
        <v>1024</v>
      </c>
      <c r="C1352" s="51">
        <v>7896261007758</v>
      </c>
      <c r="D1352" s="40" t="s">
        <v>70</v>
      </c>
      <c r="E1352" s="40"/>
      <c r="F1352" s="40">
        <v>317</v>
      </c>
      <c r="G1352" s="38"/>
      <c r="H1352" s="38" t="s">
        <v>975</v>
      </c>
      <c r="I1352" s="38" t="s">
        <v>311</v>
      </c>
      <c r="J1352" s="38" t="s">
        <v>947</v>
      </c>
      <c r="K1352" s="38" t="s">
        <v>1029</v>
      </c>
      <c r="L1352" s="52" t="s">
        <v>213</v>
      </c>
      <c r="M1352" s="53" t="s">
        <v>213</v>
      </c>
    </row>
    <row r="1353" spans="1:13" x14ac:dyDescent="0.3">
      <c r="A1353" s="37">
        <v>27</v>
      </c>
      <c r="B1353" s="38" t="s">
        <v>1030</v>
      </c>
      <c r="C1353" s="51">
        <v>7896261007765</v>
      </c>
      <c r="D1353" s="40" t="s">
        <v>70</v>
      </c>
      <c r="E1353" s="40"/>
      <c r="F1353" s="40">
        <v>181</v>
      </c>
      <c r="G1353" s="38"/>
      <c r="H1353" s="38" t="s">
        <v>970</v>
      </c>
      <c r="I1353" s="38" t="s">
        <v>424</v>
      </c>
      <c r="J1353" s="38" t="s">
        <v>966</v>
      </c>
      <c r="K1353" s="56">
        <v>0.39700000000000002</v>
      </c>
      <c r="L1353" s="52" t="s">
        <v>213</v>
      </c>
      <c r="M1353" s="53" t="s">
        <v>213</v>
      </c>
    </row>
    <row r="1354" spans="1:13" x14ac:dyDescent="0.3">
      <c r="A1354" s="37">
        <v>27</v>
      </c>
      <c r="B1354" s="38" t="s">
        <v>1031</v>
      </c>
      <c r="C1354" s="51">
        <v>7896261007772</v>
      </c>
      <c r="D1354" s="40" t="s">
        <v>70</v>
      </c>
      <c r="E1354" s="40"/>
      <c r="F1354" s="40">
        <v>181</v>
      </c>
      <c r="G1354" s="38"/>
      <c r="H1354" s="38" t="s">
        <v>970</v>
      </c>
      <c r="I1354" s="38" t="s">
        <v>311</v>
      </c>
      <c r="J1354" s="38" t="s">
        <v>966</v>
      </c>
      <c r="K1354" s="38" t="s">
        <v>1025</v>
      </c>
      <c r="L1354" s="52" t="s">
        <v>213</v>
      </c>
      <c r="M1354" s="53" t="s">
        <v>213</v>
      </c>
    </row>
    <row r="1355" spans="1:13" x14ac:dyDescent="0.3">
      <c r="A1355" s="37">
        <v>27</v>
      </c>
      <c r="B1355" s="38" t="s">
        <v>1031</v>
      </c>
      <c r="C1355" s="51">
        <v>7896261007772</v>
      </c>
      <c r="D1355" s="40" t="s">
        <v>70</v>
      </c>
      <c r="E1355" s="40"/>
      <c r="F1355" s="40">
        <v>195</v>
      </c>
      <c r="G1355" s="38"/>
      <c r="H1355" s="38" t="s">
        <v>971</v>
      </c>
      <c r="I1355" s="38" t="s">
        <v>311</v>
      </c>
      <c r="J1355" s="38" t="s">
        <v>947</v>
      </c>
      <c r="K1355" s="38" t="s">
        <v>1026</v>
      </c>
      <c r="L1355" s="52" t="s">
        <v>213</v>
      </c>
      <c r="M1355" s="53" t="s">
        <v>213</v>
      </c>
    </row>
    <row r="1356" spans="1:13" x14ac:dyDescent="0.3">
      <c r="A1356" s="37">
        <v>27</v>
      </c>
      <c r="B1356" s="38" t="s">
        <v>1031</v>
      </c>
      <c r="C1356" s="51">
        <v>7896261007772</v>
      </c>
      <c r="D1356" s="40" t="s">
        <v>70</v>
      </c>
      <c r="E1356" s="40"/>
      <c r="F1356" s="40">
        <v>226</v>
      </c>
      <c r="G1356" s="38"/>
      <c r="H1356" s="38" t="s">
        <v>972</v>
      </c>
      <c r="I1356" s="38" t="s">
        <v>311</v>
      </c>
      <c r="J1356" s="38" t="s">
        <v>947</v>
      </c>
      <c r="K1356" s="38" t="s">
        <v>1027</v>
      </c>
      <c r="L1356" s="52" t="s">
        <v>213</v>
      </c>
      <c r="M1356" s="53" t="s">
        <v>213</v>
      </c>
    </row>
    <row r="1357" spans="1:13" x14ac:dyDescent="0.3">
      <c r="A1357" s="37">
        <v>27</v>
      </c>
      <c r="B1357" s="38" t="s">
        <v>1031</v>
      </c>
      <c r="C1357" s="51">
        <v>7896261007772</v>
      </c>
      <c r="D1357" s="40" t="s">
        <v>70</v>
      </c>
      <c r="E1357" s="40"/>
      <c r="F1357" s="40">
        <v>238</v>
      </c>
      <c r="G1357" s="38"/>
      <c r="H1357" s="38" t="s">
        <v>973</v>
      </c>
      <c r="I1357" s="38" t="s">
        <v>311</v>
      </c>
      <c r="J1357" s="38" t="s">
        <v>947</v>
      </c>
      <c r="K1357" s="38" t="s">
        <v>1027</v>
      </c>
      <c r="L1357" s="52" t="s">
        <v>213</v>
      </c>
      <c r="M1357" s="53" t="s">
        <v>213</v>
      </c>
    </row>
    <row r="1358" spans="1:13" x14ac:dyDescent="0.3">
      <c r="A1358" s="37">
        <v>27</v>
      </c>
      <c r="B1358" s="38" t="s">
        <v>1031</v>
      </c>
      <c r="C1358" s="51">
        <v>7896261007772</v>
      </c>
      <c r="D1358" s="40" t="s">
        <v>70</v>
      </c>
      <c r="E1358" s="40"/>
      <c r="F1358" s="40">
        <v>277</v>
      </c>
      <c r="G1358" s="38"/>
      <c r="H1358" s="38" t="s">
        <v>1028</v>
      </c>
      <c r="I1358" s="38" t="s">
        <v>311</v>
      </c>
      <c r="J1358" s="38" t="s">
        <v>947</v>
      </c>
      <c r="K1358" s="38" t="s">
        <v>1029</v>
      </c>
      <c r="L1358" s="52" t="s">
        <v>213</v>
      </c>
      <c r="M1358" s="53" t="s">
        <v>213</v>
      </c>
    </row>
    <row r="1359" spans="1:13" x14ac:dyDescent="0.3">
      <c r="A1359" s="37">
        <v>27</v>
      </c>
      <c r="B1359" s="38" t="s">
        <v>1031</v>
      </c>
      <c r="C1359" s="51">
        <v>7896261007772</v>
      </c>
      <c r="D1359" s="40" t="s">
        <v>70</v>
      </c>
      <c r="E1359" s="40"/>
      <c r="F1359" s="40">
        <v>298</v>
      </c>
      <c r="G1359" s="38"/>
      <c r="H1359" s="38" t="s">
        <v>974</v>
      </c>
      <c r="I1359" s="38" t="s">
        <v>311</v>
      </c>
      <c r="J1359" s="38" t="s">
        <v>947</v>
      </c>
      <c r="K1359" s="38" t="s">
        <v>1029</v>
      </c>
      <c r="L1359" s="52" t="s">
        <v>213</v>
      </c>
      <c r="M1359" s="53" t="s">
        <v>213</v>
      </c>
    </row>
    <row r="1360" spans="1:13" x14ac:dyDescent="0.3">
      <c r="A1360" s="37">
        <v>27</v>
      </c>
      <c r="B1360" s="38" t="s">
        <v>1031</v>
      </c>
      <c r="C1360" s="51">
        <v>7896261007772</v>
      </c>
      <c r="D1360" s="40" t="s">
        <v>70</v>
      </c>
      <c r="E1360" s="40"/>
      <c r="F1360" s="40">
        <v>317</v>
      </c>
      <c r="G1360" s="38"/>
      <c r="H1360" s="38" t="s">
        <v>975</v>
      </c>
      <c r="I1360" s="38" t="s">
        <v>311</v>
      </c>
      <c r="J1360" s="38" t="s">
        <v>947</v>
      </c>
      <c r="K1360" s="38" t="s">
        <v>1029</v>
      </c>
      <c r="L1360" s="52" t="s">
        <v>213</v>
      </c>
      <c r="M1360" s="53" t="s">
        <v>213</v>
      </c>
    </row>
    <row r="1361" spans="1:13" x14ac:dyDescent="0.3">
      <c r="A1361" s="37">
        <v>27</v>
      </c>
      <c r="B1361" s="38" t="s">
        <v>1032</v>
      </c>
      <c r="C1361" s="51">
        <v>7896261007789</v>
      </c>
      <c r="D1361" s="40" t="s">
        <v>70</v>
      </c>
      <c r="E1361" s="40"/>
      <c r="F1361" s="40">
        <v>181</v>
      </c>
      <c r="G1361" s="38"/>
      <c r="H1361" s="38" t="s">
        <v>970</v>
      </c>
      <c r="I1361" s="38" t="s">
        <v>311</v>
      </c>
      <c r="J1361" s="38" t="s">
        <v>966</v>
      </c>
      <c r="K1361" s="38" t="s">
        <v>1025</v>
      </c>
      <c r="L1361" s="52" t="s">
        <v>213</v>
      </c>
      <c r="M1361" s="53" t="s">
        <v>213</v>
      </c>
    </row>
    <row r="1362" spans="1:13" x14ac:dyDescent="0.3">
      <c r="A1362" s="37">
        <v>27</v>
      </c>
      <c r="B1362" s="38" t="s">
        <v>1032</v>
      </c>
      <c r="C1362" s="51">
        <v>7896261007789</v>
      </c>
      <c r="D1362" s="40" t="s">
        <v>70</v>
      </c>
      <c r="E1362" s="40"/>
      <c r="F1362" s="40">
        <v>195</v>
      </c>
      <c r="G1362" s="38"/>
      <c r="H1362" s="38" t="s">
        <v>971</v>
      </c>
      <c r="I1362" s="38" t="s">
        <v>311</v>
      </c>
      <c r="J1362" s="38" t="s">
        <v>947</v>
      </c>
      <c r="K1362" s="38" t="s">
        <v>1026</v>
      </c>
      <c r="L1362" s="52" t="s">
        <v>213</v>
      </c>
      <c r="M1362" s="53" t="s">
        <v>213</v>
      </c>
    </row>
    <row r="1363" spans="1:13" x14ac:dyDescent="0.3">
      <c r="A1363" s="37">
        <v>27</v>
      </c>
      <c r="B1363" s="38" t="s">
        <v>1032</v>
      </c>
      <c r="C1363" s="51">
        <v>7896261007789</v>
      </c>
      <c r="D1363" s="40" t="s">
        <v>70</v>
      </c>
      <c r="E1363" s="40"/>
      <c r="F1363" s="40">
        <v>226</v>
      </c>
      <c r="G1363" s="38"/>
      <c r="H1363" s="38" t="s">
        <v>972</v>
      </c>
      <c r="I1363" s="38" t="s">
        <v>311</v>
      </c>
      <c r="J1363" s="38" t="s">
        <v>947</v>
      </c>
      <c r="K1363" s="38" t="s">
        <v>1027</v>
      </c>
      <c r="L1363" s="52" t="s">
        <v>213</v>
      </c>
      <c r="M1363" s="53" t="s">
        <v>213</v>
      </c>
    </row>
    <row r="1364" spans="1:13" x14ac:dyDescent="0.3">
      <c r="A1364" s="37">
        <v>27</v>
      </c>
      <c r="B1364" s="38" t="s">
        <v>1032</v>
      </c>
      <c r="C1364" s="51">
        <v>7896261007789</v>
      </c>
      <c r="D1364" s="40" t="s">
        <v>70</v>
      </c>
      <c r="E1364" s="40"/>
      <c r="F1364" s="40">
        <v>232</v>
      </c>
      <c r="G1364" s="38"/>
      <c r="H1364" s="38" t="s">
        <v>1033</v>
      </c>
      <c r="I1364" s="38" t="s">
        <v>311</v>
      </c>
      <c r="J1364" s="38" t="s">
        <v>947</v>
      </c>
      <c r="K1364" s="38" t="s">
        <v>1027</v>
      </c>
      <c r="L1364" s="52" t="s">
        <v>213</v>
      </c>
      <c r="M1364" s="53" t="s">
        <v>213</v>
      </c>
    </row>
    <row r="1365" spans="1:13" x14ac:dyDescent="0.3">
      <c r="A1365" s="37">
        <v>27</v>
      </c>
      <c r="B1365" s="38" t="s">
        <v>1032</v>
      </c>
      <c r="C1365" s="51">
        <v>7896261007789</v>
      </c>
      <c r="D1365" s="40" t="s">
        <v>70</v>
      </c>
      <c r="E1365" s="40"/>
      <c r="F1365" s="40">
        <v>238</v>
      </c>
      <c r="G1365" s="38"/>
      <c r="H1365" s="38" t="s">
        <v>973</v>
      </c>
      <c r="I1365" s="38" t="s">
        <v>311</v>
      </c>
      <c r="J1365" s="38" t="s">
        <v>947</v>
      </c>
      <c r="K1365" s="38" t="s">
        <v>1027</v>
      </c>
      <c r="L1365" s="52" t="s">
        <v>213</v>
      </c>
      <c r="M1365" s="53" t="s">
        <v>213</v>
      </c>
    </row>
    <row r="1366" spans="1:13" x14ac:dyDescent="0.3">
      <c r="A1366" s="37">
        <v>27</v>
      </c>
      <c r="B1366" s="38" t="s">
        <v>1032</v>
      </c>
      <c r="C1366" s="51">
        <v>7896261007789</v>
      </c>
      <c r="D1366" s="40" t="s">
        <v>70</v>
      </c>
      <c r="E1366" s="40"/>
      <c r="F1366" s="40">
        <v>277</v>
      </c>
      <c r="G1366" s="38"/>
      <c r="H1366" s="38" t="s">
        <v>1028</v>
      </c>
      <c r="I1366" s="38" t="s">
        <v>311</v>
      </c>
      <c r="J1366" s="38" t="s">
        <v>947</v>
      </c>
      <c r="K1366" s="38" t="s">
        <v>1029</v>
      </c>
      <c r="L1366" s="52" t="s">
        <v>213</v>
      </c>
      <c r="M1366" s="53" t="s">
        <v>213</v>
      </c>
    </row>
    <row r="1367" spans="1:13" x14ac:dyDescent="0.3">
      <c r="A1367" s="37">
        <v>27</v>
      </c>
      <c r="B1367" s="38" t="s">
        <v>1032</v>
      </c>
      <c r="C1367" s="51">
        <v>7896261007789</v>
      </c>
      <c r="D1367" s="40" t="s">
        <v>70</v>
      </c>
      <c r="E1367" s="40"/>
      <c r="F1367" s="40">
        <v>298</v>
      </c>
      <c r="G1367" s="38"/>
      <c r="H1367" s="38" t="s">
        <v>974</v>
      </c>
      <c r="I1367" s="38" t="s">
        <v>311</v>
      </c>
      <c r="J1367" s="38" t="s">
        <v>947</v>
      </c>
      <c r="K1367" s="38" t="s">
        <v>1029</v>
      </c>
      <c r="L1367" s="52" t="s">
        <v>213</v>
      </c>
      <c r="M1367" s="53" t="s">
        <v>213</v>
      </c>
    </row>
    <row r="1368" spans="1:13" x14ac:dyDescent="0.3">
      <c r="A1368" s="37">
        <v>27</v>
      </c>
      <c r="B1368" s="38" t="s">
        <v>1032</v>
      </c>
      <c r="C1368" s="51">
        <v>7896261007789</v>
      </c>
      <c r="D1368" s="40" t="s">
        <v>70</v>
      </c>
      <c r="E1368" s="40"/>
      <c r="F1368" s="40">
        <v>317</v>
      </c>
      <c r="G1368" s="38"/>
      <c r="H1368" s="38" t="s">
        <v>975</v>
      </c>
      <c r="I1368" s="38" t="s">
        <v>311</v>
      </c>
      <c r="J1368" s="38" t="s">
        <v>947</v>
      </c>
      <c r="K1368" s="38" t="s">
        <v>1029</v>
      </c>
      <c r="L1368" s="52" t="s">
        <v>213</v>
      </c>
      <c r="M1368" s="53" t="s">
        <v>213</v>
      </c>
    </row>
    <row r="1369" spans="1:13" x14ac:dyDescent="0.3">
      <c r="A1369" s="37">
        <v>27</v>
      </c>
      <c r="B1369" s="38" t="s">
        <v>1034</v>
      </c>
      <c r="C1369" s="51">
        <v>7896261007796</v>
      </c>
      <c r="D1369" s="40" t="s">
        <v>70</v>
      </c>
      <c r="E1369" s="40"/>
      <c r="F1369" s="40">
        <v>181</v>
      </c>
      <c r="G1369" s="38"/>
      <c r="H1369" s="38" t="s">
        <v>970</v>
      </c>
      <c r="I1369" s="38" t="s">
        <v>311</v>
      </c>
      <c r="J1369" s="38" t="s">
        <v>966</v>
      </c>
      <c r="K1369" s="38" t="s">
        <v>1025</v>
      </c>
      <c r="L1369" s="52" t="s">
        <v>213</v>
      </c>
      <c r="M1369" s="53" t="s">
        <v>213</v>
      </c>
    </row>
    <row r="1370" spans="1:13" x14ac:dyDescent="0.3">
      <c r="A1370" s="37">
        <v>27</v>
      </c>
      <c r="B1370" s="38" t="s">
        <v>1034</v>
      </c>
      <c r="C1370" s="51">
        <v>7896261007796</v>
      </c>
      <c r="D1370" s="40" t="s">
        <v>70</v>
      </c>
      <c r="E1370" s="40"/>
      <c r="F1370" s="40">
        <v>188</v>
      </c>
      <c r="G1370" s="38"/>
      <c r="H1370" s="38" t="s">
        <v>1035</v>
      </c>
      <c r="I1370" s="38" t="s">
        <v>311</v>
      </c>
      <c r="J1370" s="38" t="s">
        <v>1036</v>
      </c>
      <c r="K1370" s="38" t="s">
        <v>1037</v>
      </c>
      <c r="L1370" s="52" t="s">
        <v>213</v>
      </c>
      <c r="M1370" s="53" t="s">
        <v>213</v>
      </c>
    </row>
    <row r="1371" spans="1:13" x14ac:dyDescent="0.3">
      <c r="A1371" s="37">
        <v>27</v>
      </c>
      <c r="B1371" s="38" t="s">
        <v>1034</v>
      </c>
      <c r="C1371" s="51">
        <v>7896261007796</v>
      </c>
      <c r="D1371" s="40" t="s">
        <v>70</v>
      </c>
      <c r="E1371" s="40"/>
      <c r="F1371" s="40">
        <v>195</v>
      </c>
      <c r="G1371" s="38"/>
      <c r="H1371" s="38" t="s">
        <v>971</v>
      </c>
      <c r="I1371" s="38" t="s">
        <v>311</v>
      </c>
      <c r="J1371" s="38" t="s">
        <v>947</v>
      </c>
      <c r="K1371" s="38" t="s">
        <v>1026</v>
      </c>
      <c r="L1371" s="52" t="s">
        <v>213</v>
      </c>
      <c r="M1371" s="53" t="s">
        <v>213</v>
      </c>
    </row>
    <row r="1372" spans="1:13" x14ac:dyDescent="0.3">
      <c r="A1372" s="37">
        <v>27</v>
      </c>
      <c r="B1372" s="38" t="s">
        <v>1034</v>
      </c>
      <c r="C1372" s="51">
        <v>7896261007796</v>
      </c>
      <c r="D1372" s="40" t="s">
        <v>70</v>
      </c>
      <c r="E1372" s="40"/>
      <c r="F1372" s="40">
        <v>226</v>
      </c>
      <c r="G1372" s="38"/>
      <c r="H1372" s="38" t="s">
        <v>972</v>
      </c>
      <c r="I1372" s="38" t="s">
        <v>311</v>
      </c>
      <c r="J1372" s="38" t="s">
        <v>947</v>
      </c>
      <c r="K1372" s="38" t="s">
        <v>1027</v>
      </c>
      <c r="L1372" s="52" t="s">
        <v>213</v>
      </c>
      <c r="M1372" s="53" t="s">
        <v>213</v>
      </c>
    </row>
    <row r="1373" spans="1:13" x14ac:dyDescent="0.3">
      <c r="A1373" s="37">
        <v>27</v>
      </c>
      <c r="B1373" s="38" t="s">
        <v>1034</v>
      </c>
      <c r="C1373" s="51">
        <v>7896261007796</v>
      </c>
      <c r="D1373" s="40" t="s">
        <v>70</v>
      </c>
      <c r="E1373" s="40"/>
      <c r="F1373" s="40">
        <v>238</v>
      </c>
      <c r="G1373" s="38"/>
      <c r="H1373" s="38" t="s">
        <v>973</v>
      </c>
      <c r="I1373" s="38" t="s">
        <v>311</v>
      </c>
      <c r="J1373" s="38" t="s">
        <v>947</v>
      </c>
      <c r="K1373" s="38" t="s">
        <v>1027</v>
      </c>
      <c r="L1373" s="52" t="s">
        <v>213</v>
      </c>
      <c r="M1373" s="53" t="s">
        <v>213</v>
      </c>
    </row>
    <row r="1374" spans="1:13" x14ac:dyDescent="0.3">
      <c r="A1374" s="37">
        <v>27</v>
      </c>
      <c r="B1374" s="38" t="s">
        <v>1034</v>
      </c>
      <c r="C1374" s="51">
        <v>7896261007796</v>
      </c>
      <c r="D1374" s="40" t="s">
        <v>70</v>
      </c>
      <c r="E1374" s="40"/>
      <c r="F1374" s="40">
        <v>277</v>
      </c>
      <c r="G1374" s="38"/>
      <c r="H1374" s="38" t="s">
        <v>1028</v>
      </c>
      <c r="I1374" s="38" t="s">
        <v>311</v>
      </c>
      <c r="J1374" s="38" t="s">
        <v>947</v>
      </c>
      <c r="K1374" s="38" t="s">
        <v>1029</v>
      </c>
      <c r="L1374" s="52" t="s">
        <v>213</v>
      </c>
      <c r="M1374" s="53" t="s">
        <v>213</v>
      </c>
    </row>
    <row r="1375" spans="1:13" x14ac:dyDescent="0.3">
      <c r="A1375" s="37">
        <v>27</v>
      </c>
      <c r="B1375" s="38" t="s">
        <v>1034</v>
      </c>
      <c r="C1375" s="51">
        <v>7896261007796</v>
      </c>
      <c r="D1375" s="40" t="s">
        <v>70</v>
      </c>
      <c r="E1375" s="40"/>
      <c r="F1375" s="40">
        <v>298</v>
      </c>
      <c r="G1375" s="38"/>
      <c r="H1375" s="38" t="s">
        <v>974</v>
      </c>
      <c r="I1375" s="38" t="s">
        <v>311</v>
      </c>
      <c r="J1375" s="38" t="s">
        <v>947</v>
      </c>
      <c r="K1375" s="38" t="s">
        <v>1029</v>
      </c>
      <c r="L1375" s="52" t="s">
        <v>213</v>
      </c>
      <c r="M1375" s="53" t="s">
        <v>213</v>
      </c>
    </row>
    <row r="1376" spans="1:13" x14ac:dyDescent="0.3">
      <c r="A1376" s="37">
        <v>27</v>
      </c>
      <c r="B1376" s="38" t="s">
        <v>1034</v>
      </c>
      <c r="C1376" s="51">
        <v>7896261007796</v>
      </c>
      <c r="D1376" s="40" t="s">
        <v>70</v>
      </c>
      <c r="E1376" s="40"/>
      <c r="F1376" s="40">
        <v>317</v>
      </c>
      <c r="G1376" s="38"/>
      <c r="H1376" s="38" t="s">
        <v>975</v>
      </c>
      <c r="I1376" s="38" t="s">
        <v>311</v>
      </c>
      <c r="J1376" s="38" t="s">
        <v>947</v>
      </c>
      <c r="K1376" s="38" t="s">
        <v>1029</v>
      </c>
      <c r="L1376" s="52" t="s">
        <v>213</v>
      </c>
      <c r="M1376" s="53" t="s">
        <v>213</v>
      </c>
    </row>
    <row r="1377" spans="1:13" x14ac:dyDescent="0.3">
      <c r="A1377" s="37">
        <v>27</v>
      </c>
      <c r="B1377" s="38" t="s">
        <v>1038</v>
      </c>
      <c r="C1377" s="51">
        <v>7896261008076</v>
      </c>
      <c r="D1377" s="40" t="s">
        <v>70</v>
      </c>
      <c r="E1377" s="40"/>
      <c r="F1377" s="40">
        <v>94</v>
      </c>
      <c r="G1377" s="38"/>
      <c r="H1377" s="38" t="s">
        <v>940</v>
      </c>
      <c r="I1377" s="38" t="s">
        <v>311</v>
      </c>
      <c r="J1377" s="38">
        <v>0</v>
      </c>
      <c r="K1377" s="38" t="s">
        <v>941</v>
      </c>
      <c r="L1377" s="52" t="s">
        <v>213</v>
      </c>
      <c r="M1377" s="53" t="s">
        <v>213</v>
      </c>
    </row>
    <row r="1378" spans="1:13" x14ac:dyDescent="0.3">
      <c r="A1378" s="37">
        <v>27</v>
      </c>
      <c r="B1378" s="38" t="s">
        <v>1038</v>
      </c>
      <c r="C1378" s="51">
        <v>7896261008076</v>
      </c>
      <c r="D1378" s="40" t="s">
        <v>70</v>
      </c>
      <c r="E1378" s="40"/>
      <c r="F1378" s="40">
        <v>159</v>
      </c>
      <c r="G1378" s="38"/>
      <c r="H1378" s="38" t="s">
        <v>942</v>
      </c>
      <c r="I1378" s="38" t="s">
        <v>311</v>
      </c>
      <c r="J1378" s="38">
        <v>0</v>
      </c>
      <c r="K1378" s="38" t="s">
        <v>943</v>
      </c>
      <c r="L1378" s="52" t="s">
        <v>213</v>
      </c>
      <c r="M1378" s="53" t="s">
        <v>213</v>
      </c>
    </row>
    <row r="1379" spans="1:13" x14ac:dyDescent="0.3">
      <c r="A1379" s="37">
        <v>27</v>
      </c>
      <c r="B1379" s="38" t="s">
        <v>1038</v>
      </c>
      <c r="C1379" s="51">
        <v>7896261008076</v>
      </c>
      <c r="D1379" s="40" t="s">
        <v>70</v>
      </c>
      <c r="E1379" s="40"/>
      <c r="F1379" s="40">
        <v>164</v>
      </c>
      <c r="G1379" s="38"/>
      <c r="H1379" s="38" t="s">
        <v>944</v>
      </c>
      <c r="I1379" s="38" t="s">
        <v>311</v>
      </c>
      <c r="J1379" s="38">
        <v>0</v>
      </c>
      <c r="K1379" s="38" t="s">
        <v>943</v>
      </c>
      <c r="L1379" s="52" t="s">
        <v>213</v>
      </c>
      <c r="M1379" s="53" t="s">
        <v>213</v>
      </c>
    </row>
    <row r="1380" spans="1:13" x14ac:dyDescent="0.3">
      <c r="A1380" s="37">
        <v>27</v>
      </c>
      <c r="B1380" s="38" t="s">
        <v>1038</v>
      </c>
      <c r="C1380" s="51">
        <v>7896261008076</v>
      </c>
      <c r="D1380" s="40" t="s">
        <v>70</v>
      </c>
      <c r="E1380" s="40"/>
      <c r="F1380" s="40">
        <v>174</v>
      </c>
      <c r="G1380" s="38"/>
      <c r="H1380" s="38" t="s">
        <v>945</v>
      </c>
      <c r="I1380" s="38" t="s">
        <v>311</v>
      </c>
      <c r="J1380" s="38">
        <v>0</v>
      </c>
      <c r="K1380" s="38" t="s">
        <v>943</v>
      </c>
      <c r="L1380" s="52" t="s">
        <v>213</v>
      </c>
      <c r="M1380" s="53" t="s">
        <v>213</v>
      </c>
    </row>
    <row r="1381" spans="1:13" x14ac:dyDescent="0.3">
      <c r="A1381" s="37">
        <v>27</v>
      </c>
      <c r="B1381" s="38" t="s">
        <v>1038</v>
      </c>
      <c r="C1381" s="51">
        <v>7896261008076</v>
      </c>
      <c r="D1381" s="40" t="s">
        <v>70</v>
      </c>
      <c r="E1381" s="40"/>
      <c r="F1381" s="40">
        <v>179</v>
      </c>
      <c r="G1381" s="38"/>
      <c r="H1381" s="38" t="s">
        <v>948</v>
      </c>
      <c r="I1381" s="38" t="s">
        <v>424</v>
      </c>
      <c r="J1381" s="38" t="s">
        <v>947</v>
      </c>
      <c r="K1381" s="56">
        <v>0.69</v>
      </c>
      <c r="L1381" s="52" t="s">
        <v>213</v>
      </c>
      <c r="M1381" s="53" t="s">
        <v>213</v>
      </c>
    </row>
    <row r="1382" spans="1:13" x14ac:dyDescent="0.3">
      <c r="A1382" s="37">
        <v>27</v>
      </c>
      <c r="B1382" s="38" t="s">
        <v>1038</v>
      </c>
      <c r="C1382" s="51">
        <v>7896261008076</v>
      </c>
      <c r="D1382" s="40" t="s">
        <v>70</v>
      </c>
      <c r="E1382" s="40"/>
      <c r="F1382" s="40">
        <v>192</v>
      </c>
      <c r="G1382" s="38"/>
      <c r="H1382" s="38" t="s">
        <v>978</v>
      </c>
      <c r="I1382" s="38" t="s">
        <v>424</v>
      </c>
      <c r="J1382" s="38" t="s">
        <v>947</v>
      </c>
      <c r="K1382" s="56">
        <v>0.49</v>
      </c>
      <c r="L1382" s="52" t="s">
        <v>213</v>
      </c>
      <c r="M1382" s="53" t="s">
        <v>213</v>
      </c>
    </row>
    <row r="1383" spans="1:13" x14ac:dyDescent="0.3">
      <c r="A1383" s="37">
        <v>27</v>
      </c>
      <c r="B1383" s="38" t="s">
        <v>1038</v>
      </c>
      <c r="C1383" s="51">
        <v>7896261008076</v>
      </c>
      <c r="D1383" s="40" t="s">
        <v>70</v>
      </c>
      <c r="E1383" s="40"/>
      <c r="F1383" s="40">
        <v>196</v>
      </c>
      <c r="G1383" s="38"/>
      <c r="H1383" s="38" t="s">
        <v>949</v>
      </c>
      <c r="I1383" s="38" t="s">
        <v>311</v>
      </c>
      <c r="J1383" s="38" t="s">
        <v>947</v>
      </c>
      <c r="K1383" s="38" t="s">
        <v>950</v>
      </c>
      <c r="L1383" s="52" t="s">
        <v>213</v>
      </c>
      <c r="M1383" s="53" t="s">
        <v>213</v>
      </c>
    </row>
    <row r="1384" spans="1:13" x14ac:dyDescent="0.3">
      <c r="A1384" s="37">
        <v>27</v>
      </c>
      <c r="B1384" s="38" t="s">
        <v>1038</v>
      </c>
      <c r="C1384" s="51">
        <v>7896261008076</v>
      </c>
      <c r="D1384" s="40" t="s">
        <v>70</v>
      </c>
      <c r="E1384" s="40"/>
      <c r="F1384" s="40">
        <v>197</v>
      </c>
      <c r="G1384" s="38"/>
      <c r="H1384" s="38" t="s">
        <v>951</v>
      </c>
      <c r="I1384" s="38" t="s">
        <v>311</v>
      </c>
      <c r="J1384" s="38" t="s">
        <v>947</v>
      </c>
      <c r="K1384" s="38" t="s">
        <v>950</v>
      </c>
      <c r="L1384" s="52" t="s">
        <v>213</v>
      </c>
      <c r="M1384" s="53" t="s">
        <v>213</v>
      </c>
    </row>
    <row r="1385" spans="1:13" x14ac:dyDescent="0.3">
      <c r="A1385" s="37">
        <v>27</v>
      </c>
      <c r="B1385" s="38" t="s">
        <v>1038</v>
      </c>
      <c r="C1385" s="51">
        <v>7896261008076</v>
      </c>
      <c r="D1385" s="40" t="s">
        <v>70</v>
      </c>
      <c r="E1385" s="40"/>
      <c r="F1385" s="40">
        <v>198</v>
      </c>
      <c r="G1385" s="38"/>
      <c r="H1385" s="38" t="s">
        <v>952</v>
      </c>
      <c r="I1385" s="38" t="s">
        <v>311</v>
      </c>
      <c r="J1385" s="38" t="s">
        <v>947</v>
      </c>
      <c r="K1385" s="38" t="s">
        <v>950</v>
      </c>
      <c r="L1385" s="52" t="s">
        <v>213</v>
      </c>
      <c r="M1385" s="53" t="s">
        <v>213</v>
      </c>
    </row>
    <row r="1386" spans="1:13" x14ac:dyDescent="0.3">
      <c r="A1386" s="37">
        <v>27</v>
      </c>
      <c r="B1386" s="38" t="s">
        <v>1038</v>
      </c>
      <c r="C1386" s="51">
        <v>7896261008076</v>
      </c>
      <c r="D1386" s="40" t="s">
        <v>70</v>
      </c>
      <c r="E1386" s="40"/>
      <c r="F1386" s="40">
        <v>199</v>
      </c>
      <c r="G1386" s="38"/>
      <c r="H1386" s="38" t="s">
        <v>953</v>
      </c>
      <c r="I1386" s="38" t="s">
        <v>311</v>
      </c>
      <c r="J1386" s="38" t="s">
        <v>947</v>
      </c>
      <c r="K1386" s="38" t="s">
        <v>950</v>
      </c>
      <c r="L1386" s="52" t="s">
        <v>213</v>
      </c>
      <c r="M1386" s="53" t="s">
        <v>213</v>
      </c>
    </row>
    <row r="1387" spans="1:13" x14ac:dyDescent="0.3">
      <c r="A1387" s="37">
        <v>27</v>
      </c>
      <c r="B1387" s="38" t="s">
        <v>1038</v>
      </c>
      <c r="C1387" s="51">
        <v>7896261008076</v>
      </c>
      <c r="D1387" s="40" t="s">
        <v>70</v>
      </c>
      <c r="E1387" s="40"/>
      <c r="F1387" s="40">
        <v>200</v>
      </c>
      <c r="G1387" s="38"/>
      <c r="H1387" s="38" t="s">
        <v>954</v>
      </c>
      <c r="I1387" s="38" t="s">
        <v>311</v>
      </c>
      <c r="J1387" s="38" t="s">
        <v>947</v>
      </c>
      <c r="K1387" s="38" t="s">
        <v>950</v>
      </c>
      <c r="L1387" s="52" t="s">
        <v>213</v>
      </c>
      <c r="M1387" s="53" t="s">
        <v>213</v>
      </c>
    </row>
    <row r="1388" spans="1:13" x14ac:dyDescent="0.3">
      <c r="A1388" s="37">
        <v>27</v>
      </c>
      <c r="B1388" s="38" t="s">
        <v>1038</v>
      </c>
      <c r="C1388" s="51">
        <v>7896261008076</v>
      </c>
      <c r="D1388" s="40" t="s">
        <v>70</v>
      </c>
      <c r="E1388" s="40"/>
      <c r="F1388" s="40">
        <v>215</v>
      </c>
      <c r="G1388" s="38"/>
      <c r="H1388" s="38" t="s">
        <v>955</v>
      </c>
      <c r="I1388" s="38" t="s">
        <v>311</v>
      </c>
      <c r="J1388" s="38" t="s">
        <v>947</v>
      </c>
      <c r="K1388" s="38" t="s">
        <v>950</v>
      </c>
      <c r="L1388" s="52" t="s">
        <v>213</v>
      </c>
      <c r="M1388" s="53" t="s">
        <v>213</v>
      </c>
    </row>
    <row r="1389" spans="1:13" x14ac:dyDescent="0.3">
      <c r="A1389" s="37">
        <v>27</v>
      </c>
      <c r="B1389" s="38" t="s">
        <v>1038</v>
      </c>
      <c r="C1389" s="51">
        <v>7896261008076</v>
      </c>
      <c r="D1389" s="40" t="s">
        <v>70</v>
      </c>
      <c r="E1389" s="40"/>
      <c r="F1389" s="40">
        <v>217</v>
      </c>
      <c r="G1389" s="38"/>
      <c r="H1389" s="38" t="s">
        <v>956</v>
      </c>
      <c r="I1389" s="38" t="s">
        <v>311</v>
      </c>
      <c r="J1389" s="38" t="s">
        <v>947</v>
      </c>
      <c r="K1389" s="38" t="s">
        <v>950</v>
      </c>
      <c r="L1389" s="52" t="s">
        <v>213</v>
      </c>
      <c r="M1389" s="53" t="s">
        <v>213</v>
      </c>
    </row>
    <row r="1390" spans="1:13" x14ac:dyDescent="0.3">
      <c r="A1390" s="37">
        <v>27</v>
      </c>
      <c r="B1390" s="38" t="s">
        <v>1038</v>
      </c>
      <c r="C1390" s="51">
        <v>7896261008076</v>
      </c>
      <c r="D1390" s="40" t="s">
        <v>70</v>
      </c>
      <c r="E1390" s="40"/>
      <c r="F1390" s="40">
        <v>219</v>
      </c>
      <c r="G1390" s="38"/>
      <c r="H1390" s="38" t="s">
        <v>957</v>
      </c>
      <c r="I1390" s="38" t="s">
        <v>311</v>
      </c>
      <c r="J1390" s="38" t="s">
        <v>947</v>
      </c>
      <c r="K1390" s="38" t="s">
        <v>950</v>
      </c>
      <c r="L1390" s="52" t="s">
        <v>213</v>
      </c>
      <c r="M1390" s="53" t="s">
        <v>213</v>
      </c>
    </row>
    <row r="1391" spans="1:13" x14ac:dyDescent="0.3">
      <c r="A1391" s="37">
        <v>27</v>
      </c>
      <c r="B1391" s="38" t="s">
        <v>1038</v>
      </c>
      <c r="C1391" s="51">
        <v>7896261008076</v>
      </c>
      <c r="D1391" s="40" t="s">
        <v>70</v>
      </c>
      <c r="E1391" s="40"/>
      <c r="F1391" s="40">
        <v>228</v>
      </c>
      <c r="G1391" s="38"/>
      <c r="H1391" s="38" t="s">
        <v>958</v>
      </c>
      <c r="I1391" s="38" t="s">
        <v>311</v>
      </c>
      <c r="J1391" s="38" t="s">
        <v>947</v>
      </c>
      <c r="K1391" s="38" t="s">
        <v>950</v>
      </c>
      <c r="L1391" s="52" t="s">
        <v>213</v>
      </c>
      <c r="M1391" s="53" t="s">
        <v>213</v>
      </c>
    </row>
    <row r="1392" spans="1:13" x14ac:dyDescent="0.3">
      <c r="A1392" s="37">
        <v>27</v>
      </c>
      <c r="B1392" s="38" t="s">
        <v>1038</v>
      </c>
      <c r="C1392" s="51">
        <v>7896261008076</v>
      </c>
      <c r="D1392" s="40" t="s">
        <v>70</v>
      </c>
      <c r="E1392" s="40"/>
      <c r="F1392" s="40">
        <v>229</v>
      </c>
      <c r="G1392" s="38"/>
      <c r="H1392" s="38" t="s">
        <v>959</v>
      </c>
      <c r="I1392" s="38" t="s">
        <v>311</v>
      </c>
      <c r="J1392" s="38" t="s">
        <v>947</v>
      </c>
      <c r="K1392" s="38" t="s">
        <v>950</v>
      </c>
      <c r="L1392" s="52" t="s">
        <v>213</v>
      </c>
      <c r="M1392" s="53" t="s">
        <v>213</v>
      </c>
    </row>
    <row r="1393" spans="1:13" x14ac:dyDescent="0.3">
      <c r="A1393" s="37">
        <v>27</v>
      </c>
      <c r="B1393" s="38" t="s">
        <v>1038</v>
      </c>
      <c r="C1393" s="51">
        <v>7896261008076</v>
      </c>
      <c r="D1393" s="40" t="s">
        <v>70</v>
      </c>
      <c r="E1393" s="40"/>
      <c r="F1393" s="40">
        <v>249</v>
      </c>
      <c r="G1393" s="38"/>
      <c r="H1393" s="38" t="s">
        <v>960</v>
      </c>
      <c r="I1393" s="38" t="s">
        <v>311</v>
      </c>
      <c r="J1393" s="38" t="s">
        <v>947</v>
      </c>
      <c r="K1393" s="38" t="s">
        <v>950</v>
      </c>
      <c r="L1393" s="52" t="s">
        <v>213</v>
      </c>
      <c r="M1393" s="53" t="s">
        <v>213</v>
      </c>
    </row>
    <row r="1394" spans="1:13" x14ac:dyDescent="0.3">
      <c r="A1394" s="37">
        <v>27</v>
      </c>
      <c r="B1394" s="38" t="s">
        <v>1038</v>
      </c>
      <c r="C1394" s="51">
        <v>7896261008076</v>
      </c>
      <c r="D1394" s="40" t="s">
        <v>70</v>
      </c>
      <c r="E1394" s="40"/>
      <c r="F1394" s="40">
        <v>301</v>
      </c>
      <c r="G1394" s="38"/>
      <c r="H1394" s="38" t="s">
        <v>963</v>
      </c>
      <c r="I1394" s="38" t="s">
        <v>311</v>
      </c>
      <c r="J1394" s="38" t="s">
        <v>947</v>
      </c>
      <c r="K1394" s="38" t="s">
        <v>950</v>
      </c>
      <c r="L1394" s="52" t="s">
        <v>213</v>
      </c>
      <c r="M1394" s="53" t="s">
        <v>213</v>
      </c>
    </row>
    <row r="1395" spans="1:13" x14ac:dyDescent="0.3">
      <c r="A1395" s="37">
        <v>27</v>
      </c>
      <c r="B1395" s="38" t="s">
        <v>1039</v>
      </c>
      <c r="C1395" s="51">
        <v>7896261008373</v>
      </c>
      <c r="D1395" s="40" t="s">
        <v>70</v>
      </c>
      <c r="E1395" s="40"/>
      <c r="F1395" s="40">
        <v>127</v>
      </c>
      <c r="G1395" s="38"/>
      <c r="H1395" s="38" t="s">
        <v>1040</v>
      </c>
      <c r="I1395" s="38" t="s">
        <v>424</v>
      </c>
      <c r="J1395" s="38" t="s">
        <v>947</v>
      </c>
      <c r="K1395" s="38">
        <v>9.36</v>
      </c>
      <c r="L1395" s="52" t="s">
        <v>213</v>
      </c>
      <c r="M1395" s="53" t="s">
        <v>213</v>
      </c>
    </row>
    <row r="1396" spans="1:13" x14ac:dyDescent="0.3">
      <c r="A1396" s="37">
        <v>27</v>
      </c>
      <c r="B1396" s="38" t="s">
        <v>1039</v>
      </c>
      <c r="C1396" s="51">
        <v>7896261008373</v>
      </c>
      <c r="D1396" s="40" t="s">
        <v>70</v>
      </c>
      <c r="E1396" s="40"/>
      <c r="F1396" s="40">
        <v>134</v>
      </c>
      <c r="G1396" s="38"/>
      <c r="H1396" s="38" t="s">
        <v>1041</v>
      </c>
      <c r="I1396" s="38" t="s">
        <v>424</v>
      </c>
      <c r="J1396" s="38" t="s">
        <v>947</v>
      </c>
      <c r="K1396" s="38">
        <v>24.7</v>
      </c>
      <c r="L1396" s="52" t="s">
        <v>213</v>
      </c>
      <c r="M1396" s="53" t="s">
        <v>213</v>
      </c>
    </row>
    <row r="1397" spans="1:13" x14ac:dyDescent="0.3">
      <c r="A1397" s="37">
        <v>27</v>
      </c>
      <c r="B1397" s="38" t="s">
        <v>1039</v>
      </c>
      <c r="C1397" s="51">
        <v>7896261008373</v>
      </c>
      <c r="D1397" s="40" t="s">
        <v>70</v>
      </c>
      <c r="E1397" s="40"/>
      <c r="F1397" s="40">
        <v>170</v>
      </c>
      <c r="G1397" s="38"/>
      <c r="H1397" s="38" t="s">
        <v>1042</v>
      </c>
      <c r="I1397" s="38" t="s">
        <v>424</v>
      </c>
      <c r="J1397" s="38" t="s">
        <v>947</v>
      </c>
      <c r="K1397" s="38">
        <v>24.7</v>
      </c>
      <c r="L1397" s="52" t="s">
        <v>213</v>
      </c>
      <c r="M1397" s="53" t="s">
        <v>213</v>
      </c>
    </row>
    <row r="1398" spans="1:13" x14ac:dyDescent="0.3">
      <c r="A1398" s="37">
        <v>27</v>
      </c>
      <c r="B1398" s="38" t="s">
        <v>1039</v>
      </c>
      <c r="C1398" s="51">
        <v>7896261008373</v>
      </c>
      <c r="D1398" s="40" t="s">
        <v>70</v>
      </c>
      <c r="E1398" s="40"/>
      <c r="F1398" s="40">
        <v>322</v>
      </c>
      <c r="G1398" s="38"/>
      <c r="H1398" s="38" t="s">
        <v>1043</v>
      </c>
      <c r="I1398" s="38" t="s">
        <v>424</v>
      </c>
      <c r="J1398" s="38" t="s">
        <v>947</v>
      </c>
      <c r="K1398" s="38">
        <v>24.7</v>
      </c>
      <c r="L1398" s="52" t="s">
        <v>213</v>
      </c>
      <c r="M1398" s="53" t="s">
        <v>213</v>
      </c>
    </row>
    <row r="1399" spans="1:13" x14ac:dyDescent="0.3">
      <c r="A1399" s="37">
        <v>27</v>
      </c>
      <c r="B1399" s="38" t="s">
        <v>1044</v>
      </c>
      <c r="C1399" s="51">
        <v>7896261008410</v>
      </c>
      <c r="D1399" s="40" t="s">
        <v>70</v>
      </c>
      <c r="E1399" s="40"/>
      <c r="F1399" s="40">
        <v>127</v>
      </c>
      <c r="G1399" s="38"/>
      <c r="H1399" s="38" t="s">
        <v>1040</v>
      </c>
      <c r="I1399" s="38" t="s">
        <v>424</v>
      </c>
      <c r="J1399" s="38" t="s">
        <v>947</v>
      </c>
      <c r="K1399" s="38">
        <v>9.36</v>
      </c>
      <c r="L1399" s="52" t="s">
        <v>213</v>
      </c>
      <c r="M1399" s="53" t="s">
        <v>213</v>
      </c>
    </row>
    <row r="1400" spans="1:13" x14ac:dyDescent="0.3">
      <c r="A1400" s="37">
        <v>27</v>
      </c>
      <c r="B1400" s="38" t="s">
        <v>1044</v>
      </c>
      <c r="C1400" s="51">
        <v>7896261008410</v>
      </c>
      <c r="D1400" s="40" t="s">
        <v>70</v>
      </c>
      <c r="E1400" s="40"/>
      <c r="F1400" s="40">
        <v>134</v>
      </c>
      <c r="G1400" s="38"/>
      <c r="H1400" s="38" t="s">
        <v>1041</v>
      </c>
      <c r="I1400" s="38" t="s">
        <v>424</v>
      </c>
      <c r="J1400" s="38" t="s">
        <v>947</v>
      </c>
      <c r="K1400" s="38">
        <v>24.7</v>
      </c>
      <c r="L1400" s="52" t="s">
        <v>213</v>
      </c>
      <c r="M1400" s="53" t="s">
        <v>213</v>
      </c>
    </row>
    <row r="1401" spans="1:13" x14ac:dyDescent="0.3">
      <c r="A1401" s="37">
        <v>27</v>
      </c>
      <c r="B1401" s="38" t="s">
        <v>1044</v>
      </c>
      <c r="C1401" s="51">
        <v>7896261008410</v>
      </c>
      <c r="D1401" s="40" t="s">
        <v>70</v>
      </c>
      <c r="E1401" s="40"/>
      <c r="F1401" s="40">
        <v>170</v>
      </c>
      <c r="G1401" s="38"/>
      <c r="H1401" s="38" t="s">
        <v>1042</v>
      </c>
      <c r="I1401" s="38" t="s">
        <v>424</v>
      </c>
      <c r="J1401" s="38" t="s">
        <v>947</v>
      </c>
      <c r="K1401" s="38">
        <v>24.7</v>
      </c>
      <c r="L1401" s="52" t="s">
        <v>213</v>
      </c>
      <c r="M1401" s="53" t="s">
        <v>213</v>
      </c>
    </row>
    <row r="1402" spans="1:13" x14ac:dyDescent="0.3">
      <c r="A1402" s="37">
        <v>27</v>
      </c>
      <c r="B1402" s="38" t="s">
        <v>1045</v>
      </c>
      <c r="C1402" s="51">
        <v>7896261008458</v>
      </c>
      <c r="D1402" s="40" t="s">
        <v>70</v>
      </c>
      <c r="E1402" s="40"/>
      <c r="F1402" s="40">
        <v>127</v>
      </c>
      <c r="G1402" s="38"/>
      <c r="H1402" s="38" t="s">
        <v>1040</v>
      </c>
      <c r="I1402" s="38" t="s">
        <v>424</v>
      </c>
      <c r="J1402" s="38" t="s">
        <v>947</v>
      </c>
      <c r="K1402" s="38">
        <v>20.36</v>
      </c>
      <c r="L1402" s="52" t="s">
        <v>213</v>
      </c>
      <c r="M1402" s="53" t="s">
        <v>213</v>
      </c>
    </row>
    <row r="1403" spans="1:13" x14ac:dyDescent="0.3">
      <c r="A1403" s="37">
        <v>27</v>
      </c>
      <c r="B1403" s="38" t="s">
        <v>1045</v>
      </c>
      <c r="C1403" s="51">
        <v>7896261008458</v>
      </c>
      <c r="D1403" s="40" t="s">
        <v>70</v>
      </c>
      <c r="E1403" s="40"/>
      <c r="F1403" s="40">
        <v>134</v>
      </c>
      <c r="G1403" s="38"/>
      <c r="H1403" s="38" t="s">
        <v>1041</v>
      </c>
      <c r="I1403" s="38" t="s">
        <v>424</v>
      </c>
      <c r="J1403" s="38" t="s">
        <v>947</v>
      </c>
      <c r="K1403" s="38">
        <v>20.36</v>
      </c>
      <c r="L1403" s="52" t="s">
        <v>213</v>
      </c>
      <c r="M1403" s="53" t="s">
        <v>213</v>
      </c>
    </row>
    <row r="1404" spans="1:13" x14ac:dyDescent="0.3">
      <c r="A1404" s="37">
        <v>27</v>
      </c>
      <c r="B1404" s="38" t="s">
        <v>1045</v>
      </c>
      <c r="C1404" s="51">
        <v>7896261008458</v>
      </c>
      <c r="D1404" s="40" t="s">
        <v>70</v>
      </c>
      <c r="E1404" s="40"/>
      <c r="F1404" s="40">
        <v>170</v>
      </c>
      <c r="G1404" s="38"/>
      <c r="H1404" s="38" t="s">
        <v>1042</v>
      </c>
      <c r="I1404" s="38" t="s">
        <v>424</v>
      </c>
      <c r="J1404" s="38" t="s">
        <v>947</v>
      </c>
      <c r="K1404" s="38">
        <v>20.36</v>
      </c>
      <c r="L1404" s="52" t="s">
        <v>213</v>
      </c>
      <c r="M1404" s="53" t="s">
        <v>213</v>
      </c>
    </row>
    <row r="1405" spans="1:13" x14ac:dyDescent="0.3">
      <c r="A1405" s="37">
        <v>27</v>
      </c>
      <c r="B1405" s="38" t="s">
        <v>1046</v>
      </c>
      <c r="C1405" s="51">
        <v>7896261008816</v>
      </c>
      <c r="D1405" s="40" t="s">
        <v>70</v>
      </c>
      <c r="E1405" s="40"/>
      <c r="F1405" s="40">
        <v>317</v>
      </c>
      <c r="G1405" s="38"/>
      <c r="H1405" s="38" t="s">
        <v>975</v>
      </c>
      <c r="I1405" s="38" t="s">
        <v>424</v>
      </c>
      <c r="J1405" s="38" t="s">
        <v>966</v>
      </c>
      <c r="K1405" s="56">
        <v>0.3</v>
      </c>
      <c r="L1405" s="52" t="s">
        <v>213</v>
      </c>
      <c r="M1405" s="53" t="s">
        <v>213</v>
      </c>
    </row>
    <row r="1406" spans="1:13" x14ac:dyDescent="0.3">
      <c r="A1406" s="37">
        <v>27</v>
      </c>
      <c r="B1406" s="38" t="s">
        <v>1047</v>
      </c>
      <c r="C1406" s="51">
        <v>7896261009554</v>
      </c>
      <c r="D1406" s="40" t="s">
        <v>70</v>
      </c>
      <c r="E1406" s="40"/>
      <c r="F1406" s="40">
        <v>94</v>
      </c>
      <c r="G1406" s="38"/>
      <c r="H1406" s="38" t="s">
        <v>940</v>
      </c>
      <c r="I1406" s="38" t="s">
        <v>311</v>
      </c>
      <c r="J1406" s="38">
        <v>0</v>
      </c>
      <c r="K1406" s="38" t="s">
        <v>1000</v>
      </c>
      <c r="L1406" s="52" t="s">
        <v>213</v>
      </c>
      <c r="M1406" s="53" t="s">
        <v>213</v>
      </c>
    </row>
    <row r="1407" spans="1:13" x14ac:dyDescent="0.3">
      <c r="A1407" s="37">
        <v>27</v>
      </c>
      <c r="B1407" s="38" t="s">
        <v>1047</v>
      </c>
      <c r="C1407" s="51">
        <v>7896261009554</v>
      </c>
      <c r="D1407" s="40" t="s">
        <v>70</v>
      </c>
      <c r="E1407" s="40"/>
      <c r="F1407" s="40">
        <v>159</v>
      </c>
      <c r="G1407" s="38"/>
      <c r="H1407" s="38" t="s">
        <v>942</v>
      </c>
      <c r="I1407" s="38" t="s">
        <v>311</v>
      </c>
      <c r="J1407" s="38">
        <v>0</v>
      </c>
      <c r="K1407" s="38" t="s">
        <v>1001</v>
      </c>
      <c r="L1407" s="52" t="s">
        <v>213</v>
      </c>
      <c r="M1407" s="53" t="s">
        <v>213</v>
      </c>
    </row>
    <row r="1408" spans="1:13" x14ac:dyDescent="0.3">
      <c r="A1408" s="37">
        <v>27</v>
      </c>
      <c r="B1408" s="38" t="s">
        <v>1047</v>
      </c>
      <c r="C1408" s="51">
        <v>7896261009554</v>
      </c>
      <c r="D1408" s="40" t="s">
        <v>70</v>
      </c>
      <c r="E1408" s="40"/>
      <c r="F1408" s="40">
        <v>164</v>
      </c>
      <c r="G1408" s="38"/>
      <c r="H1408" s="38" t="s">
        <v>944</v>
      </c>
      <c r="I1408" s="38" t="s">
        <v>311</v>
      </c>
      <c r="J1408" s="38">
        <v>0</v>
      </c>
      <c r="K1408" s="38" t="s">
        <v>1001</v>
      </c>
      <c r="L1408" s="52" t="s">
        <v>213</v>
      </c>
      <c r="M1408" s="53" t="s">
        <v>213</v>
      </c>
    </row>
    <row r="1409" spans="1:13" x14ac:dyDescent="0.3">
      <c r="A1409" s="37">
        <v>27</v>
      </c>
      <c r="B1409" s="38" t="s">
        <v>1047</v>
      </c>
      <c r="C1409" s="51">
        <v>7896261009554</v>
      </c>
      <c r="D1409" s="40" t="s">
        <v>70</v>
      </c>
      <c r="E1409" s="40"/>
      <c r="F1409" s="40">
        <v>174</v>
      </c>
      <c r="G1409" s="38"/>
      <c r="H1409" s="38" t="s">
        <v>945</v>
      </c>
      <c r="I1409" s="38" t="s">
        <v>311</v>
      </c>
      <c r="J1409" s="38">
        <v>0</v>
      </c>
      <c r="K1409" s="38" t="s">
        <v>1001</v>
      </c>
      <c r="L1409" s="52" t="s">
        <v>213</v>
      </c>
      <c r="M1409" s="53" t="s">
        <v>213</v>
      </c>
    </row>
    <row r="1410" spans="1:13" x14ac:dyDescent="0.3">
      <c r="A1410" s="37">
        <v>27</v>
      </c>
      <c r="B1410" s="38" t="s">
        <v>1047</v>
      </c>
      <c r="C1410" s="51">
        <v>7896261009554</v>
      </c>
      <c r="D1410" s="40" t="s">
        <v>70</v>
      </c>
      <c r="E1410" s="40"/>
      <c r="F1410" s="40">
        <v>178</v>
      </c>
      <c r="G1410" s="38"/>
      <c r="H1410" s="38" t="s">
        <v>946</v>
      </c>
      <c r="I1410" s="38" t="s">
        <v>424</v>
      </c>
      <c r="J1410" s="38" t="s">
        <v>947</v>
      </c>
      <c r="K1410" s="56">
        <v>0.57999999999999996</v>
      </c>
      <c r="L1410" s="52" t="s">
        <v>213</v>
      </c>
      <c r="M1410" s="53" t="s">
        <v>213</v>
      </c>
    </row>
    <row r="1411" spans="1:13" x14ac:dyDescent="0.3">
      <c r="A1411" s="37">
        <v>27</v>
      </c>
      <c r="B1411" s="38" t="s">
        <v>1047</v>
      </c>
      <c r="C1411" s="51">
        <v>7896261009554</v>
      </c>
      <c r="D1411" s="40" t="s">
        <v>70</v>
      </c>
      <c r="E1411" s="40"/>
      <c r="F1411" s="40">
        <v>179</v>
      </c>
      <c r="G1411" s="38"/>
      <c r="H1411" s="38" t="s">
        <v>948</v>
      </c>
      <c r="I1411" s="38" t="s">
        <v>424</v>
      </c>
      <c r="J1411" s="38" t="s">
        <v>947</v>
      </c>
      <c r="K1411" s="56">
        <v>0.68</v>
      </c>
      <c r="L1411" s="52" t="s">
        <v>213</v>
      </c>
      <c r="M1411" s="53" t="s">
        <v>213</v>
      </c>
    </row>
    <row r="1412" spans="1:13" x14ac:dyDescent="0.3">
      <c r="A1412" s="37">
        <v>27</v>
      </c>
      <c r="B1412" s="38" t="s">
        <v>1047</v>
      </c>
      <c r="C1412" s="51">
        <v>7896261009554</v>
      </c>
      <c r="D1412" s="40" t="s">
        <v>70</v>
      </c>
      <c r="E1412" s="40"/>
      <c r="F1412" s="40">
        <v>185</v>
      </c>
      <c r="G1412" s="38"/>
      <c r="H1412" s="38" t="s">
        <v>977</v>
      </c>
      <c r="I1412" s="38" t="s">
        <v>424</v>
      </c>
      <c r="J1412" s="38">
        <v>0</v>
      </c>
      <c r="K1412" s="56">
        <v>0.57999999999999996</v>
      </c>
      <c r="L1412" s="52" t="s">
        <v>213</v>
      </c>
      <c r="M1412" s="53" t="s">
        <v>213</v>
      </c>
    </row>
    <row r="1413" spans="1:13" x14ac:dyDescent="0.3">
      <c r="A1413" s="37">
        <v>27</v>
      </c>
      <c r="B1413" s="38" t="s">
        <v>1047</v>
      </c>
      <c r="C1413" s="51">
        <v>7896261009554</v>
      </c>
      <c r="D1413" s="40" t="s">
        <v>70</v>
      </c>
      <c r="E1413" s="40"/>
      <c r="F1413" s="40">
        <v>196</v>
      </c>
      <c r="G1413" s="38"/>
      <c r="H1413" s="38" t="s">
        <v>949</v>
      </c>
      <c r="I1413" s="38" t="s">
        <v>311</v>
      </c>
      <c r="J1413" s="38" t="s">
        <v>947</v>
      </c>
      <c r="K1413" s="38" t="s">
        <v>1002</v>
      </c>
      <c r="L1413" s="52" t="s">
        <v>213</v>
      </c>
      <c r="M1413" s="53" t="s">
        <v>213</v>
      </c>
    </row>
    <row r="1414" spans="1:13" x14ac:dyDescent="0.3">
      <c r="A1414" s="37">
        <v>27</v>
      </c>
      <c r="B1414" s="38" t="s">
        <v>1047</v>
      </c>
      <c r="C1414" s="51">
        <v>7896261009554</v>
      </c>
      <c r="D1414" s="40" t="s">
        <v>70</v>
      </c>
      <c r="E1414" s="40"/>
      <c r="F1414" s="40">
        <v>197</v>
      </c>
      <c r="G1414" s="38"/>
      <c r="H1414" s="38" t="s">
        <v>951</v>
      </c>
      <c r="I1414" s="38" t="s">
        <v>311</v>
      </c>
      <c r="J1414" s="38" t="s">
        <v>947</v>
      </c>
      <c r="K1414" s="38" t="s">
        <v>1002</v>
      </c>
      <c r="L1414" s="52" t="s">
        <v>213</v>
      </c>
      <c r="M1414" s="53" t="s">
        <v>213</v>
      </c>
    </row>
    <row r="1415" spans="1:13" x14ac:dyDescent="0.3">
      <c r="A1415" s="37">
        <v>27</v>
      </c>
      <c r="B1415" s="38" t="s">
        <v>1047</v>
      </c>
      <c r="C1415" s="51">
        <v>7896261009554</v>
      </c>
      <c r="D1415" s="40" t="s">
        <v>70</v>
      </c>
      <c r="E1415" s="40"/>
      <c r="F1415" s="40">
        <v>198</v>
      </c>
      <c r="G1415" s="38"/>
      <c r="H1415" s="38" t="s">
        <v>952</v>
      </c>
      <c r="I1415" s="38" t="s">
        <v>311</v>
      </c>
      <c r="J1415" s="38" t="s">
        <v>947</v>
      </c>
      <c r="K1415" s="38" t="s">
        <v>1002</v>
      </c>
      <c r="L1415" s="52" t="s">
        <v>213</v>
      </c>
      <c r="M1415" s="53" t="s">
        <v>213</v>
      </c>
    </row>
    <row r="1416" spans="1:13" x14ac:dyDescent="0.3">
      <c r="A1416" s="37">
        <v>27</v>
      </c>
      <c r="B1416" s="38" t="s">
        <v>1047</v>
      </c>
      <c r="C1416" s="51">
        <v>7896261009554</v>
      </c>
      <c r="D1416" s="40" t="s">
        <v>70</v>
      </c>
      <c r="E1416" s="40"/>
      <c r="F1416" s="40">
        <v>199</v>
      </c>
      <c r="G1416" s="38"/>
      <c r="H1416" s="38" t="s">
        <v>953</v>
      </c>
      <c r="I1416" s="38" t="s">
        <v>311</v>
      </c>
      <c r="J1416" s="38" t="s">
        <v>947</v>
      </c>
      <c r="K1416" s="38" t="s">
        <v>1002</v>
      </c>
      <c r="L1416" s="52" t="s">
        <v>213</v>
      </c>
      <c r="M1416" s="53" t="s">
        <v>213</v>
      </c>
    </row>
    <row r="1417" spans="1:13" x14ac:dyDescent="0.3">
      <c r="A1417" s="37">
        <v>27</v>
      </c>
      <c r="B1417" s="38" t="s">
        <v>1047</v>
      </c>
      <c r="C1417" s="51">
        <v>7896261009554</v>
      </c>
      <c r="D1417" s="40" t="s">
        <v>70</v>
      </c>
      <c r="E1417" s="40"/>
      <c r="F1417" s="40">
        <v>200</v>
      </c>
      <c r="G1417" s="38"/>
      <c r="H1417" s="38" t="s">
        <v>954</v>
      </c>
      <c r="I1417" s="38" t="s">
        <v>311</v>
      </c>
      <c r="J1417" s="38" t="s">
        <v>947</v>
      </c>
      <c r="K1417" s="38" t="s">
        <v>1002</v>
      </c>
      <c r="L1417" s="52" t="s">
        <v>213</v>
      </c>
      <c r="M1417" s="53" t="s">
        <v>213</v>
      </c>
    </row>
    <row r="1418" spans="1:13" x14ac:dyDescent="0.3">
      <c r="A1418" s="37">
        <v>27</v>
      </c>
      <c r="B1418" s="38" t="s">
        <v>1047</v>
      </c>
      <c r="C1418" s="51">
        <v>7896261009554</v>
      </c>
      <c r="D1418" s="40" t="s">
        <v>70</v>
      </c>
      <c r="E1418" s="40"/>
      <c r="F1418" s="40">
        <v>215</v>
      </c>
      <c r="G1418" s="38"/>
      <c r="H1418" s="38" t="s">
        <v>955</v>
      </c>
      <c r="I1418" s="38" t="s">
        <v>311</v>
      </c>
      <c r="J1418" s="38" t="s">
        <v>947</v>
      </c>
      <c r="K1418" s="38" t="s">
        <v>1002</v>
      </c>
      <c r="L1418" s="52" t="s">
        <v>213</v>
      </c>
      <c r="M1418" s="53" t="s">
        <v>213</v>
      </c>
    </row>
    <row r="1419" spans="1:13" x14ac:dyDescent="0.3">
      <c r="A1419" s="37">
        <v>27</v>
      </c>
      <c r="B1419" s="38" t="s">
        <v>1047</v>
      </c>
      <c r="C1419" s="51">
        <v>7896261009554</v>
      </c>
      <c r="D1419" s="40" t="s">
        <v>70</v>
      </c>
      <c r="E1419" s="40"/>
      <c r="F1419" s="40">
        <v>217</v>
      </c>
      <c r="G1419" s="38"/>
      <c r="H1419" s="38" t="s">
        <v>956</v>
      </c>
      <c r="I1419" s="38" t="s">
        <v>311</v>
      </c>
      <c r="J1419" s="38" t="s">
        <v>947</v>
      </c>
      <c r="K1419" s="38" t="s">
        <v>1002</v>
      </c>
      <c r="L1419" s="52" t="s">
        <v>213</v>
      </c>
      <c r="M1419" s="53" t="s">
        <v>213</v>
      </c>
    </row>
    <row r="1420" spans="1:13" x14ac:dyDescent="0.3">
      <c r="A1420" s="37">
        <v>27</v>
      </c>
      <c r="B1420" s="38" t="s">
        <v>1047</v>
      </c>
      <c r="C1420" s="51">
        <v>7896261009554</v>
      </c>
      <c r="D1420" s="40" t="s">
        <v>70</v>
      </c>
      <c r="E1420" s="40"/>
      <c r="F1420" s="40">
        <v>219</v>
      </c>
      <c r="G1420" s="38"/>
      <c r="H1420" s="38" t="s">
        <v>957</v>
      </c>
      <c r="I1420" s="38" t="s">
        <v>311</v>
      </c>
      <c r="J1420" s="38" t="s">
        <v>947</v>
      </c>
      <c r="K1420" s="38" t="s">
        <v>1002</v>
      </c>
      <c r="L1420" s="52" t="s">
        <v>213</v>
      </c>
      <c r="M1420" s="53" t="s">
        <v>213</v>
      </c>
    </row>
    <row r="1421" spans="1:13" x14ac:dyDescent="0.3">
      <c r="A1421" s="37">
        <v>27</v>
      </c>
      <c r="B1421" s="38" t="s">
        <v>1047</v>
      </c>
      <c r="C1421" s="51">
        <v>7896261009554</v>
      </c>
      <c r="D1421" s="40" t="s">
        <v>70</v>
      </c>
      <c r="E1421" s="40"/>
      <c r="F1421" s="40">
        <v>228</v>
      </c>
      <c r="G1421" s="38"/>
      <c r="H1421" s="38" t="s">
        <v>958</v>
      </c>
      <c r="I1421" s="38" t="s">
        <v>311</v>
      </c>
      <c r="J1421" s="38" t="s">
        <v>947</v>
      </c>
      <c r="K1421" s="38" t="s">
        <v>1002</v>
      </c>
      <c r="L1421" s="52" t="s">
        <v>213</v>
      </c>
      <c r="M1421" s="53" t="s">
        <v>213</v>
      </c>
    </row>
    <row r="1422" spans="1:13" x14ac:dyDescent="0.3">
      <c r="A1422" s="37">
        <v>27</v>
      </c>
      <c r="B1422" s="38" t="s">
        <v>1047</v>
      </c>
      <c r="C1422" s="51">
        <v>7896261009554</v>
      </c>
      <c r="D1422" s="40" t="s">
        <v>70</v>
      </c>
      <c r="E1422" s="40"/>
      <c r="F1422" s="40">
        <v>229</v>
      </c>
      <c r="G1422" s="38"/>
      <c r="H1422" s="38" t="s">
        <v>959</v>
      </c>
      <c r="I1422" s="38" t="s">
        <v>311</v>
      </c>
      <c r="J1422" s="38" t="s">
        <v>947</v>
      </c>
      <c r="K1422" s="38" t="s">
        <v>1002</v>
      </c>
      <c r="L1422" s="52" t="s">
        <v>213</v>
      </c>
      <c r="M1422" s="53" t="s">
        <v>213</v>
      </c>
    </row>
    <row r="1423" spans="1:13" x14ac:dyDescent="0.3">
      <c r="A1423" s="37">
        <v>27</v>
      </c>
      <c r="B1423" s="38" t="s">
        <v>1047</v>
      </c>
      <c r="C1423" s="51">
        <v>7896261009554</v>
      </c>
      <c r="D1423" s="40" t="s">
        <v>70</v>
      </c>
      <c r="E1423" s="40"/>
      <c r="F1423" s="40">
        <v>249</v>
      </c>
      <c r="G1423" s="38"/>
      <c r="H1423" s="38" t="s">
        <v>960</v>
      </c>
      <c r="I1423" s="38" t="s">
        <v>311</v>
      </c>
      <c r="J1423" s="38" t="s">
        <v>947</v>
      </c>
      <c r="K1423" s="38" t="s">
        <v>1002</v>
      </c>
      <c r="L1423" s="52" t="s">
        <v>213</v>
      </c>
      <c r="M1423" s="53" t="s">
        <v>213</v>
      </c>
    </row>
    <row r="1424" spans="1:13" x14ac:dyDescent="0.3">
      <c r="A1424" s="37">
        <v>27</v>
      </c>
      <c r="B1424" s="38" t="s">
        <v>1047</v>
      </c>
      <c r="C1424" s="51">
        <v>7896261009554</v>
      </c>
      <c r="D1424" s="40" t="s">
        <v>70</v>
      </c>
      <c r="E1424" s="40"/>
      <c r="F1424" s="40">
        <v>255</v>
      </c>
      <c r="G1424" s="38"/>
      <c r="H1424" s="38" t="s">
        <v>1003</v>
      </c>
      <c r="I1424" s="38" t="s">
        <v>424</v>
      </c>
      <c r="J1424" s="38" t="s">
        <v>947</v>
      </c>
      <c r="K1424" s="56">
        <v>0.66869999999999996</v>
      </c>
      <c r="L1424" s="52" t="s">
        <v>213</v>
      </c>
      <c r="M1424" s="53" t="s">
        <v>213</v>
      </c>
    </row>
    <row r="1425" spans="1:13" x14ac:dyDescent="0.3">
      <c r="A1425" s="37">
        <v>27</v>
      </c>
      <c r="B1425" s="38" t="s">
        <v>1047</v>
      </c>
      <c r="C1425" s="51">
        <v>7896261009554</v>
      </c>
      <c r="D1425" s="40" t="s">
        <v>70</v>
      </c>
      <c r="E1425" s="40"/>
      <c r="F1425" s="40">
        <v>262</v>
      </c>
      <c r="G1425" s="38"/>
      <c r="H1425" s="38" t="s">
        <v>961</v>
      </c>
      <c r="I1425" s="38" t="s">
        <v>424</v>
      </c>
      <c r="J1425" s="38" t="s">
        <v>947</v>
      </c>
      <c r="K1425" s="56">
        <v>0.57999999999999996</v>
      </c>
      <c r="L1425" s="52" t="s">
        <v>213</v>
      </c>
      <c r="M1425" s="53" t="s">
        <v>213</v>
      </c>
    </row>
    <row r="1426" spans="1:13" x14ac:dyDescent="0.3">
      <c r="A1426" s="37">
        <v>27</v>
      </c>
      <c r="B1426" s="38" t="s">
        <v>1047</v>
      </c>
      <c r="C1426" s="51">
        <v>7896261009554</v>
      </c>
      <c r="D1426" s="40" t="s">
        <v>70</v>
      </c>
      <c r="E1426" s="40"/>
      <c r="F1426" s="40">
        <v>270</v>
      </c>
      <c r="G1426" s="38"/>
      <c r="H1426" s="38" t="s">
        <v>1010</v>
      </c>
      <c r="I1426" s="38" t="s">
        <v>311</v>
      </c>
      <c r="J1426" s="38">
        <v>0</v>
      </c>
      <c r="K1426" s="38" t="s">
        <v>1011</v>
      </c>
      <c r="L1426" s="52" t="s">
        <v>213</v>
      </c>
      <c r="M1426" s="53" t="s">
        <v>213</v>
      </c>
    </row>
    <row r="1427" spans="1:13" x14ac:dyDescent="0.3">
      <c r="A1427" s="37">
        <v>27</v>
      </c>
      <c r="B1427" s="38" t="s">
        <v>1047</v>
      </c>
      <c r="C1427" s="51">
        <v>7896261009554</v>
      </c>
      <c r="D1427" s="40" t="s">
        <v>70</v>
      </c>
      <c r="E1427" s="40"/>
      <c r="F1427" s="40">
        <v>301</v>
      </c>
      <c r="G1427" s="38"/>
      <c r="H1427" s="38" t="s">
        <v>963</v>
      </c>
      <c r="I1427" s="38" t="s">
        <v>311</v>
      </c>
      <c r="J1427" s="38" t="s">
        <v>947</v>
      </c>
      <c r="K1427" s="38" t="s">
        <v>1002</v>
      </c>
      <c r="L1427" s="52" t="s">
        <v>213</v>
      </c>
      <c r="M1427" s="53" t="s">
        <v>213</v>
      </c>
    </row>
    <row r="1428" spans="1:13" x14ac:dyDescent="0.3">
      <c r="A1428" s="37">
        <v>27</v>
      </c>
      <c r="B1428" s="38" t="s">
        <v>1047</v>
      </c>
      <c r="C1428" s="51">
        <v>7896261009554</v>
      </c>
      <c r="D1428" s="40" t="s">
        <v>70</v>
      </c>
      <c r="E1428" s="40"/>
      <c r="F1428" s="40">
        <v>328</v>
      </c>
      <c r="G1428" s="38"/>
      <c r="H1428" s="38" t="s">
        <v>1048</v>
      </c>
      <c r="I1428" s="38" t="s">
        <v>311</v>
      </c>
      <c r="J1428" s="38" t="s">
        <v>947</v>
      </c>
      <c r="K1428" s="38" t="s">
        <v>1049</v>
      </c>
      <c r="L1428" s="52" t="s">
        <v>213</v>
      </c>
      <c r="M1428" s="53" t="s">
        <v>213</v>
      </c>
    </row>
    <row r="1429" spans="1:13" x14ac:dyDescent="0.3">
      <c r="A1429" s="37">
        <v>27</v>
      </c>
      <c r="B1429" s="38" t="s">
        <v>1050</v>
      </c>
      <c r="C1429" s="51">
        <v>7896261011106</v>
      </c>
      <c r="D1429" s="40" t="s">
        <v>70</v>
      </c>
      <c r="E1429" s="40"/>
      <c r="F1429" s="40">
        <v>210</v>
      </c>
      <c r="G1429" s="38"/>
      <c r="H1429" s="38" t="s">
        <v>936</v>
      </c>
      <c r="I1429" s="38" t="s">
        <v>311</v>
      </c>
      <c r="J1429" s="38" t="s">
        <v>937</v>
      </c>
      <c r="K1429" s="38" t="s">
        <v>1051</v>
      </c>
      <c r="L1429" s="52" t="s">
        <v>213</v>
      </c>
      <c r="M1429" s="53" t="s">
        <v>213</v>
      </c>
    </row>
    <row r="1430" spans="1:13" x14ac:dyDescent="0.3">
      <c r="A1430" s="37">
        <v>27</v>
      </c>
      <c r="B1430" s="38" t="s">
        <v>1050</v>
      </c>
      <c r="C1430" s="51">
        <v>7896261011106</v>
      </c>
      <c r="D1430" s="40" t="s">
        <v>70</v>
      </c>
      <c r="E1430" s="40"/>
      <c r="F1430" s="40">
        <v>407</v>
      </c>
      <c r="G1430" s="38"/>
      <c r="H1430" s="38" t="s">
        <v>991</v>
      </c>
      <c r="I1430" s="38" t="s">
        <v>424</v>
      </c>
      <c r="J1430" s="38" t="s">
        <v>937</v>
      </c>
      <c r="K1430" s="56">
        <v>0.4</v>
      </c>
      <c r="L1430" s="52" t="s">
        <v>213</v>
      </c>
      <c r="M1430" s="53" t="s">
        <v>213</v>
      </c>
    </row>
    <row r="1431" spans="1:13" x14ac:dyDescent="0.3">
      <c r="A1431" s="37">
        <v>27</v>
      </c>
      <c r="B1431" s="38" t="s">
        <v>1052</v>
      </c>
      <c r="C1431" s="51">
        <v>7896261012332</v>
      </c>
      <c r="D1431" s="40" t="s">
        <v>70</v>
      </c>
      <c r="E1431" s="40"/>
      <c r="F1431" s="40">
        <v>94</v>
      </c>
      <c r="G1431" s="38"/>
      <c r="H1431" s="38" t="s">
        <v>940</v>
      </c>
      <c r="I1431" s="38" t="s">
        <v>311</v>
      </c>
      <c r="J1431" s="38">
        <v>0</v>
      </c>
      <c r="K1431" s="38" t="s">
        <v>1053</v>
      </c>
      <c r="L1431" s="52" t="s">
        <v>213</v>
      </c>
      <c r="M1431" s="53" t="s">
        <v>213</v>
      </c>
    </row>
    <row r="1432" spans="1:13" x14ac:dyDescent="0.3">
      <c r="A1432" s="37">
        <v>27</v>
      </c>
      <c r="B1432" s="38" t="s">
        <v>1052</v>
      </c>
      <c r="C1432" s="51">
        <v>7896261012332</v>
      </c>
      <c r="D1432" s="40" t="s">
        <v>70</v>
      </c>
      <c r="E1432" s="40"/>
      <c r="F1432" s="40">
        <v>159</v>
      </c>
      <c r="G1432" s="38"/>
      <c r="H1432" s="38" t="s">
        <v>942</v>
      </c>
      <c r="I1432" s="38" t="s">
        <v>311</v>
      </c>
      <c r="J1432" s="38">
        <v>0</v>
      </c>
      <c r="K1432" s="38" t="s">
        <v>1054</v>
      </c>
      <c r="L1432" s="52" t="s">
        <v>213</v>
      </c>
      <c r="M1432" s="53" t="s">
        <v>213</v>
      </c>
    </row>
    <row r="1433" spans="1:13" x14ac:dyDescent="0.3">
      <c r="A1433" s="37">
        <v>27</v>
      </c>
      <c r="B1433" s="38" t="s">
        <v>1052</v>
      </c>
      <c r="C1433" s="51">
        <v>7896261012332</v>
      </c>
      <c r="D1433" s="40" t="s">
        <v>70</v>
      </c>
      <c r="E1433" s="40"/>
      <c r="F1433" s="40">
        <v>164</v>
      </c>
      <c r="G1433" s="38"/>
      <c r="H1433" s="38" t="s">
        <v>944</v>
      </c>
      <c r="I1433" s="38" t="s">
        <v>311</v>
      </c>
      <c r="J1433" s="38">
        <v>0</v>
      </c>
      <c r="K1433" s="38" t="s">
        <v>1054</v>
      </c>
      <c r="L1433" s="52" t="s">
        <v>213</v>
      </c>
      <c r="M1433" s="53" t="s">
        <v>213</v>
      </c>
    </row>
    <row r="1434" spans="1:13" x14ac:dyDescent="0.3">
      <c r="A1434" s="37">
        <v>27</v>
      </c>
      <c r="B1434" s="38" t="s">
        <v>1052</v>
      </c>
      <c r="C1434" s="51">
        <v>7896261012332</v>
      </c>
      <c r="D1434" s="40" t="s">
        <v>70</v>
      </c>
      <c r="E1434" s="40"/>
      <c r="F1434" s="40">
        <v>174</v>
      </c>
      <c r="G1434" s="38"/>
      <c r="H1434" s="38" t="s">
        <v>945</v>
      </c>
      <c r="I1434" s="38" t="s">
        <v>311</v>
      </c>
      <c r="J1434" s="38">
        <v>0</v>
      </c>
      <c r="K1434" s="38" t="s">
        <v>1054</v>
      </c>
      <c r="L1434" s="52" t="s">
        <v>213</v>
      </c>
      <c r="M1434" s="53" t="s">
        <v>213</v>
      </c>
    </row>
    <row r="1435" spans="1:13" x14ac:dyDescent="0.3">
      <c r="A1435" s="37">
        <v>27</v>
      </c>
      <c r="B1435" s="38" t="s">
        <v>1052</v>
      </c>
      <c r="C1435" s="51">
        <v>7896261012332</v>
      </c>
      <c r="D1435" s="40" t="s">
        <v>70</v>
      </c>
      <c r="E1435" s="40"/>
      <c r="F1435" s="40">
        <v>178</v>
      </c>
      <c r="G1435" s="38"/>
      <c r="H1435" s="38" t="s">
        <v>946</v>
      </c>
      <c r="I1435" s="38" t="s">
        <v>424</v>
      </c>
      <c r="J1435" s="38" t="s">
        <v>947</v>
      </c>
      <c r="K1435" s="56">
        <v>0.59</v>
      </c>
      <c r="L1435" s="52" t="s">
        <v>213</v>
      </c>
      <c r="M1435" s="53" t="s">
        <v>213</v>
      </c>
    </row>
    <row r="1436" spans="1:13" x14ac:dyDescent="0.3">
      <c r="A1436" s="37">
        <v>27</v>
      </c>
      <c r="B1436" s="38" t="s">
        <v>1052</v>
      </c>
      <c r="C1436" s="51">
        <v>7896261012332</v>
      </c>
      <c r="D1436" s="40" t="s">
        <v>70</v>
      </c>
      <c r="E1436" s="40"/>
      <c r="F1436" s="40">
        <v>179</v>
      </c>
      <c r="G1436" s="38"/>
      <c r="H1436" s="38" t="s">
        <v>948</v>
      </c>
      <c r="I1436" s="38" t="s">
        <v>424</v>
      </c>
      <c r="J1436" s="38" t="s">
        <v>947</v>
      </c>
      <c r="K1436" s="56">
        <v>0.69</v>
      </c>
      <c r="L1436" s="52" t="s">
        <v>213</v>
      </c>
      <c r="M1436" s="53" t="s">
        <v>213</v>
      </c>
    </row>
    <row r="1437" spans="1:13" x14ac:dyDescent="0.3">
      <c r="A1437" s="37">
        <v>27</v>
      </c>
      <c r="B1437" s="38" t="s">
        <v>1052</v>
      </c>
      <c r="C1437" s="51">
        <v>7896261012332</v>
      </c>
      <c r="D1437" s="40" t="s">
        <v>70</v>
      </c>
      <c r="E1437" s="40"/>
      <c r="F1437" s="40">
        <v>185</v>
      </c>
      <c r="G1437" s="38"/>
      <c r="H1437" s="38" t="s">
        <v>977</v>
      </c>
      <c r="I1437" s="38" t="s">
        <v>424</v>
      </c>
      <c r="J1437" s="38">
        <v>0</v>
      </c>
      <c r="K1437" s="56">
        <v>0.59</v>
      </c>
      <c r="L1437" s="52" t="s">
        <v>213</v>
      </c>
      <c r="M1437" s="53" t="s">
        <v>213</v>
      </c>
    </row>
    <row r="1438" spans="1:13" x14ac:dyDescent="0.3">
      <c r="A1438" s="37">
        <v>27</v>
      </c>
      <c r="B1438" s="38" t="s">
        <v>1052</v>
      </c>
      <c r="C1438" s="51">
        <v>7896261012332</v>
      </c>
      <c r="D1438" s="40" t="s">
        <v>70</v>
      </c>
      <c r="E1438" s="40"/>
      <c r="F1438" s="40">
        <v>196</v>
      </c>
      <c r="G1438" s="38"/>
      <c r="H1438" s="38" t="s">
        <v>949</v>
      </c>
      <c r="I1438" s="38" t="s">
        <v>311</v>
      </c>
      <c r="J1438" s="38" t="s">
        <v>947</v>
      </c>
      <c r="K1438" s="38" t="s">
        <v>1055</v>
      </c>
      <c r="L1438" s="52" t="s">
        <v>213</v>
      </c>
      <c r="M1438" s="53" t="s">
        <v>213</v>
      </c>
    </row>
    <row r="1439" spans="1:13" x14ac:dyDescent="0.3">
      <c r="A1439" s="37">
        <v>27</v>
      </c>
      <c r="B1439" s="38" t="s">
        <v>1052</v>
      </c>
      <c r="C1439" s="51">
        <v>7896261012332</v>
      </c>
      <c r="D1439" s="40" t="s">
        <v>70</v>
      </c>
      <c r="E1439" s="40"/>
      <c r="F1439" s="40">
        <v>197</v>
      </c>
      <c r="G1439" s="38"/>
      <c r="H1439" s="38" t="s">
        <v>951</v>
      </c>
      <c r="I1439" s="38" t="s">
        <v>311</v>
      </c>
      <c r="J1439" s="38" t="s">
        <v>947</v>
      </c>
      <c r="K1439" s="38" t="s">
        <v>1055</v>
      </c>
      <c r="L1439" s="52" t="s">
        <v>213</v>
      </c>
      <c r="M1439" s="53" t="s">
        <v>213</v>
      </c>
    </row>
    <row r="1440" spans="1:13" x14ac:dyDescent="0.3">
      <c r="A1440" s="37">
        <v>27</v>
      </c>
      <c r="B1440" s="38" t="s">
        <v>1052</v>
      </c>
      <c r="C1440" s="51">
        <v>7896261012332</v>
      </c>
      <c r="D1440" s="40" t="s">
        <v>70</v>
      </c>
      <c r="E1440" s="40"/>
      <c r="F1440" s="40">
        <v>198</v>
      </c>
      <c r="G1440" s="38"/>
      <c r="H1440" s="38" t="s">
        <v>952</v>
      </c>
      <c r="I1440" s="38" t="s">
        <v>311</v>
      </c>
      <c r="J1440" s="38" t="s">
        <v>947</v>
      </c>
      <c r="K1440" s="38" t="s">
        <v>1055</v>
      </c>
      <c r="L1440" s="52" t="s">
        <v>213</v>
      </c>
      <c r="M1440" s="53" t="s">
        <v>213</v>
      </c>
    </row>
    <row r="1441" spans="1:13" x14ac:dyDescent="0.3">
      <c r="A1441" s="37">
        <v>27</v>
      </c>
      <c r="B1441" s="38" t="s">
        <v>1052</v>
      </c>
      <c r="C1441" s="51">
        <v>7896261012332</v>
      </c>
      <c r="D1441" s="40" t="s">
        <v>70</v>
      </c>
      <c r="E1441" s="40"/>
      <c r="F1441" s="40">
        <v>199</v>
      </c>
      <c r="G1441" s="38"/>
      <c r="H1441" s="38" t="s">
        <v>953</v>
      </c>
      <c r="I1441" s="38" t="s">
        <v>311</v>
      </c>
      <c r="J1441" s="38" t="s">
        <v>947</v>
      </c>
      <c r="K1441" s="38" t="s">
        <v>1055</v>
      </c>
      <c r="L1441" s="52" t="s">
        <v>213</v>
      </c>
      <c r="M1441" s="53" t="s">
        <v>213</v>
      </c>
    </row>
    <row r="1442" spans="1:13" x14ac:dyDescent="0.3">
      <c r="A1442" s="37">
        <v>27</v>
      </c>
      <c r="B1442" s="38" t="s">
        <v>1052</v>
      </c>
      <c r="C1442" s="51">
        <v>7896261012332</v>
      </c>
      <c r="D1442" s="40" t="s">
        <v>70</v>
      </c>
      <c r="E1442" s="40"/>
      <c r="F1442" s="40">
        <v>200</v>
      </c>
      <c r="G1442" s="38"/>
      <c r="H1442" s="38" t="s">
        <v>954</v>
      </c>
      <c r="I1442" s="38" t="s">
        <v>311</v>
      </c>
      <c r="J1442" s="38" t="s">
        <v>947</v>
      </c>
      <c r="K1442" s="38" t="s">
        <v>1055</v>
      </c>
      <c r="L1442" s="52" t="s">
        <v>213</v>
      </c>
      <c r="M1442" s="53" t="s">
        <v>213</v>
      </c>
    </row>
    <row r="1443" spans="1:13" x14ac:dyDescent="0.3">
      <c r="A1443" s="37">
        <v>27</v>
      </c>
      <c r="B1443" s="38" t="s">
        <v>1052</v>
      </c>
      <c r="C1443" s="51">
        <v>7896261012332</v>
      </c>
      <c r="D1443" s="40" t="s">
        <v>70</v>
      </c>
      <c r="E1443" s="40"/>
      <c r="F1443" s="40">
        <v>215</v>
      </c>
      <c r="G1443" s="38"/>
      <c r="H1443" s="38" t="s">
        <v>955</v>
      </c>
      <c r="I1443" s="38" t="s">
        <v>311</v>
      </c>
      <c r="J1443" s="38" t="s">
        <v>947</v>
      </c>
      <c r="K1443" s="38" t="s">
        <v>1055</v>
      </c>
      <c r="L1443" s="52" t="s">
        <v>213</v>
      </c>
      <c r="M1443" s="53" t="s">
        <v>213</v>
      </c>
    </row>
    <row r="1444" spans="1:13" x14ac:dyDescent="0.3">
      <c r="A1444" s="37">
        <v>27</v>
      </c>
      <c r="B1444" s="38" t="s">
        <v>1052</v>
      </c>
      <c r="C1444" s="51">
        <v>7896261012332</v>
      </c>
      <c r="D1444" s="40" t="s">
        <v>70</v>
      </c>
      <c r="E1444" s="40"/>
      <c r="F1444" s="40">
        <v>217</v>
      </c>
      <c r="G1444" s="38"/>
      <c r="H1444" s="38" t="s">
        <v>956</v>
      </c>
      <c r="I1444" s="38" t="s">
        <v>311</v>
      </c>
      <c r="J1444" s="38" t="s">
        <v>947</v>
      </c>
      <c r="K1444" s="38" t="s">
        <v>1055</v>
      </c>
      <c r="L1444" s="52" t="s">
        <v>213</v>
      </c>
      <c r="M1444" s="53" t="s">
        <v>213</v>
      </c>
    </row>
    <row r="1445" spans="1:13" x14ac:dyDescent="0.3">
      <c r="A1445" s="37">
        <v>27</v>
      </c>
      <c r="B1445" s="38" t="s">
        <v>1052</v>
      </c>
      <c r="C1445" s="51">
        <v>7896261012332</v>
      </c>
      <c r="D1445" s="40" t="s">
        <v>70</v>
      </c>
      <c r="E1445" s="40"/>
      <c r="F1445" s="40">
        <v>219</v>
      </c>
      <c r="G1445" s="38"/>
      <c r="H1445" s="38" t="s">
        <v>957</v>
      </c>
      <c r="I1445" s="38" t="s">
        <v>311</v>
      </c>
      <c r="J1445" s="38" t="s">
        <v>947</v>
      </c>
      <c r="K1445" s="38" t="s">
        <v>1055</v>
      </c>
      <c r="L1445" s="52" t="s">
        <v>213</v>
      </c>
      <c r="M1445" s="53" t="s">
        <v>213</v>
      </c>
    </row>
    <row r="1446" spans="1:13" x14ac:dyDescent="0.3">
      <c r="A1446" s="37">
        <v>27</v>
      </c>
      <c r="B1446" s="38" t="s">
        <v>1052</v>
      </c>
      <c r="C1446" s="51">
        <v>7896261012332</v>
      </c>
      <c r="D1446" s="40" t="s">
        <v>70</v>
      </c>
      <c r="E1446" s="40"/>
      <c r="F1446" s="40">
        <v>228</v>
      </c>
      <c r="G1446" s="38"/>
      <c r="H1446" s="38" t="s">
        <v>958</v>
      </c>
      <c r="I1446" s="38" t="s">
        <v>311</v>
      </c>
      <c r="J1446" s="38" t="s">
        <v>947</v>
      </c>
      <c r="K1446" s="38" t="s">
        <v>1055</v>
      </c>
      <c r="L1446" s="52" t="s">
        <v>213</v>
      </c>
      <c r="M1446" s="53" t="s">
        <v>213</v>
      </c>
    </row>
    <row r="1447" spans="1:13" x14ac:dyDescent="0.3">
      <c r="A1447" s="37">
        <v>27</v>
      </c>
      <c r="B1447" s="38" t="s">
        <v>1052</v>
      </c>
      <c r="C1447" s="51">
        <v>7896261012332</v>
      </c>
      <c r="D1447" s="40" t="s">
        <v>70</v>
      </c>
      <c r="E1447" s="40"/>
      <c r="F1447" s="40">
        <v>229</v>
      </c>
      <c r="G1447" s="38"/>
      <c r="H1447" s="38" t="s">
        <v>959</v>
      </c>
      <c r="I1447" s="38" t="s">
        <v>311</v>
      </c>
      <c r="J1447" s="38" t="s">
        <v>947</v>
      </c>
      <c r="K1447" s="38" t="s">
        <v>1055</v>
      </c>
      <c r="L1447" s="52" t="s">
        <v>213</v>
      </c>
      <c r="M1447" s="53" t="s">
        <v>213</v>
      </c>
    </row>
    <row r="1448" spans="1:13" x14ac:dyDescent="0.3">
      <c r="A1448" s="37">
        <v>27</v>
      </c>
      <c r="B1448" s="38" t="s">
        <v>1052</v>
      </c>
      <c r="C1448" s="51">
        <v>7896261012332</v>
      </c>
      <c r="D1448" s="40" t="s">
        <v>70</v>
      </c>
      <c r="E1448" s="40"/>
      <c r="F1448" s="40">
        <v>247</v>
      </c>
      <c r="G1448" s="38"/>
      <c r="H1448" s="38" t="s">
        <v>979</v>
      </c>
      <c r="I1448" s="38" t="s">
        <v>424</v>
      </c>
      <c r="J1448" s="38" t="s">
        <v>947</v>
      </c>
      <c r="K1448" s="56">
        <v>0.6</v>
      </c>
      <c r="L1448" s="52" t="s">
        <v>213</v>
      </c>
      <c r="M1448" s="53" t="s">
        <v>213</v>
      </c>
    </row>
    <row r="1449" spans="1:13" x14ac:dyDescent="0.3">
      <c r="A1449" s="37">
        <v>27</v>
      </c>
      <c r="B1449" s="38" t="s">
        <v>1052</v>
      </c>
      <c r="C1449" s="51">
        <v>7896261012332</v>
      </c>
      <c r="D1449" s="40" t="s">
        <v>70</v>
      </c>
      <c r="E1449" s="40"/>
      <c r="F1449" s="40">
        <v>249</v>
      </c>
      <c r="G1449" s="38"/>
      <c r="H1449" s="38" t="s">
        <v>960</v>
      </c>
      <c r="I1449" s="38" t="s">
        <v>311</v>
      </c>
      <c r="J1449" s="38" t="s">
        <v>947</v>
      </c>
      <c r="K1449" s="38" t="s">
        <v>1055</v>
      </c>
      <c r="L1449" s="52" t="s">
        <v>213</v>
      </c>
      <c r="M1449" s="53" t="s">
        <v>213</v>
      </c>
    </row>
    <row r="1450" spans="1:13" x14ac:dyDescent="0.3">
      <c r="A1450" s="37">
        <v>27</v>
      </c>
      <c r="B1450" s="38" t="s">
        <v>1052</v>
      </c>
      <c r="C1450" s="51">
        <v>7896261012332</v>
      </c>
      <c r="D1450" s="40" t="s">
        <v>70</v>
      </c>
      <c r="E1450" s="40"/>
      <c r="F1450" s="40">
        <v>262</v>
      </c>
      <c r="G1450" s="38"/>
      <c r="H1450" s="38" t="s">
        <v>961</v>
      </c>
      <c r="I1450" s="38" t="s">
        <v>424</v>
      </c>
      <c r="J1450" s="38" t="s">
        <v>947</v>
      </c>
      <c r="K1450" s="38">
        <v>58.7</v>
      </c>
      <c r="L1450" s="52" t="s">
        <v>213</v>
      </c>
      <c r="M1450" s="53" t="s">
        <v>213</v>
      </c>
    </row>
    <row r="1451" spans="1:13" x14ac:dyDescent="0.3">
      <c r="A1451" s="37">
        <v>27</v>
      </c>
      <c r="B1451" s="38" t="s">
        <v>1052</v>
      </c>
      <c r="C1451" s="51">
        <v>7896261012332</v>
      </c>
      <c r="D1451" s="40" t="s">
        <v>70</v>
      </c>
      <c r="E1451" s="40"/>
      <c r="F1451" s="40">
        <v>301</v>
      </c>
      <c r="G1451" s="38"/>
      <c r="H1451" s="38" t="s">
        <v>963</v>
      </c>
      <c r="I1451" s="38" t="s">
        <v>311</v>
      </c>
      <c r="J1451" s="38" t="s">
        <v>947</v>
      </c>
      <c r="K1451" s="38" t="s">
        <v>950</v>
      </c>
      <c r="L1451" s="52" t="s">
        <v>213</v>
      </c>
      <c r="M1451" s="53" t="s">
        <v>213</v>
      </c>
    </row>
    <row r="1452" spans="1:13" x14ac:dyDescent="0.3">
      <c r="A1452" s="37">
        <v>27</v>
      </c>
      <c r="B1452" s="38" t="s">
        <v>1056</v>
      </c>
      <c r="C1452" s="51">
        <v>7896261012356</v>
      </c>
      <c r="D1452" s="40" t="s">
        <v>70</v>
      </c>
      <c r="E1452" s="40"/>
      <c r="F1452" s="40">
        <v>94</v>
      </c>
      <c r="G1452" s="38"/>
      <c r="H1452" s="38" t="s">
        <v>940</v>
      </c>
      <c r="I1452" s="38" t="s">
        <v>311</v>
      </c>
      <c r="J1452" s="38">
        <v>0</v>
      </c>
      <c r="K1452" s="38" t="s">
        <v>1053</v>
      </c>
      <c r="L1452" s="52" t="s">
        <v>213</v>
      </c>
      <c r="M1452" s="53" t="s">
        <v>213</v>
      </c>
    </row>
    <row r="1453" spans="1:13" x14ac:dyDescent="0.3">
      <c r="A1453" s="37">
        <v>27</v>
      </c>
      <c r="B1453" s="38" t="s">
        <v>1056</v>
      </c>
      <c r="C1453" s="51">
        <v>7896261012356</v>
      </c>
      <c r="D1453" s="40" t="s">
        <v>70</v>
      </c>
      <c r="E1453" s="40"/>
      <c r="F1453" s="40">
        <v>159</v>
      </c>
      <c r="G1453" s="38"/>
      <c r="H1453" s="38" t="s">
        <v>942</v>
      </c>
      <c r="I1453" s="38" t="s">
        <v>311</v>
      </c>
      <c r="J1453" s="38">
        <v>0</v>
      </c>
      <c r="K1453" s="38" t="s">
        <v>1054</v>
      </c>
      <c r="L1453" s="52" t="s">
        <v>213</v>
      </c>
      <c r="M1453" s="53" t="s">
        <v>213</v>
      </c>
    </row>
    <row r="1454" spans="1:13" x14ac:dyDescent="0.3">
      <c r="A1454" s="37">
        <v>27</v>
      </c>
      <c r="B1454" s="38" t="s">
        <v>1056</v>
      </c>
      <c r="C1454" s="51">
        <v>7896261012356</v>
      </c>
      <c r="D1454" s="40" t="s">
        <v>70</v>
      </c>
      <c r="E1454" s="40"/>
      <c r="F1454" s="40">
        <v>164</v>
      </c>
      <c r="G1454" s="38"/>
      <c r="H1454" s="38" t="s">
        <v>944</v>
      </c>
      <c r="I1454" s="38" t="s">
        <v>311</v>
      </c>
      <c r="J1454" s="38">
        <v>0</v>
      </c>
      <c r="K1454" s="38" t="s">
        <v>1054</v>
      </c>
      <c r="L1454" s="52" t="s">
        <v>213</v>
      </c>
      <c r="M1454" s="53" t="s">
        <v>213</v>
      </c>
    </row>
    <row r="1455" spans="1:13" x14ac:dyDescent="0.3">
      <c r="A1455" s="37">
        <v>27</v>
      </c>
      <c r="B1455" s="38" t="s">
        <v>1056</v>
      </c>
      <c r="C1455" s="51">
        <v>7896261012356</v>
      </c>
      <c r="D1455" s="40" t="s">
        <v>70</v>
      </c>
      <c r="E1455" s="40"/>
      <c r="F1455" s="40">
        <v>174</v>
      </c>
      <c r="G1455" s="38"/>
      <c r="H1455" s="38" t="s">
        <v>945</v>
      </c>
      <c r="I1455" s="38" t="s">
        <v>311</v>
      </c>
      <c r="J1455" s="38">
        <v>0</v>
      </c>
      <c r="K1455" s="38" t="s">
        <v>1054</v>
      </c>
      <c r="L1455" s="52" t="s">
        <v>213</v>
      </c>
      <c r="M1455" s="53" t="s">
        <v>213</v>
      </c>
    </row>
    <row r="1456" spans="1:13" x14ac:dyDescent="0.3">
      <c r="A1456" s="37">
        <v>27</v>
      </c>
      <c r="B1456" s="38" t="s">
        <v>1056</v>
      </c>
      <c r="C1456" s="51">
        <v>7896261012356</v>
      </c>
      <c r="D1456" s="40" t="s">
        <v>70</v>
      </c>
      <c r="E1456" s="40"/>
      <c r="F1456" s="40">
        <v>178</v>
      </c>
      <c r="G1456" s="38"/>
      <c r="H1456" s="38" t="s">
        <v>946</v>
      </c>
      <c r="I1456" s="38" t="s">
        <v>424</v>
      </c>
      <c r="J1456" s="38" t="s">
        <v>947</v>
      </c>
      <c r="K1456" s="56">
        <v>0.59</v>
      </c>
      <c r="L1456" s="52" t="s">
        <v>213</v>
      </c>
      <c r="M1456" s="53" t="s">
        <v>213</v>
      </c>
    </row>
    <row r="1457" spans="1:13" x14ac:dyDescent="0.3">
      <c r="A1457" s="37">
        <v>27</v>
      </c>
      <c r="B1457" s="38" t="s">
        <v>1056</v>
      </c>
      <c r="C1457" s="51">
        <v>7896261012356</v>
      </c>
      <c r="D1457" s="40" t="s">
        <v>70</v>
      </c>
      <c r="E1457" s="40"/>
      <c r="F1457" s="40">
        <v>179</v>
      </c>
      <c r="G1457" s="38"/>
      <c r="H1457" s="38" t="s">
        <v>948</v>
      </c>
      <c r="I1457" s="38" t="s">
        <v>424</v>
      </c>
      <c r="J1457" s="38" t="s">
        <v>947</v>
      </c>
      <c r="K1457" s="56">
        <v>0.69</v>
      </c>
      <c r="L1457" s="52" t="s">
        <v>213</v>
      </c>
      <c r="M1457" s="53" t="s">
        <v>213</v>
      </c>
    </row>
    <row r="1458" spans="1:13" x14ac:dyDescent="0.3">
      <c r="A1458" s="37">
        <v>27</v>
      </c>
      <c r="B1458" s="38" t="s">
        <v>1056</v>
      </c>
      <c r="C1458" s="51">
        <v>7896261012356</v>
      </c>
      <c r="D1458" s="40" t="s">
        <v>70</v>
      </c>
      <c r="E1458" s="40"/>
      <c r="F1458" s="40">
        <v>185</v>
      </c>
      <c r="G1458" s="38"/>
      <c r="H1458" s="38" t="s">
        <v>977</v>
      </c>
      <c r="I1458" s="38" t="s">
        <v>424</v>
      </c>
      <c r="J1458" s="38">
        <v>0</v>
      </c>
      <c r="K1458" s="56">
        <v>0.59</v>
      </c>
      <c r="L1458" s="52" t="s">
        <v>213</v>
      </c>
      <c r="M1458" s="53" t="s">
        <v>213</v>
      </c>
    </row>
    <row r="1459" spans="1:13" x14ac:dyDescent="0.3">
      <c r="A1459" s="37">
        <v>27</v>
      </c>
      <c r="B1459" s="38" t="s">
        <v>1056</v>
      </c>
      <c r="C1459" s="51">
        <v>7896261012356</v>
      </c>
      <c r="D1459" s="40" t="s">
        <v>70</v>
      </c>
      <c r="E1459" s="40"/>
      <c r="F1459" s="40">
        <v>196</v>
      </c>
      <c r="G1459" s="38"/>
      <c r="H1459" s="38" t="s">
        <v>949</v>
      </c>
      <c r="I1459" s="38" t="s">
        <v>311</v>
      </c>
      <c r="J1459" s="38" t="s">
        <v>947</v>
      </c>
      <c r="K1459" s="38" t="s">
        <v>1055</v>
      </c>
      <c r="L1459" s="52" t="s">
        <v>213</v>
      </c>
      <c r="M1459" s="53" t="s">
        <v>213</v>
      </c>
    </row>
    <row r="1460" spans="1:13" x14ac:dyDescent="0.3">
      <c r="A1460" s="37">
        <v>27</v>
      </c>
      <c r="B1460" s="38" t="s">
        <v>1056</v>
      </c>
      <c r="C1460" s="51">
        <v>7896261012356</v>
      </c>
      <c r="D1460" s="40" t="s">
        <v>70</v>
      </c>
      <c r="E1460" s="40"/>
      <c r="F1460" s="40">
        <v>197</v>
      </c>
      <c r="G1460" s="38"/>
      <c r="H1460" s="38" t="s">
        <v>951</v>
      </c>
      <c r="I1460" s="38" t="s">
        <v>311</v>
      </c>
      <c r="J1460" s="38" t="s">
        <v>947</v>
      </c>
      <c r="K1460" s="38" t="s">
        <v>1055</v>
      </c>
      <c r="L1460" s="52" t="s">
        <v>213</v>
      </c>
      <c r="M1460" s="53" t="s">
        <v>213</v>
      </c>
    </row>
    <row r="1461" spans="1:13" x14ac:dyDescent="0.3">
      <c r="A1461" s="37">
        <v>27</v>
      </c>
      <c r="B1461" s="38" t="s">
        <v>1056</v>
      </c>
      <c r="C1461" s="51">
        <v>7896261012356</v>
      </c>
      <c r="D1461" s="40" t="s">
        <v>70</v>
      </c>
      <c r="E1461" s="40"/>
      <c r="F1461" s="40">
        <v>198</v>
      </c>
      <c r="G1461" s="38"/>
      <c r="H1461" s="38" t="s">
        <v>952</v>
      </c>
      <c r="I1461" s="38" t="s">
        <v>311</v>
      </c>
      <c r="J1461" s="38" t="s">
        <v>947</v>
      </c>
      <c r="K1461" s="38" t="s">
        <v>1055</v>
      </c>
      <c r="L1461" s="52" t="s">
        <v>213</v>
      </c>
      <c r="M1461" s="53" t="s">
        <v>213</v>
      </c>
    </row>
    <row r="1462" spans="1:13" x14ac:dyDescent="0.3">
      <c r="A1462" s="37">
        <v>27</v>
      </c>
      <c r="B1462" s="38" t="s">
        <v>1056</v>
      </c>
      <c r="C1462" s="51">
        <v>7896261012356</v>
      </c>
      <c r="D1462" s="40" t="s">
        <v>70</v>
      </c>
      <c r="E1462" s="40"/>
      <c r="F1462" s="40">
        <v>199</v>
      </c>
      <c r="G1462" s="38"/>
      <c r="H1462" s="38" t="s">
        <v>953</v>
      </c>
      <c r="I1462" s="38" t="s">
        <v>311</v>
      </c>
      <c r="J1462" s="38" t="s">
        <v>947</v>
      </c>
      <c r="K1462" s="38" t="s">
        <v>1055</v>
      </c>
      <c r="L1462" s="52" t="s">
        <v>213</v>
      </c>
      <c r="M1462" s="53" t="s">
        <v>213</v>
      </c>
    </row>
    <row r="1463" spans="1:13" x14ac:dyDescent="0.3">
      <c r="A1463" s="37">
        <v>27</v>
      </c>
      <c r="B1463" s="38" t="s">
        <v>1056</v>
      </c>
      <c r="C1463" s="51">
        <v>7896261012356</v>
      </c>
      <c r="D1463" s="40" t="s">
        <v>70</v>
      </c>
      <c r="E1463" s="40"/>
      <c r="F1463" s="40">
        <v>200</v>
      </c>
      <c r="G1463" s="38"/>
      <c r="H1463" s="38" t="s">
        <v>954</v>
      </c>
      <c r="I1463" s="38" t="s">
        <v>311</v>
      </c>
      <c r="J1463" s="38" t="s">
        <v>947</v>
      </c>
      <c r="K1463" s="38" t="s">
        <v>1055</v>
      </c>
      <c r="L1463" s="52" t="s">
        <v>213</v>
      </c>
      <c r="M1463" s="53" t="s">
        <v>213</v>
      </c>
    </row>
    <row r="1464" spans="1:13" x14ac:dyDescent="0.3">
      <c r="A1464" s="37">
        <v>27</v>
      </c>
      <c r="B1464" s="38" t="s">
        <v>1056</v>
      </c>
      <c r="C1464" s="51">
        <v>7896261012356</v>
      </c>
      <c r="D1464" s="40" t="s">
        <v>70</v>
      </c>
      <c r="E1464" s="40"/>
      <c r="F1464" s="40">
        <v>215</v>
      </c>
      <c r="G1464" s="38"/>
      <c r="H1464" s="38" t="s">
        <v>955</v>
      </c>
      <c r="I1464" s="38" t="s">
        <v>311</v>
      </c>
      <c r="J1464" s="38" t="s">
        <v>947</v>
      </c>
      <c r="K1464" s="38" t="s">
        <v>1055</v>
      </c>
      <c r="L1464" s="52" t="s">
        <v>213</v>
      </c>
      <c r="M1464" s="53" t="s">
        <v>213</v>
      </c>
    </row>
    <row r="1465" spans="1:13" x14ac:dyDescent="0.3">
      <c r="A1465" s="37">
        <v>27</v>
      </c>
      <c r="B1465" s="38" t="s">
        <v>1056</v>
      </c>
      <c r="C1465" s="51">
        <v>7896261012356</v>
      </c>
      <c r="D1465" s="40" t="s">
        <v>70</v>
      </c>
      <c r="E1465" s="40"/>
      <c r="F1465" s="40">
        <v>217</v>
      </c>
      <c r="G1465" s="38"/>
      <c r="H1465" s="38" t="s">
        <v>956</v>
      </c>
      <c r="I1465" s="38" t="s">
        <v>311</v>
      </c>
      <c r="J1465" s="38" t="s">
        <v>947</v>
      </c>
      <c r="K1465" s="38" t="s">
        <v>1055</v>
      </c>
      <c r="L1465" s="52" t="s">
        <v>213</v>
      </c>
      <c r="M1465" s="53" t="s">
        <v>213</v>
      </c>
    </row>
    <row r="1466" spans="1:13" x14ac:dyDescent="0.3">
      <c r="A1466" s="37">
        <v>27</v>
      </c>
      <c r="B1466" s="38" t="s">
        <v>1056</v>
      </c>
      <c r="C1466" s="51">
        <v>7896261012356</v>
      </c>
      <c r="D1466" s="40" t="s">
        <v>70</v>
      </c>
      <c r="E1466" s="40"/>
      <c r="F1466" s="40">
        <v>219</v>
      </c>
      <c r="G1466" s="38"/>
      <c r="H1466" s="38" t="s">
        <v>957</v>
      </c>
      <c r="I1466" s="38" t="s">
        <v>311</v>
      </c>
      <c r="J1466" s="38" t="s">
        <v>947</v>
      </c>
      <c r="K1466" s="38" t="s">
        <v>1055</v>
      </c>
      <c r="L1466" s="52" t="s">
        <v>213</v>
      </c>
      <c r="M1466" s="53" t="s">
        <v>213</v>
      </c>
    </row>
    <row r="1467" spans="1:13" x14ac:dyDescent="0.3">
      <c r="A1467" s="37">
        <v>27</v>
      </c>
      <c r="B1467" s="38" t="s">
        <v>1056</v>
      </c>
      <c r="C1467" s="51">
        <v>7896261012356</v>
      </c>
      <c r="D1467" s="40" t="s">
        <v>70</v>
      </c>
      <c r="E1467" s="40"/>
      <c r="F1467" s="40">
        <v>228</v>
      </c>
      <c r="G1467" s="38"/>
      <c r="H1467" s="38" t="s">
        <v>958</v>
      </c>
      <c r="I1467" s="38" t="s">
        <v>311</v>
      </c>
      <c r="J1467" s="38" t="s">
        <v>947</v>
      </c>
      <c r="K1467" s="38" t="s">
        <v>1055</v>
      </c>
      <c r="L1467" s="52" t="s">
        <v>213</v>
      </c>
      <c r="M1467" s="53" t="s">
        <v>213</v>
      </c>
    </row>
    <row r="1468" spans="1:13" x14ac:dyDescent="0.3">
      <c r="A1468" s="37">
        <v>27</v>
      </c>
      <c r="B1468" s="38" t="s">
        <v>1056</v>
      </c>
      <c r="C1468" s="51">
        <v>7896261012356</v>
      </c>
      <c r="D1468" s="40" t="s">
        <v>70</v>
      </c>
      <c r="E1468" s="40"/>
      <c r="F1468" s="40">
        <v>229</v>
      </c>
      <c r="G1468" s="38"/>
      <c r="H1468" s="38" t="s">
        <v>959</v>
      </c>
      <c r="I1468" s="38" t="s">
        <v>311</v>
      </c>
      <c r="J1468" s="38" t="s">
        <v>947</v>
      </c>
      <c r="K1468" s="38" t="s">
        <v>1055</v>
      </c>
      <c r="L1468" s="52" t="s">
        <v>213</v>
      </c>
      <c r="M1468" s="53" t="s">
        <v>213</v>
      </c>
    </row>
    <row r="1469" spans="1:13" x14ac:dyDescent="0.3">
      <c r="A1469" s="37">
        <v>27</v>
      </c>
      <c r="B1469" s="38" t="s">
        <v>1056</v>
      </c>
      <c r="C1469" s="51">
        <v>7896261012356</v>
      </c>
      <c r="D1469" s="40" t="s">
        <v>70</v>
      </c>
      <c r="E1469" s="40"/>
      <c r="F1469" s="40">
        <v>247</v>
      </c>
      <c r="G1469" s="38"/>
      <c r="H1469" s="38" t="s">
        <v>979</v>
      </c>
      <c r="I1469" s="38" t="s">
        <v>424</v>
      </c>
      <c r="J1469" s="38" t="s">
        <v>947</v>
      </c>
      <c r="K1469" s="56">
        <v>0.6</v>
      </c>
      <c r="L1469" s="52" t="s">
        <v>213</v>
      </c>
      <c r="M1469" s="53" t="s">
        <v>213</v>
      </c>
    </row>
    <row r="1470" spans="1:13" x14ac:dyDescent="0.3">
      <c r="A1470" s="37">
        <v>27</v>
      </c>
      <c r="B1470" s="38" t="s">
        <v>1056</v>
      </c>
      <c r="C1470" s="51">
        <v>7896261012356</v>
      </c>
      <c r="D1470" s="40" t="s">
        <v>70</v>
      </c>
      <c r="E1470" s="40"/>
      <c r="F1470" s="40">
        <v>249</v>
      </c>
      <c r="G1470" s="38"/>
      <c r="H1470" s="38" t="s">
        <v>960</v>
      </c>
      <c r="I1470" s="38" t="s">
        <v>311</v>
      </c>
      <c r="J1470" s="38" t="s">
        <v>947</v>
      </c>
      <c r="K1470" s="38" t="s">
        <v>1055</v>
      </c>
      <c r="L1470" s="52" t="s">
        <v>213</v>
      </c>
      <c r="M1470" s="53" t="s">
        <v>213</v>
      </c>
    </row>
    <row r="1471" spans="1:13" x14ac:dyDescent="0.3">
      <c r="A1471" s="37">
        <v>27</v>
      </c>
      <c r="B1471" s="38" t="s">
        <v>1056</v>
      </c>
      <c r="C1471" s="51">
        <v>7896261012356</v>
      </c>
      <c r="D1471" s="40" t="s">
        <v>70</v>
      </c>
      <c r="E1471" s="40"/>
      <c r="F1471" s="40">
        <v>262</v>
      </c>
      <c r="G1471" s="38"/>
      <c r="H1471" s="38" t="s">
        <v>961</v>
      </c>
      <c r="I1471" s="38" t="s">
        <v>424</v>
      </c>
      <c r="J1471" s="38" t="s">
        <v>947</v>
      </c>
      <c r="K1471" s="38">
        <v>58.7</v>
      </c>
      <c r="L1471" s="52" t="s">
        <v>213</v>
      </c>
      <c r="M1471" s="53" t="s">
        <v>213</v>
      </c>
    </row>
    <row r="1472" spans="1:13" x14ac:dyDescent="0.3">
      <c r="A1472" s="37">
        <v>27</v>
      </c>
      <c r="B1472" s="38" t="s">
        <v>1056</v>
      </c>
      <c r="C1472" s="51">
        <v>7896261012356</v>
      </c>
      <c r="D1472" s="40" t="s">
        <v>70</v>
      </c>
      <c r="E1472" s="40"/>
      <c r="F1472" s="40">
        <v>301</v>
      </c>
      <c r="G1472" s="38"/>
      <c r="H1472" s="38" t="s">
        <v>963</v>
      </c>
      <c r="I1472" s="38" t="s">
        <v>311</v>
      </c>
      <c r="J1472" s="38" t="s">
        <v>947</v>
      </c>
      <c r="K1472" s="38" t="s">
        <v>950</v>
      </c>
      <c r="L1472" s="52" t="s">
        <v>213</v>
      </c>
      <c r="M1472" s="53" t="s">
        <v>213</v>
      </c>
    </row>
    <row r="1473" spans="1:13" x14ac:dyDescent="0.3">
      <c r="A1473" s="37">
        <v>27</v>
      </c>
      <c r="B1473" s="38" t="s">
        <v>1057</v>
      </c>
      <c r="C1473" s="51">
        <v>7896261012448</v>
      </c>
      <c r="D1473" s="40" t="s">
        <v>70</v>
      </c>
      <c r="E1473" s="40"/>
      <c r="F1473" s="40">
        <v>94</v>
      </c>
      <c r="G1473" s="38"/>
      <c r="H1473" s="38" t="s">
        <v>940</v>
      </c>
      <c r="I1473" s="38" t="s">
        <v>311</v>
      </c>
      <c r="J1473" s="38">
        <v>0</v>
      </c>
      <c r="K1473" s="38" t="s">
        <v>1058</v>
      </c>
      <c r="L1473" s="52" t="s">
        <v>213</v>
      </c>
      <c r="M1473" s="53" t="s">
        <v>213</v>
      </c>
    </row>
    <row r="1474" spans="1:13" x14ac:dyDescent="0.3">
      <c r="A1474" s="37">
        <v>27</v>
      </c>
      <c r="B1474" s="38" t="s">
        <v>1057</v>
      </c>
      <c r="C1474" s="51">
        <v>7896261012448</v>
      </c>
      <c r="D1474" s="40" t="s">
        <v>70</v>
      </c>
      <c r="E1474" s="40"/>
      <c r="F1474" s="40">
        <v>159</v>
      </c>
      <c r="G1474" s="38"/>
      <c r="H1474" s="38" t="s">
        <v>942</v>
      </c>
      <c r="I1474" s="38" t="s">
        <v>311</v>
      </c>
      <c r="J1474" s="38">
        <v>0</v>
      </c>
      <c r="K1474" s="38" t="s">
        <v>1059</v>
      </c>
      <c r="L1474" s="52" t="s">
        <v>213</v>
      </c>
      <c r="M1474" s="53" t="s">
        <v>213</v>
      </c>
    </row>
    <row r="1475" spans="1:13" x14ac:dyDescent="0.3">
      <c r="A1475" s="37">
        <v>27</v>
      </c>
      <c r="B1475" s="38" t="s">
        <v>1057</v>
      </c>
      <c r="C1475" s="51">
        <v>7896261012448</v>
      </c>
      <c r="D1475" s="40" t="s">
        <v>70</v>
      </c>
      <c r="E1475" s="40"/>
      <c r="F1475" s="40">
        <v>164</v>
      </c>
      <c r="G1475" s="38"/>
      <c r="H1475" s="38" t="s">
        <v>944</v>
      </c>
      <c r="I1475" s="38" t="s">
        <v>311</v>
      </c>
      <c r="J1475" s="38">
        <v>0</v>
      </c>
      <c r="K1475" s="38" t="s">
        <v>1059</v>
      </c>
      <c r="L1475" s="52" t="s">
        <v>213</v>
      </c>
      <c r="M1475" s="53" t="s">
        <v>213</v>
      </c>
    </row>
    <row r="1476" spans="1:13" x14ac:dyDescent="0.3">
      <c r="A1476" s="37">
        <v>27</v>
      </c>
      <c r="B1476" s="38" t="s">
        <v>1057</v>
      </c>
      <c r="C1476" s="51">
        <v>7896261012448</v>
      </c>
      <c r="D1476" s="40" t="s">
        <v>70</v>
      </c>
      <c r="E1476" s="40"/>
      <c r="F1476" s="40">
        <v>174</v>
      </c>
      <c r="G1476" s="38"/>
      <c r="H1476" s="38" t="s">
        <v>945</v>
      </c>
      <c r="I1476" s="38" t="s">
        <v>311</v>
      </c>
      <c r="J1476" s="38">
        <v>0</v>
      </c>
      <c r="K1476" s="38" t="s">
        <v>1059</v>
      </c>
      <c r="L1476" s="52" t="s">
        <v>213</v>
      </c>
      <c r="M1476" s="53" t="s">
        <v>213</v>
      </c>
    </row>
    <row r="1477" spans="1:13" x14ac:dyDescent="0.3">
      <c r="A1477" s="37">
        <v>27</v>
      </c>
      <c r="B1477" s="38" t="s">
        <v>1057</v>
      </c>
      <c r="C1477" s="51">
        <v>7896261012448</v>
      </c>
      <c r="D1477" s="40" t="s">
        <v>70</v>
      </c>
      <c r="E1477" s="40"/>
      <c r="F1477" s="40">
        <v>178</v>
      </c>
      <c r="G1477" s="38"/>
      <c r="H1477" s="38" t="s">
        <v>946</v>
      </c>
      <c r="I1477" s="38" t="s">
        <v>424</v>
      </c>
      <c r="J1477" s="38" t="s">
        <v>947</v>
      </c>
      <c r="K1477" s="56">
        <v>0.6</v>
      </c>
      <c r="L1477" s="52" t="s">
        <v>213</v>
      </c>
      <c r="M1477" s="53" t="s">
        <v>213</v>
      </c>
    </row>
    <row r="1478" spans="1:13" x14ac:dyDescent="0.3">
      <c r="A1478" s="37">
        <v>27</v>
      </c>
      <c r="B1478" s="38" t="s">
        <v>1057</v>
      </c>
      <c r="C1478" s="51">
        <v>7896261012448</v>
      </c>
      <c r="D1478" s="40" t="s">
        <v>70</v>
      </c>
      <c r="E1478" s="40"/>
      <c r="F1478" s="40">
        <v>179</v>
      </c>
      <c r="G1478" s="38"/>
      <c r="H1478" s="38" t="s">
        <v>948</v>
      </c>
      <c r="I1478" s="38" t="s">
        <v>424</v>
      </c>
      <c r="J1478" s="38" t="s">
        <v>947</v>
      </c>
      <c r="K1478" s="56">
        <v>0.7</v>
      </c>
      <c r="L1478" s="52" t="s">
        <v>213</v>
      </c>
      <c r="M1478" s="53" t="s">
        <v>213</v>
      </c>
    </row>
    <row r="1479" spans="1:13" x14ac:dyDescent="0.3">
      <c r="A1479" s="37">
        <v>27</v>
      </c>
      <c r="B1479" s="38" t="s">
        <v>1057</v>
      </c>
      <c r="C1479" s="51">
        <v>7896261012448</v>
      </c>
      <c r="D1479" s="40" t="s">
        <v>70</v>
      </c>
      <c r="E1479" s="40"/>
      <c r="F1479" s="40">
        <v>196</v>
      </c>
      <c r="G1479" s="38"/>
      <c r="H1479" s="38" t="s">
        <v>949</v>
      </c>
      <c r="I1479" s="38" t="s">
        <v>311</v>
      </c>
      <c r="J1479" s="38" t="s">
        <v>947</v>
      </c>
      <c r="K1479" s="38" t="s">
        <v>1060</v>
      </c>
      <c r="L1479" s="52" t="s">
        <v>213</v>
      </c>
      <c r="M1479" s="53" t="s">
        <v>213</v>
      </c>
    </row>
    <row r="1480" spans="1:13" x14ac:dyDescent="0.3">
      <c r="A1480" s="37">
        <v>27</v>
      </c>
      <c r="B1480" s="38" t="s">
        <v>1057</v>
      </c>
      <c r="C1480" s="51">
        <v>7896261012448</v>
      </c>
      <c r="D1480" s="40" t="s">
        <v>70</v>
      </c>
      <c r="E1480" s="40"/>
      <c r="F1480" s="40">
        <v>197</v>
      </c>
      <c r="G1480" s="38"/>
      <c r="H1480" s="38" t="s">
        <v>951</v>
      </c>
      <c r="I1480" s="38" t="s">
        <v>311</v>
      </c>
      <c r="J1480" s="38" t="s">
        <v>947</v>
      </c>
      <c r="K1480" s="38" t="s">
        <v>1060</v>
      </c>
      <c r="L1480" s="52" t="s">
        <v>213</v>
      </c>
      <c r="M1480" s="53" t="s">
        <v>213</v>
      </c>
    </row>
    <row r="1481" spans="1:13" x14ac:dyDescent="0.3">
      <c r="A1481" s="37">
        <v>27</v>
      </c>
      <c r="B1481" s="38" t="s">
        <v>1057</v>
      </c>
      <c r="C1481" s="51">
        <v>7896261012448</v>
      </c>
      <c r="D1481" s="40" t="s">
        <v>70</v>
      </c>
      <c r="E1481" s="40"/>
      <c r="F1481" s="40">
        <v>198</v>
      </c>
      <c r="G1481" s="38"/>
      <c r="H1481" s="38" t="s">
        <v>952</v>
      </c>
      <c r="I1481" s="38" t="s">
        <v>311</v>
      </c>
      <c r="J1481" s="38" t="s">
        <v>947</v>
      </c>
      <c r="K1481" s="38" t="s">
        <v>1060</v>
      </c>
      <c r="L1481" s="52" t="s">
        <v>213</v>
      </c>
      <c r="M1481" s="53" t="s">
        <v>213</v>
      </c>
    </row>
    <row r="1482" spans="1:13" x14ac:dyDescent="0.3">
      <c r="A1482" s="37">
        <v>27</v>
      </c>
      <c r="B1482" s="38" t="s">
        <v>1057</v>
      </c>
      <c r="C1482" s="51">
        <v>7896261012448</v>
      </c>
      <c r="D1482" s="40" t="s">
        <v>70</v>
      </c>
      <c r="E1482" s="40"/>
      <c r="F1482" s="40">
        <v>199</v>
      </c>
      <c r="G1482" s="38"/>
      <c r="H1482" s="38" t="s">
        <v>953</v>
      </c>
      <c r="I1482" s="38" t="s">
        <v>311</v>
      </c>
      <c r="J1482" s="38" t="s">
        <v>947</v>
      </c>
      <c r="K1482" s="38" t="s">
        <v>1060</v>
      </c>
      <c r="L1482" s="52" t="s">
        <v>213</v>
      </c>
      <c r="M1482" s="53" t="s">
        <v>213</v>
      </c>
    </row>
    <row r="1483" spans="1:13" x14ac:dyDescent="0.3">
      <c r="A1483" s="37">
        <v>27</v>
      </c>
      <c r="B1483" s="38" t="s">
        <v>1057</v>
      </c>
      <c r="C1483" s="51">
        <v>7896261012448</v>
      </c>
      <c r="D1483" s="40" t="s">
        <v>70</v>
      </c>
      <c r="E1483" s="40"/>
      <c r="F1483" s="40">
        <v>200</v>
      </c>
      <c r="G1483" s="38"/>
      <c r="H1483" s="38" t="s">
        <v>954</v>
      </c>
      <c r="I1483" s="38" t="s">
        <v>311</v>
      </c>
      <c r="J1483" s="38" t="s">
        <v>947</v>
      </c>
      <c r="K1483" s="38" t="s">
        <v>1060</v>
      </c>
      <c r="L1483" s="52" t="s">
        <v>213</v>
      </c>
      <c r="M1483" s="53" t="s">
        <v>213</v>
      </c>
    </row>
    <row r="1484" spans="1:13" x14ac:dyDescent="0.3">
      <c r="A1484" s="37">
        <v>27</v>
      </c>
      <c r="B1484" s="38" t="s">
        <v>1057</v>
      </c>
      <c r="C1484" s="51">
        <v>7896261012448</v>
      </c>
      <c r="D1484" s="40" t="s">
        <v>70</v>
      </c>
      <c r="E1484" s="40"/>
      <c r="F1484" s="40">
        <v>215</v>
      </c>
      <c r="G1484" s="38"/>
      <c r="H1484" s="38" t="s">
        <v>955</v>
      </c>
      <c r="I1484" s="38" t="s">
        <v>311</v>
      </c>
      <c r="J1484" s="38" t="s">
        <v>947</v>
      </c>
      <c r="K1484" s="38" t="s">
        <v>1060</v>
      </c>
      <c r="L1484" s="52" t="s">
        <v>213</v>
      </c>
      <c r="M1484" s="53" t="s">
        <v>213</v>
      </c>
    </row>
    <row r="1485" spans="1:13" x14ac:dyDescent="0.3">
      <c r="A1485" s="37">
        <v>27</v>
      </c>
      <c r="B1485" s="38" t="s">
        <v>1057</v>
      </c>
      <c r="C1485" s="51">
        <v>7896261012448</v>
      </c>
      <c r="D1485" s="40" t="s">
        <v>70</v>
      </c>
      <c r="E1485" s="40"/>
      <c r="F1485" s="40">
        <v>217</v>
      </c>
      <c r="G1485" s="38"/>
      <c r="H1485" s="38" t="s">
        <v>956</v>
      </c>
      <c r="I1485" s="38" t="s">
        <v>311</v>
      </c>
      <c r="J1485" s="38" t="s">
        <v>947</v>
      </c>
      <c r="K1485" s="38" t="s">
        <v>1060</v>
      </c>
      <c r="L1485" s="52" t="s">
        <v>213</v>
      </c>
      <c r="M1485" s="53" t="s">
        <v>213</v>
      </c>
    </row>
    <row r="1486" spans="1:13" x14ac:dyDescent="0.3">
      <c r="A1486" s="37">
        <v>27</v>
      </c>
      <c r="B1486" s="38" t="s">
        <v>1057</v>
      </c>
      <c r="C1486" s="51">
        <v>7896261012448</v>
      </c>
      <c r="D1486" s="40" t="s">
        <v>70</v>
      </c>
      <c r="E1486" s="40"/>
      <c r="F1486" s="40">
        <v>219</v>
      </c>
      <c r="G1486" s="38"/>
      <c r="H1486" s="38" t="s">
        <v>957</v>
      </c>
      <c r="I1486" s="38" t="s">
        <v>311</v>
      </c>
      <c r="J1486" s="38" t="s">
        <v>947</v>
      </c>
      <c r="K1486" s="38" t="s">
        <v>1060</v>
      </c>
      <c r="L1486" s="52" t="s">
        <v>213</v>
      </c>
      <c r="M1486" s="53" t="s">
        <v>213</v>
      </c>
    </row>
    <row r="1487" spans="1:13" x14ac:dyDescent="0.3">
      <c r="A1487" s="37">
        <v>27</v>
      </c>
      <c r="B1487" s="38" t="s">
        <v>1057</v>
      </c>
      <c r="C1487" s="51">
        <v>7896261012448</v>
      </c>
      <c r="D1487" s="40" t="s">
        <v>70</v>
      </c>
      <c r="E1487" s="40"/>
      <c r="F1487" s="40">
        <v>228</v>
      </c>
      <c r="G1487" s="38"/>
      <c r="H1487" s="38" t="s">
        <v>958</v>
      </c>
      <c r="I1487" s="38" t="s">
        <v>311</v>
      </c>
      <c r="J1487" s="38" t="s">
        <v>947</v>
      </c>
      <c r="K1487" s="38" t="s">
        <v>1060</v>
      </c>
      <c r="L1487" s="52" t="s">
        <v>213</v>
      </c>
      <c r="M1487" s="53" t="s">
        <v>213</v>
      </c>
    </row>
    <row r="1488" spans="1:13" x14ac:dyDescent="0.3">
      <c r="A1488" s="37">
        <v>27</v>
      </c>
      <c r="B1488" s="38" t="s">
        <v>1057</v>
      </c>
      <c r="C1488" s="51">
        <v>7896261012448</v>
      </c>
      <c r="D1488" s="40" t="s">
        <v>70</v>
      </c>
      <c r="E1488" s="40"/>
      <c r="F1488" s="40">
        <v>229</v>
      </c>
      <c r="G1488" s="38"/>
      <c r="H1488" s="38" t="s">
        <v>959</v>
      </c>
      <c r="I1488" s="38" t="s">
        <v>311</v>
      </c>
      <c r="J1488" s="38" t="s">
        <v>947</v>
      </c>
      <c r="K1488" s="38" t="s">
        <v>1060</v>
      </c>
      <c r="L1488" s="52" t="s">
        <v>213</v>
      </c>
      <c r="M1488" s="53" t="s">
        <v>213</v>
      </c>
    </row>
    <row r="1489" spans="1:13" x14ac:dyDescent="0.3">
      <c r="A1489" s="37">
        <v>27</v>
      </c>
      <c r="B1489" s="38" t="s">
        <v>1057</v>
      </c>
      <c r="C1489" s="51">
        <v>7896261012448</v>
      </c>
      <c r="D1489" s="40" t="s">
        <v>70</v>
      </c>
      <c r="E1489" s="40"/>
      <c r="F1489" s="40">
        <v>249</v>
      </c>
      <c r="G1489" s="38"/>
      <c r="H1489" s="38" t="s">
        <v>960</v>
      </c>
      <c r="I1489" s="38" t="s">
        <v>311</v>
      </c>
      <c r="J1489" s="38" t="s">
        <v>947</v>
      </c>
      <c r="K1489" s="38" t="s">
        <v>1060</v>
      </c>
      <c r="L1489" s="52" t="s">
        <v>213</v>
      </c>
      <c r="M1489" s="53" t="s">
        <v>213</v>
      </c>
    </row>
    <row r="1490" spans="1:13" x14ac:dyDescent="0.3">
      <c r="A1490" s="37">
        <v>27</v>
      </c>
      <c r="B1490" s="38" t="s">
        <v>1057</v>
      </c>
      <c r="C1490" s="51">
        <v>7896261012448</v>
      </c>
      <c r="D1490" s="40" t="s">
        <v>70</v>
      </c>
      <c r="E1490" s="40"/>
      <c r="F1490" s="40">
        <v>262</v>
      </c>
      <c r="G1490" s="38"/>
      <c r="H1490" s="38" t="s">
        <v>961</v>
      </c>
      <c r="I1490" s="38" t="s">
        <v>424</v>
      </c>
      <c r="J1490" s="38" t="s">
        <v>947</v>
      </c>
      <c r="K1490" s="38">
        <v>49.7</v>
      </c>
      <c r="L1490" s="52" t="s">
        <v>213</v>
      </c>
      <c r="M1490" s="53" t="s">
        <v>213</v>
      </c>
    </row>
    <row r="1491" spans="1:13" x14ac:dyDescent="0.3">
      <c r="A1491" s="37">
        <v>27</v>
      </c>
      <c r="B1491" s="38" t="s">
        <v>1057</v>
      </c>
      <c r="C1491" s="51">
        <v>7896261012448</v>
      </c>
      <c r="D1491" s="40" t="s">
        <v>70</v>
      </c>
      <c r="E1491" s="40"/>
      <c r="F1491" s="40">
        <v>301</v>
      </c>
      <c r="G1491" s="38"/>
      <c r="H1491" s="38" t="s">
        <v>963</v>
      </c>
      <c r="I1491" s="38" t="s">
        <v>311</v>
      </c>
      <c r="J1491" s="38" t="s">
        <v>947</v>
      </c>
      <c r="K1491" s="38" t="s">
        <v>1060</v>
      </c>
      <c r="L1491" s="52" t="s">
        <v>213</v>
      </c>
      <c r="M1491" s="53" t="s">
        <v>213</v>
      </c>
    </row>
    <row r="1492" spans="1:13" x14ac:dyDescent="0.3">
      <c r="A1492" s="37">
        <v>27</v>
      </c>
      <c r="B1492" s="38" t="s">
        <v>1057</v>
      </c>
      <c r="C1492" s="51">
        <v>7896261012448</v>
      </c>
      <c r="D1492" s="40" t="s">
        <v>70</v>
      </c>
      <c r="E1492" s="40"/>
      <c r="F1492" s="40">
        <v>422</v>
      </c>
      <c r="G1492" s="38"/>
      <c r="H1492" s="38" t="s">
        <v>1061</v>
      </c>
      <c r="I1492" s="38" t="s">
        <v>311</v>
      </c>
      <c r="J1492" s="38" t="s">
        <v>947</v>
      </c>
      <c r="K1492" s="38" t="s">
        <v>1062</v>
      </c>
      <c r="L1492" s="52" t="s">
        <v>213</v>
      </c>
      <c r="M1492" s="53" t="s">
        <v>213</v>
      </c>
    </row>
    <row r="1493" spans="1:13" x14ac:dyDescent="0.3">
      <c r="A1493" s="37">
        <v>27</v>
      </c>
      <c r="B1493" s="38" t="s">
        <v>1063</v>
      </c>
      <c r="C1493" s="51">
        <v>7896261012486</v>
      </c>
      <c r="D1493" s="40" t="s">
        <v>70</v>
      </c>
      <c r="E1493" s="40"/>
      <c r="F1493" s="40">
        <v>94</v>
      </c>
      <c r="G1493" s="38"/>
      <c r="H1493" s="38" t="s">
        <v>940</v>
      </c>
      <c r="I1493" s="38" t="s">
        <v>311</v>
      </c>
      <c r="J1493" s="38">
        <v>0</v>
      </c>
      <c r="K1493" s="38" t="s">
        <v>1058</v>
      </c>
      <c r="L1493" s="52" t="s">
        <v>213</v>
      </c>
      <c r="M1493" s="53" t="s">
        <v>213</v>
      </c>
    </row>
    <row r="1494" spans="1:13" x14ac:dyDescent="0.3">
      <c r="A1494" s="37">
        <v>27</v>
      </c>
      <c r="B1494" s="38" t="s">
        <v>1063</v>
      </c>
      <c r="C1494" s="51">
        <v>7896261012486</v>
      </c>
      <c r="D1494" s="40" t="s">
        <v>70</v>
      </c>
      <c r="E1494" s="40"/>
      <c r="F1494" s="40">
        <v>159</v>
      </c>
      <c r="G1494" s="38"/>
      <c r="H1494" s="38" t="s">
        <v>942</v>
      </c>
      <c r="I1494" s="38" t="s">
        <v>311</v>
      </c>
      <c r="J1494" s="38">
        <v>0</v>
      </c>
      <c r="K1494" s="38" t="s">
        <v>1059</v>
      </c>
      <c r="L1494" s="52" t="s">
        <v>213</v>
      </c>
      <c r="M1494" s="53" t="s">
        <v>213</v>
      </c>
    </row>
    <row r="1495" spans="1:13" x14ac:dyDescent="0.3">
      <c r="A1495" s="37">
        <v>27</v>
      </c>
      <c r="B1495" s="38" t="s">
        <v>1063</v>
      </c>
      <c r="C1495" s="51">
        <v>7896261012486</v>
      </c>
      <c r="D1495" s="40" t="s">
        <v>70</v>
      </c>
      <c r="E1495" s="40"/>
      <c r="F1495" s="40">
        <v>164</v>
      </c>
      <c r="G1495" s="38"/>
      <c r="H1495" s="38" t="s">
        <v>944</v>
      </c>
      <c r="I1495" s="38" t="s">
        <v>311</v>
      </c>
      <c r="J1495" s="38">
        <v>0</v>
      </c>
      <c r="K1495" s="38" t="s">
        <v>1059</v>
      </c>
      <c r="L1495" s="52" t="s">
        <v>213</v>
      </c>
      <c r="M1495" s="53" t="s">
        <v>213</v>
      </c>
    </row>
    <row r="1496" spans="1:13" x14ac:dyDescent="0.3">
      <c r="A1496" s="37">
        <v>27</v>
      </c>
      <c r="B1496" s="38" t="s">
        <v>1063</v>
      </c>
      <c r="C1496" s="51">
        <v>7896261012486</v>
      </c>
      <c r="D1496" s="40" t="s">
        <v>70</v>
      </c>
      <c r="E1496" s="40"/>
      <c r="F1496" s="40">
        <v>174</v>
      </c>
      <c r="G1496" s="38"/>
      <c r="H1496" s="38" t="s">
        <v>945</v>
      </c>
      <c r="I1496" s="38" t="s">
        <v>311</v>
      </c>
      <c r="J1496" s="38">
        <v>0</v>
      </c>
      <c r="K1496" s="38" t="s">
        <v>1059</v>
      </c>
      <c r="L1496" s="52" t="s">
        <v>213</v>
      </c>
      <c r="M1496" s="53" t="s">
        <v>213</v>
      </c>
    </row>
    <row r="1497" spans="1:13" x14ac:dyDescent="0.3">
      <c r="A1497" s="37">
        <v>27</v>
      </c>
      <c r="B1497" s="38" t="s">
        <v>1063</v>
      </c>
      <c r="C1497" s="51">
        <v>7896261012486</v>
      </c>
      <c r="D1497" s="40" t="s">
        <v>70</v>
      </c>
      <c r="E1497" s="40"/>
      <c r="F1497" s="40">
        <v>178</v>
      </c>
      <c r="G1497" s="38"/>
      <c r="H1497" s="38" t="s">
        <v>946</v>
      </c>
      <c r="I1497" s="38" t="s">
        <v>424</v>
      </c>
      <c r="J1497" s="38" t="s">
        <v>947</v>
      </c>
      <c r="K1497" s="56">
        <v>0.6</v>
      </c>
      <c r="L1497" s="52" t="s">
        <v>213</v>
      </c>
      <c r="M1497" s="53" t="s">
        <v>213</v>
      </c>
    </row>
    <row r="1498" spans="1:13" x14ac:dyDescent="0.3">
      <c r="A1498" s="37">
        <v>27</v>
      </c>
      <c r="B1498" s="38" t="s">
        <v>1063</v>
      </c>
      <c r="C1498" s="51">
        <v>7896261012486</v>
      </c>
      <c r="D1498" s="40" t="s">
        <v>70</v>
      </c>
      <c r="E1498" s="40"/>
      <c r="F1498" s="40">
        <v>179</v>
      </c>
      <c r="G1498" s="38"/>
      <c r="H1498" s="38" t="s">
        <v>948</v>
      </c>
      <c r="I1498" s="38" t="s">
        <v>424</v>
      </c>
      <c r="J1498" s="38" t="s">
        <v>947</v>
      </c>
      <c r="K1498" s="56">
        <v>0.7</v>
      </c>
      <c r="L1498" s="52" t="s">
        <v>213</v>
      </c>
      <c r="M1498" s="53" t="s">
        <v>213</v>
      </c>
    </row>
    <row r="1499" spans="1:13" x14ac:dyDescent="0.3">
      <c r="A1499" s="37">
        <v>27</v>
      </c>
      <c r="B1499" s="38" t="s">
        <v>1063</v>
      </c>
      <c r="C1499" s="51">
        <v>7896261012486</v>
      </c>
      <c r="D1499" s="40" t="s">
        <v>70</v>
      </c>
      <c r="E1499" s="40"/>
      <c r="F1499" s="40">
        <v>185</v>
      </c>
      <c r="G1499" s="38"/>
      <c r="H1499" s="38" t="s">
        <v>977</v>
      </c>
      <c r="I1499" s="38" t="s">
        <v>424</v>
      </c>
      <c r="J1499" s="38">
        <v>0</v>
      </c>
      <c r="K1499" s="56">
        <v>0.6</v>
      </c>
      <c r="L1499" s="52" t="s">
        <v>213</v>
      </c>
      <c r="M1499" s="53" t="s">
        <v>213</v>
      </c>
    </row>
    <row r="1500" spans="1:13" x14ac:dyDescent="0.3">
      <c r="A1500" s="37">
        <v>27</v>
      </c>
      <c r="B1500" s="38" t="s">
        <v>1063</v>
      </c>
      <c r="C1500" s="51">
        <v>7896261012486</v>
      </c>
      <c r="D1500" s="40" t="s">
        <v>70</v>
      </c>
      <c r="E1500" s="40"/>
      <c r="F1500" s="40">
        <v>196</v>
      </c>
      <c r="G1500" s="38"/>
      <c r="H1500" s="38" t="s">
        <v>949</v>
      </c>
      <c r="I1500" s="38" t="s">
        <v>311</v>
      </c>
      <c r="J1500" s="38" t="s">
        <v>947</v>
      </c>
      <c r="K1500" s="38" t="s">
        <v>1060</v>
      </c>
      <c r="L1500" s="52" t="s">
        <v>213</v>
      </c>
      <c r="M1500" s="53" t="s">
        <v>213</v>
      </c>
    </row>
    <row r="1501" spans="1:13" x14ac:dyDescent="0.3">
      <c r="A1501" s="37">
        <v>27</v>
      </c>
      <c r="B1501" s="38" t="s">
        <v>1063</v>
      </c>
      <c r="C1501" s="51">
        <v>7896261012486</v>
      </c>
      <c r="D1501" s="40" t="s">
        <v>70</v>
      </c>
      <c r="E1501" s="40"/>
      <c r="F1501" s="40">
        <v>197</v>
      </c>
      <c r="G1501" s="38"/>
      <c r="H1501" s="38" t="s">
        <v>951</v>
      </c>
      <c r="I1501" s="38" t="s">
        <v>311</v>
      </c>
      <c r="J1501" s="38" t="s">
        <v>947</v>
      </c>
      <c r="K1501" s="38" t="s">
        <v>1060</v>
      </c>
      <c r="L1501" s="52" t="s">
        <v>213</v>
      </c>
      <c r="M1501" s="53" t="s">
        <v>213</v>
      </c>
    </row>
    <row r="1502" spans="1:13" x14ac:dyDescent="0.3">
      <c r="A1502" s="37">
        <v>27</v>
      </c>
      <c r="B1502" s="38" t="s">
        <v>1063</v>
      </c>
      <c r="C1502" s="51">
        <v>7896261012486</v>
      </c>
      <c r="D1502" s="40" t="s">
        <v>70</v>
      </c>
      <c r="E1502" s="40"/>
      <c r="F1502" s="40">
        <v>198</v>
      </c>
      <c r="G1502" s="38"/>
      <c r="H1502" s="38" t="s">
        <v>952</v>
      </c>
      <c r="I1502" s="38" t="s">
        <v>311</v>
      </c>
      <c r="J1502" s="38" t="s">
        <v>947</v>
      </c>
      <c r="K1502" s="38" t="s">
        <v>1060</v>
      </c>
      <c r="L1502" s="52" t="s">
        <v>213</v>
      </c>
      <c r="M1502" s="53" t="s">
        <v>213</v>
      </c>
    </row>
    <row r="1503" spans="1:13" x14ac:dyDescent="0.3">
      <c r="A1503" s="37">
        <v>27</v>
      </c>
      <c r="B1503" s="38" t="s">
        <v>1063</v>
      </c>
      <c r="C1503" s="51">
        <v>7896261012486</v>
      </c>
      <c r="D1503" s="40" t="s">
        <v>70</v>
      </c>
      <c r="E1503" s="40"/>
      <c r="F1503" s="40">
        <v>199</v>
      </c>
      <c r="G1503" s="38"/>
      <c r="H1503" s="38" t="s">
        <v>953</v>
      </c>
      <c r="I1503" s="38" t="s">
        <v>311</v>
      </c>
      <c r="J1503" s="38" t="s">
        <v>947</v>
      </c>
      <c r="K1503" s="38" t="s">
        <v>1060</v>
      </c>
      <c r="L1503" s="52" t="s">
        <v>213</v>
      </c>
      <c r="M1503" s="53" t="s">
        <v>213</v>
      </c>
    </row>
    <row r="1504" spans="1:13" x14ac:dyDescent="0.3">
      <c r="A1504" s="37">
        <v>27</v>
      </c>
      <c r="B1504" s="38" t="s">
        <v>1063</v>
      </c>
      <c r="C1504" s="51">
        <v>7896261012486</v>
      </c>
      <c r="D1504" s="40" t="s">
        <v>70</v>
      </c>
      <c r="E1504" s="40"/>
      <c r="F1504" s="40">
        <v>200</v>
      </c>
      <c r="G1504" s="38"/>
      <c r="H1504" s="38" t="s">
        <v>954</v>
      </c>
      <c r="I1504" s="38" t="s">
        <v>311</v>
      </c>
      <c r="J1504" s="38" t="s">
        <v>947</v>
      </c>
      <c r="K1504" s="38" t="s">
        <v>1060</v>
      </c>
      <c r="L1504" s="52" t="s">
        <v>213</v>
      </c>
      <c r="M1504" s="53" t="s">
        <v>213</v>
      </c>
    </row>
    <row r="1505" spans="1:13" x14ac:dyDescent="0.3">
      <c r="A1505" s="37">
        <v>27</v>
      </c>
      <c r="B1505" s="38" t="s">
        <v>1063</v>
      </c>
      <c r="C1505" s="51">
        <v>7896261012486</v>
      </c>
      <c r="D1505" s="40" t="s">
        <v>70</v>
      </c>
      <c r="E1505" s="40"/>
      <c r="F1505" s="40">
        <v>215</v>
      </c>
      <c r="G1505" s="38"/>
      <c r="H1505" s="38" t="s">
        <v>955</v>
      </c>
      <c r="I1505" s="38" t="s">
        <v>311</v>
      </c>
      <c r="J1505" s="38" t="s">
        <v>947</v>
      </c>
      <c r="K1505" s="38" t="s">
        <v>1060</v>
      </c>
      <c r="L1505" s="52" t="s">
        <v>213</v>
      </c>
      <c r="M1505" s="53" t="s">
        <v>213</v>
      </c>
    </row>
    <row r="1506" spans="1:13" x14ac:dyDescent="0.3">
      <c r="A1506" s="37">
        <v>27</v>
      </c>
      <c r="B1506" s="38" t="s">
        <v>1063</v>
      </c>
      <c r="C1506" s="51">
        <v>7896261012486</v>
      </c>
      <c r="D1506" s="40" t="s">
        <v>70</v>
      </c>
      <c r="E1506" s="40"/>
      <c r="F1506" s="40">
        <v>217</v>
      </c>
      <c r="G1506" s="38"/>
      <c r="H1506" s="38" t="s">
        <v>956</v>
      </c>
      <c r="I1506" s="38" t="s">
        <v>311</v>
      </c>
      <c r="J1506" s="38" t="s">
        <v>947</v>
      </c>
      <c r="K1506" s="38" t="s">
        <v>1060</v>
      </c>
      <c r="L1506" s="52" t="s">
        <v>213</v>
      </c>
      <c r="M1506" s="53" t="s">
        <v>213</v>
      </c>
    </row>
    <row r="1507" spans="1:13" x14ac:dyDescent="0.3">
      <c r="A1507" s="37">
        <v>27</v>
      </c>
      <c r="B1507" s="38" t="s">
        <v>1063</v>
      </c>
      <c r="C1507" s="51">
        <v>7896261012486</v>
      </c>
      <c r="D1507" s="40" t="s">
        <v>70</v>
      </c>
      <c r="E1507" s="40"/>
      <c r="F1507" s="40">
        <v>219</v>
      </c>
      <c r="G1507" s="38"/>
      <c r="H1507" s="38" t="s">
        <v>957</v>
      </c>
      <c r="I1507" s="38" t="s">
        <v>311</v>
      </c>
      <c r="J1507" s="38" t="s">
        <v>947</v>
      </c>
      <c r="K1507" s="38" t="s">
        <v>1060</v>
      </c>
      <c r="L1507" s="52" t="s">
        <v>213</v>
      </c>
      <c r="M1507" s="53" t="s">
        <v>213</v>
      </c>
    </row>
    <row r="1508" spans="1:13" x14ac:dyDescent="0.3">
      <c r="A1508" s="37">
        <v>27</v>
      </c>
      <c r="B1508" s="38" t="s">
        <v>1063</v>
      </c>
      <c r="C1508" s="51">
        <v>7896261012486</v>
      </c>
      <c r="D1508" s="40" t="s">
        <v>70</v>
      </c>
      <c r="E1508" s="40"/>
      <c r="F1508" s="40">
        <v>228</v>
      </c>
      <c r="G1508" s="38"/>
      <c r="H1508" s="38" t="s">
        <v>958</v>
      </c>
      <c r="I1508" s="38" t="s">
        <v>311</v>
      </c>
      <c r="J1508" s="38" t="s">
        <v>947</v>
      </c>
      <c r="K1508" s="38" t="s">
        <v>1060</v>
      </c>
      <c r="L1508" s="52" t="s">
        <v>213</v>
      </c>
      <c r="M1508" s="53" t="s">
        <v>213</v>
      </c>
    </row>
    <row r="1509" spans="1:13" x14ac:dyDescent="0.3">
      <c r="A1509" s="37">
        <v>27</v>
      </c>
      <c r="B1509" s="38" t="s">
        <v>1063</v>
      </c>
      <c r="C1509" s="51">
        <v>7896261012486</v>
      </c>
      <c r="D1509" s="40" t="s">
        <v>70</v>
      </c>
      <c r="E1509" s="40"/>
      <c r="F1509" s="40">
        <v>229</v>
      </c>
      <c r="G1509" s="38"/>
      <c r="H1509" s="38" t="s">
        <v>959</v>
      </c>
      <c r="I1509" s="38" t="s">
        <v>311</v>
      </c>
      <c r="J1509" s="38" t="s">
        <v>947</v>
      </c>
      <c r="K1509" s="38" t="s">
        <v>1060</v>
      </c>
      <c r="L1509" s="52" t="s">
        <v>213</v>
      </c>
      <c r="M1509" s="53" t="s">
        <v>213</v>
      </c>
    </row>
    <row r="1510" spans="1:13" x14ac:dyDescent="0.3">
      <c r="A1510" s="37">
        <v>27</v>
      </c>
      <c r="B1510" s="38" t="s">
        <v>1063</v>
      </c>
      <c r="C1510" s="51">
        <v>7896261012486</v>
      </c>
      <c r="D1510" s="40" t="s">
        <v>70</v>
      </c>
      <c r="E1510" s="40"/>
      <c r="F1510" s="40">
        <v>247</v>
      </c>
      <c r="G1510" s="38"/>
      <c r="H1510" s="38" t="s">
        <v>979</v>
      </c>
      <c r="I1510" s="38" t="s">
        <v>424</v>
      </c>
      <c r="J1510" s="38" t="s">
        <v>947</v>
      </c>
      <c r="K1510" s="56">
        <v>0.61</v>
      </c>
      <c r="L1510" s="52" t="s">
        <v>213</v>
      </c>
      <c r="M1510" s="53" t="s">
        <v>213</v>
      </c>
    </row>
    <row r="1511" spans="1:13" x14ac:dyDescent="0.3">
      <c r="A1511" s="37">
        <v>27</v>
      </c>
      <c r="B1511" s="38" t="s">
        <v>1063</v>
      </c>
      <c r="C1511" s="51">
        <v>7896261012486</v>
      </c>
      <c r="D1511" s="40" t="s">
        <v>70</v>
      </c>
      <c r="E1511" s="40"/>
      <c r="F1511" s="40">
        <v>249</v>
      </c>
      <c r="G1511" s="38"/>
      <c r="H1511" s="38" t="s">
        <v>960</v>
      </c>
      <c r="I1511" s="38" t="s">
        <v>311</v>
      </c>
      <c r="J1511" s="38" t="s">
        <v>947</v>
      </c>
      <c r="K1511" s="38" t="s">
        <v>1060</v>
      </c>
      <c r="L1511" s="52" t="s">
        <v>213</v>
      </c>
      <c r="M1511" s="53" t="s">
        <v>213</v>
      </c>
    </row>
    <row r="1512" spans="1:13" x14ac:dyDescent="0.3">
      <c r="A1512" s="37">
        <v>27</v>
      </c>
      <c r="B1512" s="38" t="s">
        <v>1063</v>
      </c>
      <c r="C1512" s="51">
        <v>7896261012486</v>
      </c>
      <c r="D1512" s="40" t="s">
        <v>70</v>
      </c>
      <c r="E1512" s="40"/>
      <c r="F1512" s="40">
        <v>262</v>
      </c>
      <c r="G1512" s="38"/>
      <c r="H1512" s="38" t="s">
        <v>961</v>
      </c>
      <c r="I1512" s="38" t="s">
        <v>424</v>
      </c>
      <c r="J1512" s="38" t="s">
        <v>947</v>
      </c>
      <c r="K1512" s="38">
        <v>49.7</v>
      </c>
      <c r="L1512" s="52" t="s">
        <v>213</v>
      </c>
      <c r="M1512" s="53" t="s">
        <v>213</v>
      </c>
    </row>
    <row r="1513" spans="1:13" x14ac:dyDescent="0.3">
      <c r="A1513" s="37">
        <v>27</v>
      </c>
      <c r="B1513" s="38" t="s">
        <v>1063</v>
      </c>
      <c r="C1513" s="51">
        <v>7896261012486</v>
      </c>
      <c r="D1513" s="40" t="s">
        <v>70</v>
      </c>
      <c r="E1513" s="40"/>
      <c r="F1513" s="40">
        <v>266</v>
      </c>
      <c r="G1513" s="38"/>
      <c r="H1513" s="38" t="s">
        <v>1009</v>
      </c>
      <c r="I1513" s="38" t="s">
        <v>424</v>
      </c>
      <c r="J1513" s="38" t="s">
        <v>947</v>
      </c>
      <c r="K1513" s="56">
        <v>0.48699999999999999</v>
      </c>
      <c r="L1513" s="52" t="s">
        <v>213</v>
      </c>
      <c r="M1513" s="53" t="s">
        <v>213</v>
      </c>
    </row>
    <row r="1514" spans="1:13" x14ac:dyDescent="0.3">
      <c r="A1514" s="37">
        <v>27</v>
      </c>
      <c r="B1514" s="38" t="s">
        <v>1063</v>
      </c>
      <c r="C1514" s="51">
        <v>7896261012486</v>
      </c>
      <c r="D1514" s="40" t="s">
        <v>70</v>
      </c>
      <c r="E1514" s="40"/>
      <c r="F1514" s="40">
        <v>301</v>
      </c>
      <c r="G1514" s="38"/>
      <c r="H1514" s="38" t="s">
        <v>963</v>
      </c>
      <c r="I1514" s="38" t="s">
        <v>311</v>
      </c>
      <c r="J1514" s="38" t="s">
        <v>947</v>
      </c>
      <c r="K1514" s="38" t="s">
        <v>1060</v>
      </c>
      <c r="L1514" s="52" t="s">
        <v>213</v>
      </c>
      <c r="M1514" s="53" t="s">
        <v>213</v>
      </c>
    </row>
    <row r="1515" spans="1:13" x14ac:dyDescent="0.3">
      <c r="A1515" s="37">
        <v>27</v>
      </c>
      <c r="B1515" s="38" t="s">
        <v>1063</v>
      </c>
      <c r="C1515" s="51">
        <v>7896261012486</v>
      </c>
      <c r="D1515" s="40" t="s">
        <v>70</v>
      </c>
      <c r="E1515" s="40"/>
      <c r="F1515" s="40">
        <v>328</v>
      </c>
      <c r="G1515" s="38"/>
      <c r="H1515" s="38" t="s">
        <v>1048</v>
      </c>
      <c r="I1515" s="38" t="s">
        <v>311</v>
      </c>
      <c r="J1515" s="38" t="s">
        <v>947</v>
      </c>
      <c r="K1515" s="38" t="s">
        <v>1064</v>
      </c>
      <c r="L1515" s="52" t="s">
        <v>213</v>
      </c>
      <c r="M1515" s="53" t="s">
        <v>213</v>
      </c>
    </row>
    <row r="1516" spans="1:13" x14ac:dyDescent="0.3">
      <c r="A1516" s="37">
        <v>27</v>
      </c>
      <c r="B1516" s="38" t="s">
        <v>1065</v>
      </c>
      <c r="C1516" s="51">
        <v>7896261012523</v>
      </c>
      <c r="D1516" s="40" t="s">
        <v>70</v>
      </c>
      <c r="E1516" s="40"/>
      <c r="F1516" s="40">
        <v>94</v>
      </c>
      <c r="G1516" s="38"/>
      <c r="H1516" s="38" t="s">
        <v>940</v>
      </c>
      <c r="I1516" s="38" t="s">
        <v>311</v>
      </c>
      <c r="J1516" s="38">
        <v>0</v>
      </c>
      <c r="K1516" s="38" t="s">
        <v>1058</v>
      </c>
      <c r="L1516" s="52" t="s">
        <v>213</v>
      </c>
      <c r="M1516" s="53" t="s">
        <v>213</v>
      </c>
    </row>
    <row r="1517" spans="1:13" x14ac:dyDescent="0.3">
      <c r="A1517" s="37">
        <v>27</v>
      </c>
      <c r="B1517" s="38" t="s">
        <v>1065</v>
      </c>
      <c r="C1517" s="51">
        <v>7896261012523</v>
      </c>
      <c r="D1517" s="40" t="s">
        <v>70</v>
      </c>
      <c r="E1517" s="40"/>
      <c r="F1517" s="40">
        <v>159</v>
      </c>
      <c r="G1517" s="38"/>
      <c r="H1517" s="38" t="s">
        <v>942</v>
      </c>
      <c r="I1517" s="38" t="s">
        <v>311</v>
      </c>
      <c r="J1517" s="38">
        <v>0</v>
      </c>
      <c r="K1517" s="38" t="s">
        <v>1059</v>
      </c>
      <c r="L1517" s="52" t="s">
        <v>213</v>
      </c>
      <c r="M1517" s="53" t="s">
        <v>213</v>
      </c>
    </row>
    <row r="1518" spans="1:13" x14ac:dyDescent="0.3">
      <c r="A1518" s="37">
        <v>27</v>
      </c>
      <c r="B1518" s="38" t="s">
        <v>1065</v>
      </c>
      <c r="C1518" s="51">
        <v>7896261012523</v>
      </c>
      <c r="D1518" s="40" t="s">
        <v>70</v>
      </c>
      <c r="E1518" s="40"/>
      <c r="F1518" s="40">
        <v>164</v>
      </c>
      <c r="G1518" s="38"/>
      <c r="H1518" s="38" t="s">
        <v>944</v>
      </c>
      <c r="I1518" s="38" t="s">
        <v>311</v>
      </c>
      <c r="J1518" s="38">
        <v>0</v>
      </c>
      <c r="K1518" s="38" t="s">
        <v>1059</v>
      </c>
      <c r="L1518" s="52" t="s">
        <v>213</v>
      </c>
      <c r="M1518" s="53" t="s">
        <v>213</v>
      </c>
    </row>
    <row r="1519" spans="1:13" x14ac:dyDescent="0.3">
      <c r="A1519" s="37">
        <v>27</v>
      </c>
      <c r="B1519" s="38" t="s">
        <v>1065</v>
      </c>
      <c r="C1519" s="51">
        <v>7896261012523</v>
      </c>
      <c r="D1519" s="40" t="s">
        <v>70</v>
      </c>
      <c r="E1519" s="40"/>
      <c r="F1519" s="40">
        <v>174</v>
      </c>
      <c r="G1519" s="38"/>
      <c r="H1519" s="38" t="s">
        <v>945</v>
      </c>
      <c r="I1519" s="38" t="s">
        <v>311</v>
      </c>
      <c r="J1519" s="38">
        <v>0</v>
      </c>
      <c r="K1519" s="38" t="s">
        <v>1059</v>
      </c>
      <c r="L1519" s="52" t="s">
        <v>213</v>
      </c>
      <c r="M1519" s="53" t="s">
        <v>213</v>
      </c>
    </row>
    <row r="1520" spans="1:13" x14ac:dyDescent="0.3">
      <c r="A1520" s="37">
        <v>27</v>
      </c>
      <c r="B1520" s="38" t="s">
        <v>1065</v>
      </c>
      <c r="C1520" s="51">
        <v>7896261012523</v>
      </c>
      <c r="D1520" s="40" t="s">
        <v>70</v>
      </c>
      <c r="E1520" s="40"/>
      <c r="F1520" s="40">
        <v>179</v>
      </c>
      <c r="G1520" s="38"/>
      <c r="H1520" s="38" t="s">
        <v>948</v>
      </c>
      <c r="I1520" s="38" t="s">
        <v>424</v>
      </c>
      <c r="J1520" s="38" t="s">
        <v>947</v>
      </c>
      <c r="K1520" s="56">
        <v>0.7</v>
      </c>
      <c r="L1520" s="52" t="s">
        <v>213</v>
      </c>
      <c r="M1520" s="53" t="s">
        <v>213</v>
      </c>
    </row>
    <row r="1521" spans="1:13" x14ac:dyDescent="0.3">
      <c r="A1521" s="37">
        <v>27</v>
      </c>
      <c r="B1521" s="38" t="s">
        <v>1065</v>
      </c>
      <c r="C1521" s="51">
        <v>7896261012523</v>
      </c>
      <c r="D1521" s="40" t="s">
        <v>70</v>
      </c>
      <c r="E1521" s="40"/>
      <c r="F1521" s="40">
        <v>196</v>
      </c>
      <c r="G1521" s="38"/>
      <c r="H1521" s="38" t="s">
        <v>949</v>
      </c>
      <c r="I1521" s="38" t="s">
        <v>311</v>
      </c>
      <c r="J1521" s="38" t="s">
        <v>947</v>
      </c>
      <c r="K1521" s="38" t="s">
        <v>1060</v>
      </c>
      <c r="L1521" s="52" t="s">
        <v>213</v>
      </c>
      <c r="M1521" s="53" t="s">
        <v>213</v>
      </c>
    </row>
    <row r="1522" spans="1:13" x14ac:dyDescent="0.3">
      <c r="A1522" s="37">
        <v>27</v>
      </c>
      <c r="B1522" s="38" t="s">
        <v>1065</v>
      </c>
      <c r="C1522" s="51">
        <v>7896261012523</v>
      </c>
      <c r="D1522" s="40" t="s">
        <v>70</v>
      </c>
      <c r="E1522" s="40"/>
      <c r="F1522" s="40">
        <v>197</v>
      </c>
      <c r="G1522" s="38"/>
      <c r="H1522" s="38" t="s">
        <v>951</v>
      </c>
      <c r="I1522" s="38" t="s">
        <v>311</v>
      </c>
      <c r="J1522" s="38" t="s">
        <v>947</v>
      </c>
      <c r="K1522" s="38" t="s">
        <v>1060</v>
      </c>
      <c r="L1522" s="52" t="s">
        <v>213</v>
      </c>
      <c r="M1522" s="53" t="s">
        <v>213</v>
      </c>
    </row>
    <row r="1523" spans="1:13" x14ac:dyDescent="0.3">
      <c r="A1523" s="37">
        <v>27</v>
      </c>
      <c r="B1523" s="38" t="s">
        <v>1065</v>
      </c>
      <c r="C1523" s="51">
        <v>7896261012523</v>
      </c>
      <c r="D1523" s="40" t="s">
        <v>70</v>
      </c>
      <c r="E1523" s="40"/>
      <c r="F1523" s="40">
        <v>198</v>
      </c>
      <c r="G1523" s="38"/>
      <c r="H1523" s="38" t="s">
        <v>952</v>
      </c>
      <c r="I1523" s="38" t="s">
        <v>311</v>
      </c>
      <c r="J1523" s="38" t="s">
        <v>947</v>
      </c>
      <c r="K1523" s="38" t="s">
        <v>1060</v>
      </c>
      <c r="L1523" s="52" t="s">
        <v>213</v>
      </c>
      <c r="M1523" s="53" t="s">
        <v>213</v>
      </c>
    </row>
    <row r="1524" spans="1:13" x14ac:dyDescent="0.3">
      <c r="A1524" s="37">
        <v>27</v>
      </c>
      <c r="B1524" s="38" t="s">
        <v>1065</v>
      </c>
      <c r="C1524" s="51">
        <v>7896261012523</v>
      </c>
      <c r="D1524" s="40" t="s">
        <v>70</v>
      </c>
      <c r="E1524" s="40"/>
      <c r="F1524" s="40">
        <v>199</v>
      </c>
      <c r="G1524" s="38"/>
      <c r="H1524" s="38" t="s">
        <v>953</v>
      </c>
      <c r="I1524" s="38" t="s">
        <v>311</v>
      </c>
      <c r="J1524" s="38" t="s">
        <v>947</v>
      </c>
      <c r="K1524" s="38" t="s">
        <v>1060</v>
      </c>
      <c r="L1524" s="52" t="s">
        <v>213</v>
      </c>
      <c r="M1524" s="53" t="s">
        <v>213</v>
      </c>
    </row>
    <row r="1525" spans="1:13" x14ac:dyDescent="0.3">
      <c r="A1525" s="37">
        <v>27</v>
      </c>
      <c r="B1525" s="38" t="s">
        <v>1065</v>
      </c>
      <c r="C1525" s="51">
        <v>7896261012523</v>
      </c>
      <c r="D1525" s="40" t="s">
        <v>70</v>
      </c>
      <c r="E1525" s="40"/>
      <c r="F1525" s="40">
        <v>200</v>
      </c>
      <c r="G1525" s="38"/>
      <c r="H1525" s="38" t="s">
        <v>954</v>
      </c>
      <c r="I1525" s="38" t="s">
        <v>311</v>
      </c>
      <c r="J1525" s="38" t="s">
        <v>947</v>
      </c>
      <c r="K1525" s="38" t="s">
        <v>1060</v>
      </c>
      <c r="L1525" s="52" t="s">
        <v>213</v>
      </c>
      <c r="M1525" s="53" t="s">
        <v>213</v>
      </c>
    </row>
    <row r="1526" spans="1:13" x14ac:dyDescent="0.3">
      <c r="A1526" s="37">
        <v>27</v>
      </c>
      <c r="B1526" s="38" t="s">
        <v>1065</v>
      </c>
      <c r="C1526" s="51">
        <v>7896261012523</v>
      </c>
      <c r="D1526" s="40" t="s">
        <v>70</v>
      </c>
      <c r="E1526" s="40"/>
      <c r="F1526" s="40">
        <v>215</v>
      </c>
      <c r="G1526" s="38"/>
      <c r="H1526" s="38" t="s">
        <v>955</v>
      </c>
      <c r="I1526" s="38" t="s">
        <v>311</v>
      </c>
      <c r="J1526" s="38" t="s">
        <v>947</v>
      </c>
      <c r="K1526" s="38" t="s">
        <v>1060</v>
      </c>
      <c r="L1526" s="52" t="s">
        <v>213</v>
      </c>
      <c r="M1526" s="53" t="s">
        <v>213</v>
      </c>
    </row>
    <row r="1527" spans="1:13" x14ac:dyDescent="0.3">
      <c r="A1527" s="37">
        <v>27</v>
      </c>
      <c r="B1527" s="38" t="s">
        <v>1065</v>
      </c>
      <c r="C1527" s="51">
        <v>7896261012523</v>
      </c>
      <c r="D1527" s="40" t="s">
        <v>70</v>
      </c>
      <c r="E1527" s="40"/>
      <c r="F1527" s="40">
        <v>217</v>
      </c>
      <c r="G1527" s="38"/>
      <c r="H1527" s="38" t="s">
        <v>956</v>
      </c>
      <c r="I1527" s="38" t="s">
        <v>311</v>
      </c>
      <c r="J1527" s="38" t="s">
        <v>947</v>
      </c>
      <c r="K1527" s="38" t="s">
        <v>1060</v>
      </c>
      <c r="L1527" s="52" t="s">
        <v>213</v>
      </c>
      <c r="M1527" s="53" t="s">
        <v>213</v>
      </c>
    </row>
    <row r="1528" spans="1:13" x14ac:dyDescent="0.3">
      <c r="A1528" s="37">
        <v>27</v>
      </c>
      <c r="B1528" s="38" t="s">
        <v>1065</v>
      </c>
      <c r="C1528" s="51">
        <v>7896261012523</v>
      </c>
      <c r="D1528" s="40" t="s">
        <v>70</v>
      </c>
      <c r="E1528" s="40"/>
      <c r="F1528" s="40">
        <v>219</v>
      </c>
      <c r="G1528" s="38"/>
      <c r="H1528" s="38" t="s">
        <v>957</v>
      </c>
      <c r="I1528" s="38" t="s">
        <v>311</v>
      </c>
      <c r="J1528" s="38" t="s">
        <v>947</v>
      </c>
      <c r="K1528" s="38" t="s">
        <v>1060</v>
      </c>
      <c r="L1528" s="52" t="s">
        <v>213</v>
      </c>
      <c r="M1528" s="53" t="s">
        <v>213</v>
      </c>
    </row>
    <row r="1529" spans="1:13" x14ac:dyDescent="0.3">
      <c r="A1529" s="37">
        <v>27</v>
      </c>
      <c r="B1529" s="38" t="s">
        <v>1065</v>
      </c>
      <c r="C1529" s="51">
        <v>7896261012523</v>
      </c>
      <c r="D1529" s="40" t="s">
        <v>70</v>
      </c>
      <c r="E1529" s="40"/>
      <c r="F1529" s="40">
        <v>228</v>
      </c>
      <c r="G1529" s="38"/>
      <c r="H1529" s="38" t="s">
        <v>958</v>
      </c>
      <c r="I1529" s="38" t="s">
        <v>311</v>
      </c>
      <c r="J1529" s="38" t="s">
        <v>947</v>
      </c>
      <c r="K1529" s="38" t="s">
        <v>1060</v>
      </c>
      <c r="L1529" s="52" t="s">
        <v>213</v>
      </c>
      <c r="M1529" s="53" t="s">
        <v>213</v>
      </c>
    </row>
    <row r="1530" spans="1:13" x14ac:dyDescent="0.3">
      <c r="A1530" s="37">
        <v>27</v>
      </c>
      <c r="B1530" s="38" t="s">
        <v>1065</v>
      </c>
      <c r="C1530" s="51">
        <v>7896261012523</v>
      </c>
      <c r="D1530" s="40" t="s">
        <v>70</v>
      </c>
      <c r="E1530" s="40"/>
      <c r="F1530" s="40">
        <v>229</v>
      </c>
      <c r="G1530" s="38"/>
      <c r="H1530" s="38" t="s">
        <v>959</v>
      </c>
      <c r="I1530" s="38" t="s">
        <v>311</v>
      </c>
      <c r="J1530" s="38" t="s">
        <v>947</v>
      </c>
      <c r="K1530" s="38" t="s">
        <v>1060</v>
      </c>
      <c r="L1530" s="52" t="s">
        <v>213</v>
      </c>
      <c r="M1530" s="53" t="s">
        <v>213</v>
      </c>
    </row>
    <row r="1531" spans="1:13" x14ac:dyDescent="0.3">
      <c r="A1531" s="37">
        <v>27</v>
      </c>
      <c r="B1531" s="38" t="s">
        <v>1065</v>
      </c>
      <c r="C1531" s="51">
        <v>7896261012523</v>
      </c>
      <c r="D1531" s="40" t="s">
        <v>70</v>
      </c>
      <c r="E1531" s="40"/>
      <c r="F1531" s="40">
        <v>249</v>
      </c>
      <c r="G1531" s="38"/>
      <c r="H1531" s="38" t="s">
        <v>960</v>
      </c>
      <c r="I1531" s="38" t="s">
        <v>311</v>
      </c>
      <c r="J1531" s="38" t="s">
        <v>947</v>
      </c>
      <c r="K1531" s="38" t="s">
        <v>1002</v>
      </c>
      <c r="L1531" s="52" t="s">
        <v>213</v>
      </c>
      <c r="M1531" s="53" t="s">
        <v>213</v>
      </c>
    </row>
    <row r="1532" spans="1:13" x14ac:dyDescent="0.3">
      <c r="A1532" s="37">
        <v>27</v>
      </c>
      <c r="B1532" s="38" t="s">
        <v>1065</v>
      </c>
      <c r="C1532" s="51">
        <v>7896261012523</v>
      </c>
      <c r="D1532" s="40" t="s">
        <v>70</v>
      </c>
      <c r="E1532" s="40"/>
      <c r="F1532" s="40">
        <v>262</v>
      </c>
      <c r="G1532" s="38"/>
      <c r="H1532" s="38" t="s">
        <v>961</v>
      </c>
      <c r="I1532" s="38" t="s">
        <v>424</v>
      </c>
      <c r="J1532" s="38" t="s">
        <v>947</v>
      </c>
      <c r="K1532" s="38">
        <v>49.7</v>
      </c>
      <c r="L1532" s="52" t="s">
        <v>213</v>
      </c>
      <c r="M1532" s="53" t="s">
        <v>213</v>
      </c>
    </row>
    <row r="1533" spans="1:13" x14ac:dyDescent="0.3">
      <c r="A1533" s="37">
        <v>27</v>
      </c>
      <c r="B1533" s="38" t="s">
        <v>1065</v>
      </c>
      <c r="C1533" s="51">
        <v>7896261012523</v>
      </c>
      <c r="D1533" s="40" t="s">
        <v>70</v>
      </c>
      <c r="E1533" s="40"/>
      <c r="F1533" s="40">
        <v>301</v>
      </c>
      <c r="G1533" s="38"/>
      <c r="H1533" s="38" t="s">
        <v>963</v>
      </c>
      <c r="I1533" s="38" t="s">
        <v>311</v>
      </c>
      <c r="J1533" s="38" t="s">
        <v>947</v>
      </c>
      <c r="K1533" s="38" t="s">
        <v>1060</v>
      </c>
      <c r="L1533" s="52" t="s">
        <v>213</v>
      </c>
      <c r="M1533" s="53" t="s">
        <v>213</v>
      </c>
    </row>
    <row r="1534" spans="1:13" x14ac:dyDescent="0.3">
      <c r="A1534" s="37">
        <v>27</v>
      </c>
      <c r="B1534" s="38" t="s">
        <v>1066</v>
      </c>
      <c r="C1534" s="51">
        <v>7896261012561</v>
      </c>
      <c r="D1534" s="40" t="s">
        <v>70</v>
      </c>
      <c r="E1534" s="40"/>
      <c r="F1534" s="40">
        <v>94</v>
      </c>
      <c r="G1534" s="38"/>
      <c r="H1534" s="38" t="s">
        <v>940</v>
      </c>
      <c r="I1534" s="38" t="s">
        <v>311</v>
      </c>
      <c r="J1534" s="38">
        <v>0</v>
      </c>
      <c r="K1534" s="38" t="s">
        <v>1058</v>
      </c>
      <c r="L1534" s="52" t="s">
        <v>213</v>
      </c>
      <c r="M1534" s="53" t="s">
        <v>213</v>
      </c>
    </row>
    <row r="1535" spans="1:13" x14ac:dyDescent="0.3">
      <c r="A1535" s="37">
        <v>27</v>
      </c>
      <c r="B1535" s="38" t="s">
        <v>1066</v>
      </c>
      <c r="C1535" s="51">
        <v>7896261012561</v>
      </c>
      <c r="D1535" s="40" t="s">
        <v>70</v>
      </c>
      <c r="E1535" s="40"/>
      <c r="F1535" s="40">
        <v>159</v>
      </c>
      <c r="G1535" s="38"/>
      <c r="H1535" s="38" t="s">
        <v>942</v>
      </c>
      <c r="I1535" s="38" t="s">
        <v>311</v>
      </c>
      <c r="J1535" s="38">
        <v>0</v>
      </c>
      <c r="K1535" s="38" t="s">
        <v>1059</v>
      </c>
      <c r="L1535" s="52" t="s">
        <v>213</v>
      </c>
      <c r="M1535" s="53" t="s">
        <v>213</v>
      </c>
    </row>
    <row r="1536" spans="1:13" x14ac:dyDescent="0.3">
      <c r="A1536" s="37">
        <v>27</v>
      </c>
      <c r="B1536" s="38" t="s">
        <v>1066</v>
      </c>
      <c r="C1536" s="51">
        <v>7896261012561</v>
      </c>
      <c r="D1536" s="40" t="s">
        <v>70</v>
      </c>
      <c r="E1536" s="40"/>
      <c r="F1536" s="40">
        <v>164</v>
      </c>
      <c r="G1536" s="38"/>
      <c r="H1536" s="38" t="s">
        <v>944</v>
      </c>
      <c r="I1536" s="38" t="s">
        <v>311</v>
      </c>
      <c r="J1536" s="38">
        <v>0</v>
      </c>
      <c r="K1536" s="38" t="s">
        <v>1059</v>
      </c>
      <c r="L1536" s="52" t="s">
        <v>213</v>
      </c>
      <c r="M1536" s="53" t="s">
        <v>213</v>
      </c>
    </row>
    <row r="1537" spans="1:13" x14ac:dyDescent="0.3">
      <c r="A1537" s="37">
        <v>27</v>
      </c>
      <c r="B1537" s="38" t="s">
        <v>1066</v>
      </c>
      <c r="C1537" s="51">
        <v>7896261012561</v>
      </c>
      <c r="D1537" s="40" t="s">
        <v>70</v>
      </c>
      <c r="E1537" s="40"/>
      <c r="F1537" s="40">
        <v>174</v>
      </c>
      <c r="G1537" s="38"/>
      <c r="H1537" s="38" t="s">
        <v>945</v>
      </c>
      <c r="I1537" s="38" t="s">
        <v>311</v>
      </c>
      <c r="J1537" s="38">
        <v>0</v>
      </c>
      <c r="K1537" s="38" t="s">
        <v>1059</v>
      </c>
      <c r="L1537" s="52" t="s">
        <v>213</v>
      </c>
      <c r="M1537" s="53" t="s">
        <v>213</v>
      </c>
    </row>
    <row r="1538" spans="1:13" x14ac:dyDescent="0.3">
      <c r="A1538" s="37">
        <v>27</v>
      </c>
      <c r="B1538" s="38" t="s">
        <v>1066</v>
      </c>
      <c r="C1538" s="51">
        <v>7896261012561</v>
      </c>
      <c r="D1538" s="40" t="s">
        <v>70</v>
      </c>
      <c r="E1538" s="40"/>
      <c r="F1538" s="40">
        <v>178</v>
      </c>
      <c r="G1538" s="38"/>
      <c r="H1538" s="38" t="s">
        <v>946</v>
      </c>
      <c r="I1538" s="38" t="s">
        <v>424</v>
      </c>
      <c r="J1538" s="38" t="s">
        <v>947</v>
      </c>
      <c r="K1538" s="56">
        <v>0.6</v>
      </c>
      <c r="L1538" s="52" t="s">
        <v>213</v>
      </c>
      <c r="M1538" s="53" t="s">
        <v>213</v>
      </c>
    </row>
    <row r="1539" spans="1:13" x14ac:dyDescent="0.3">
      <c r="A1539" s="37">
        <v>27</v>
      </c>
      <c r="B1539" s="38" t="s">
        <v>1066</v>
      </c>
      <c r="C1539" s="51">
        <v>7896261012561</v>
      </c>
      <c r="D1539" s="40" t="s">
        <v>70</v>
      </c>
      <c r="E1539" s="40"/>
      <c r="F1539" s="40">
        <v>179</v>
      </c>
      <c r="G1539" s="38"/>
      <c r="H1539" s="38" t="s">
        <v>948</v>
      </c>
      <c r="I1539" s="38" t="s">
        <v>424</v>
      </c>
      <c r="J1539" s="38" t="s">
        <v>947</v>
      </c>
      <c r="K1539" s="56">
        <v>0.7</v>
      </c>
      <c r="L1539" s="52" t="s">
        <v>213</v>
      </c>
      <c r="M1539" s="53" t="s">
        <v>213</v>
      </c>
    </row>
    <row r="1540" spans="1:13" x14ac:dyDescent="0.3">
      <c r="A1540" s="37">
        <v>27</v>
      </c>
      <c r="B1540" s="38" t="s">
        <v>1066</v>
      </c>
      <c r="C1540" s="51">
        <v>7896261012561</v>
      </c>
      <c r="D1540" s="40" t="s">
        <v>70</v>
      </c>
      <c r="E1540" s="40"/>
      <c r="F1540" s="40">
        <v>185</v>
      </c>
      <c r="G1540" s="38"/>
      <c r="H1540" s="38" t="s">
        <v>977</v>
      </c>
      <c r="I1540" s="38" t="s">
        <v>424</v>
      </c>
      <c r="J1540" s="38">
        <v>0</v>
      </c>
      <c r="K1540" s="56">
        <v>0.6</v>
      </c>
      <c r="L1540" s="52" t="s">
        <v>213</v>
      </c>
      <c r="M1540" s="53" t="s">
        <v>213</v>
      </c>
    </row>
    <row r="1541" spans="1:13" x14ac:dyDescent="0.3">
      <c r="A1541" s="37">
        <v>27</v>
      </c>
      <c r="B1541" s="38" t="s">
        <v>1066</v>
      </c>
      <c r="C1541" s="51">
        <v>7896261012561</v>
      </c>
      <c r="D1541" s="40" t="s">
        <v>70</v>
      </c>
      <c r="E1541" s="40"/>
      <c r="F1541" s="40">
        <v>196</v>
      </c>
      <c r="G1541" s="38"/>
      <c r="H1541" s="38" t="s">
        <v>949</v>
      </c>
      <c r="I1541" s="38" t="s">
        <v>311</v>
      </c>
      <c r="J1541" s="38" t="s">
        <v>947</v>
      </c>
      <c r="K1541" s="38" t="s">
        <v>1060</v>
      </c>
      <c r="L1541" s="52" t="s">
        <v>213</v>
      </c>
      <c r="M1541" s="53" t="s">
        <v>213</v>
      </c>
    </row>
    <row r="1542" spans="1:13" x14ac:dyDescent="0.3">
      <c r="A1542" s="37">
        <v>27</v>
      </c>
      <c r="B1542" s="38" t="s">
        <v>1066</v>
      </c>
      <c r="C1542" s="51">
        <v>7896261012561</v>
      </c>
      <c r="D1542" s="40" t="s">
        <v>70</v>
      </c>
      <c r="E1542" s="40"/>
      <c r="F1542" s="40">
        <v>197</v>
      </c>
      <c r="G1542" s="38"/>
      <c r="H1542" s="38" t="s">
        <v>951</v>
      </c>
      <c r="I1542" s="38" t="s">
        <v>311</v>
      </c>
      <c r="J1542" s="38" t="s">
        <v>947</v>
      </c>
      <c r="K1542" s="38" t="s">
        <v>1060</v>
      </c>
      <c r="L1542" s="52" t="s">
        <v>213</v>
      </c>
      <c r="M1542" s="53" t="s">
        <v>213</v>
      </c>
    </row>
    <row r="1543" spans="1:13" x14ac:dyDescent="0.3">
      <c r="A1543" s="37">
        <v>27</v>
      </c>
      <c r="B1543" s="38" t="s">
        <v>1066</v>
      </c>
      <c r="C1543" s="51">
        <v>7896261012561</v>
      </c>
      <c r="D1543" s="40" t="s">
        <v>70</v>
      </c>
      <c r="E1543" s="40"/>
      <c r="F1543" s="40">
        <v>198</v>
      </c>
      <c r="G1543" s="38"/>
      <c r="H1543" s="38" t="s">
        <v>952</v>
      </c>
      <c r="I1543" s="38" t="s">
        <v>311</v>
      </c>
      <c r="J1543" s="38" t="s">
        <v>947</v>
      </c>
      <c r="K1543" s="38" t="s">
        <v>1060</v>
      </c>
      <c r="L1543" s="52" t="s">
        <v>213</v>
      </c>
      <c r="M1543" s="53" t="s">
        <v>213</v>
      </c>
    </row>
    <row r="1544" spans="1:13" x14ac:dyDescent="0.3">
      <c r="A1544" s="37">
        <v>27</v>
      </c>
      <c r="B1544" s="38" t="s">
        <v>1066</v>
      </c>
      <c r="C1544" s="51">
        <v>7896261012561</v>
      </c>
      <c r="D1544" s="40" t="s">
        <v>70</v>
      </c>
      <c r="E1544" s="40"/>
      <c r="F1544" s="40">
        <v>199</v>
      </c>
      <c r="G1544" s="38"/>
      <c r="H1544" s="38" t="s">
        <v>953</v>
      </c>
      <c r="I1544" s="38" t="s">
        <v>311</v>
      </c>
      <c r="J1544" s="38" t="s">
        <v>947</v>
      </c>
      <c r="K1544" s="38" t="s">
        <v>1060</v>
      </c>
      <c r="L1544" s="52" t="s">
        <v>213</v>
      </c>
      <c r="M1544" s="53" t="s">
        <v>213</v>
      </c>
    </row>
    <row r="1545" spans="1:13" x14ac:dyDescent="0.3">
      <c r="A1545" s="37">
        <v>27</v>
      </c>
      <c r="B1545" s="38" t="s">
        <v>1066</v>
      </c>
      <c r="C1545" s="51">
        <v>7896261012561</v>
      </c>
      <c r="D1545" s="40" t="s">
        <v>70</v>
      </c>
      <c r="E1545" s="40"/>
      <c r="F1545" s="40">
        <v>200</v>
      </c>
      <c r="G1545" s="38"/>
      <c r="H1545" s="38" t="s">
        <v>954</v>
      </c>
      <c r="I1545" s="38" t="s">
        <v>311</v>
      </c>
      <c r="J1545" s="38" t="s">
        <v>947</v>
      </c>
      <c r="K1545" s="38" t="s">
        <v>1060</v>
      </c>
      <c r="L1545" s="52" t="s">
        <v>213</v>
      </c>
      <c r="M1545" s="53" t="s">
        <v>213</v>
      </c>
    </row>
    <row r="1546" spans="1:13" x14ac:dyDescent="0.3">
      <c r="A1546" s="37">
        <v>27</v>
      </c>
      <c r="B1546" s="38" t="s">
        <v>1066</v>
      </c>
      <c r="C1546" s="51">
        <v>7896261012561</v>
      </c>
      <c r="D1546" s="40" t="s">
        <v>70</v>
      </c>
      <c r="E1546" s="40"/>
      <c r="F1546" s="40">
        <v>215</v>
      </c>
      <c r="G1546" s="38"/>
      <c r="H1546" s="38" t="s">
        <v>955</v>
      </c>
      <c r="I1546" s="38" t="s">
        <v>311</v>
      </c>
      <c r="J1546" s="38" t="s">
        <v>947</v>
      </c>
      <c r="K1546" s="38" t="s">
        <v>1060</v>
      </c>
      <c r="L1546" s="52" t="s">
        <v>213</v>
      </c>
      <c r="M1546" s="53" t="s">
        <v>213</v>
      </c>
    </row>
    <row r="1547" spans="1:13" x14ac:dyDescent="0.3">
      <c r="A1547" s="37">
        <v>27</v>
      </c>
      <c r="B1547" s="38" t="s">
        <v>1066</v>
      </c>
      <c r="C1547" s="51">
        <v>7896261012561</v>
      </c>
      <c r="D1547" s="40" t="s">
        <v>70</v>
      </c>
      <c r="E1547" s="40"/>
      <c r="F1547" s="40">
        <v>217</v>
      </c>
      <c r="G1547" s="38"/>
      <c r="H1547" s="38" t="s">
        <v>956</v>
      </c>
      <c r="I1547" s="38" t="s">
        <v>311</v>
      </c>
      <c r="J1547" s="38" t="s">
        <v>947</v>
      </c>
      <c r="K1547" s="38" t="s">
        <v>1060</v>
      </c>
      <c r="L1547" s="52" t="s">
        <v>213</v>
      </c>
      <c r="M1547" s="53" t="s">
        <v>213</v>
      </c>
    </row>
    <row r="1548" spans="1:13" x14ac:dyDescent="0.3">
      <c r="A1548" s="37">
        <v>27</v>
      </c>
      <c r="B1548" s="38" t="s">
        <v>1066</v>
      </c>
      <c r="C1548" s="51">
        <v>7896261012561</v>
      </c>
      <c r="D1548" s="40" t="s">
        <v>70</v>
      </c>
      <c r="E1548" s="40"/>
      <c r="F1548" s="40">
        <v>219</v>
      </c>
      <c r="G1548" s="38"/>
      <c r="H1548" s="38" t="s">
        <v>957</v>
      </c>
      <c r="I1548" s="38" t="s">
        <v>311</v>
      </c>
      <c r="J1548" s="38" t="s">
        <v>947</v>
      </c>
      <c r="K1548" s="38" t="s">
        <v>1060</v>
      </c>
      <c r="L1548" s="52" t="s">
        <v>213</v>
      </c>
      <c r="M1548" s="53" t="s">
        <v>213</v>
      </c>
    </row>
    <row r="1549" spans="1:13" x14ac:dyDescent="0.3">
      <c r="A1549" s="37">
        <v>27</v>
      </c>
      <c r="B1549" s="38" t="s">
        <v>1066</v>
      </c>
      <c r="C1549" s="51">
        <v>7896261012561</v>
      </c>
      <c r="D1549" s="40" t="s">
        <v>70</v>
      </c>
      <c r="E1549" s="40"/>
      <c r="F1549" s="40">
        <v>228</v>
      </c>
      <c r="G1549" s="38"/>
      <c r="H1549" s="38" t="s">
        <v>958</v>
      </c>
      <c r="I1549" s="38" t="s">
        <v>311</v>
      </c>
      <c r="J1549" s="38" t="s">
        <v>947</v>
      </c>
      <c r="K1549" s="38" t="s">
        <v>1060</v>
      </c>
      <c r="L1549" s="52" t="s">
        <v>213</v>
      </c>
      <c r="M1549" s="53" t="s">
        <v>213</v>
      </c>
    </row>
    <row r="1550" spans="1:13" x14ac:dyDescent="0.3">
      <c r="A1550" s="37">
        <v>27</v>
      </c>
      <c r="B1550" s="38" t="s">
        <v>1066</v>
      </c>
      <c r="C1550" s="51">
        <v>7896261012561</v>
      </c>
      <c r="D1550" s="40" t="s">
        <v>70</v>
      </c>
      <c r="E1550" s="40"/>
      <c r="F1550" s="40">
        <v>229</v>
      </c>
      <c r="G1550" s="38"/>
      <c r="H1550" s="38" t="s">
        <v>959</v>
      </c>
      <c r="I1550" s="38" t="s">
        <v>311</v>
      </c>
      <c r="J1550" s="38" t="s">
        <v>947</v>
      </c>
      <c r="K1550" s="38" t="s">
        <v>1060</v>
      </c>
      <c r="L1550" s="52" t="s">
        <v>213</v>
      </c>
      <c r="M1550" s="53" t="s">
        <v>213</v>
      </c>
    </row>
    <row r="1551" spans="1:13" x14ac:dyDescent="0.3">
      <c r="A1551" s="37">
        <v>27</v>
      </c>
      <c r="B1551" s="38" t="s">
        <v>1066</v>
      </c>
      <c r="C1551" s="51">
        <v>7896261012561</v>
      </c>
      <c r="D1551" s="40" t="s">
        <v>70</v>
      </c>
      <c r="E1551" s="40"/>
      <c r="F1551" s="40">
        <v>247</v>
      </c>
      <c r="G1551" s="38"/>
      <c r="H1551" s="38" t="s">
        <v>979</v>
      </c>
      <c r="I1551" s="38" t="s">
        <v>424</v>
      </c>
      <c r="J1551" s="38" t="s">
        <v>947</v>
      </c>
      <c r="K1551" s="56">
        <v>0.61</v>
      </c>
      <c r="L1551" s="52" t="s">
        <v>213</v>
      </c>
      <c r="M1551" s="53" t="s">
        <v>213</v>
      </c>
    </row>
    <row r="1552" spans="1:13" x14ac:dyDescent="0.3">
      <c r="A1552" s="37">
        <v>27</v>
      </c>
      <c r="B1552" s="38" t="s">
        <v>1066</v>
      </c>
      <c r="C1552" s="51">
        <v>7896261012561</v>
      </c>
      <c r="D1552" s="40" t="s">
        <v>70</v>
      </c>
      <c r="E1552" s="40"/>
      <c r="F1552" s="40">
        <v>249</v>
      </c>
      <c r="G1552" s="38"/>
      <c r="H1552" s="38" t="s">
        <v>960</v>
      </c>
      <c r="I1552" s="38" t="s">
        <v>311</v>
      </c>
      <c r="J1552" s="38" t="s">
        <v>947</v>
      </c>
      <c r="K1552" s="38" t="s">
        <v>1060</v>
      </c>
      <c r="L1552" s="52" t="s">
        <v>213</v>
      </c>
      <c r="M1552" s="53" t="s">
        <v>213</v>
      </c>
    </row>
    <row r="1553" spans="1:13" x14ac:dyDescent="0.3">
      <c r="A1553" s="37">
        <v>27</v>
      </c>
      <c r="B1553" s="38" t="s">
        <v>1066</v>
      </c>
      <c r="C1553" s="51">
        <v>7896261012561</v>
      </c>
      <c r="D1553" s="40" t="s">
        <v>70</v>
      </c>
      <c r="E1553" s="40"/>
      <c r="F1553" s="40">
        <v>262</v>
      </c>
      <c r="G1553" s="38"/>
      <c r="H1553" s="38" t="s">
        <v>961</v>
      </c>
      <c r="I1553" s="38" t="s">
        <v>424</v>
      </c>
      <c r="J1553" s="38" t="s">
        <v>947</v>
      </c>
      <c r="K1553" s="38">
        <v>49.7</v>
      </c>
      <c r="L1553" s="52" t="s">
        <v>213</v>
      </c>
      <c r="M1553" s="53" t="s">
        <v>213</v>
      </c>
    </row>
    <row r="1554" spans="1:13" x14ac:dyDescent="0.3">
      <c r="A1554" s="37">
        <v>27</v>
      </c>
      <c r="B1554" s="38" t="s">
        <v>1066</v>
      </c>
      <c r="C1554" s="51">
        <v>7896261012561</v>
      </c>
      <c r="D1554" s="40" t="s">
        <v>70</v>
      </c>
      <c r="E1554" s="40"/>
      <c r="F1554" s="40">
        <v>301</v>
      </c>
      <c r="G1554" s="38"/>
      <c r="H1554" s="38" t="s">
        <v>963</v>
      </c>
      <c r="I1554" s="38" t="s">
        <v>311</v>
      </c>
      <c r="J1554" s="38" t="s">
        <v>947</v>
      </c>
      <c r="K1554" s="38" t="s">
        <v>1060</v>
      </c>
      <c r="L1554" s="52" t="s">
        <v>213</v>
      </c>
      <c r="M1554" s="53" t="s">
        <v>213</v>
      </c>
    </row>
    <row r="1555" spans="1:13" x14ac:dyDescent="0.3">
      <c r="A1555" s="37">
        <v>27</v>
      </c>
      <c r="B1555" s="38" t="s">
        <v>1066</v>
      </c>
      <c r="C1555" s="51">
        <v>7896261012561</v>
      </c>
      <c r="D1555" s="40" t="s">
        <v>70</v>
      </c>
      <c r="E1555" s="40"/>
      <c r="F1555" s="40">
        <v>328</v>
      </c>
      <c r="G1555" s="38"/>
      <c r="H1555" s="38" t="s">
        <v>1048</v>
      </c>
      <c r="I1555" s="38" t="s">
        <v>311</v>
      </c>
      <c r="J1555" s="38" t="s">
        <v>947</v>
      </c>
      <c r="K1555" s="38" t="s">
        <v>1064</v>
      </c>
      <c r="L1555" s="52" t="s">
        <v>213</v>
      </c>
      <c r="M1555" s="53" t="s">
        <v>213</v>
      </c>
    </row>
    <row r="1556" spans="1:13" x14ac:dyDescent="0.3">
      <c r="A1556" s="37">
        <v>27</v>
      </c>
      <c r="B1556" s="38" t="s">
        <v>1067</v>
      </c>
      <c r="C1556" s="51">
        <v>7896261012608</v>
      </c>
      <c r="D1556" s="40" t="s">
        <v>70</v>
      </c>
      <c r="E1556" s="40"/>
      <c r="F1556" s="40">
        <v>94</v>
      </c>
      <c r="G1556" s="38"/>
      <c r="H1556" s="38" t="s">
        <v>940</v>
      </c>
      <c r="I1556" s="38" t="s">
        <v>311</v>
      </c>
      <c r="J1556" s="38">
        <v>0</v>
      </c>
      <c r="K1556" s="38" t="s">
        <v>1058</v>
      </c>
      <c r="L1556" s="52" t="s">
        <v>213</v>
      </c>
      <c r="M1556" s="53" t="s">
        <v>213</v>
      </c>
    </row>
    <row r="1557" spans="1:13" x14ac:dyDescent="0.3">
      <c r="A1557" s="37">
        <v>27</v>
      </c>
      <c r="B1557" s="38" t="s">
        <v>1067</v>
      </c>
      <c r="C1557" s="51">
        <v>7896261012608</v>
      </c>
      <c r="D1557" s="40" t="s">
        <v>70</v>
      </c>
      <c r="E1557" s="40"/>
      <c r="F1557" s="40">
        <v>159</v>
      </c>
      <c r="G1557" s="38"/>
      <c r="H1557" s="38" t="s">
        <v>942</v>
      </c>
      <c r="I1557" s="38" t="s">
        <v>311</v>
      </c>
      <c r="J1557" s="38">
        <v>0</v>
      </c>
      <c r="K1557" s="38" t="s">
        <v>1059</v>
      </c>
      <c r="L1557" s="52" t="s">
        <v>213</v>
      </c>
      <c r="M1557" s="53" t="s">
        <v>213</v>
      </c>
    </row>
    <row r="1558" spans="1:13" x14ac:dyDescent="0.3">
      <c r="A1558" s="37">
        <v>27</v>
      </c>
      <c r="B1558" s="38" t="s">
        <v>1067</v>
      </c>
      <c r="C1558" s="51">
        <v>7896261012608</v>
      </c>
      <c r="D1558" s="40" t="s">
        <v>70</v>
      </c>
      <c r="E1558" s="40"/>
      <c r="F1558" s="40">
        <v>164</v>
      </c>
      <c r="G1558" s="38"/>
      <c r="H1558" s="38" t="s">
        <v>944</v>
      </c>
      <c r="I1558" s="38" t="s">
        <v>311</v>
      </c>
      <c r="J1558" s="38">
        <v>0</v>
      </c>
      <c r="K1558" s="38" t="s">
        <v>1059</v>
      </c>
      <c r="L1558" s="52" t="s">
        <v>213</v>
      </c>
      <c r="M1558" s="53" t="s">
        <v>213</v>
      </c>
    </row>
    <row r="1559" spans="1:13" x14ac:dyDescent="0.3">
      <c r="A1559" s="37">
        <v>27</v>
      </c>
      <c r="B1559" s="38" t="s">
        <v>1067</v>
      </c>
      <c r="C1559" s="51">
        <v>7896261012608</v>
      </c>
      <c r="D1559" s="40" t="s">
        <v>70</v>
      </c>
      <c r="E1559" s="40"/>
      <c r="F1559" s="40">
        <v>174</v>
      </c>
      <c r="G1559" s="38"/>
      <c r="H1559" s="38" t="s">
        <v>945</v>
      </c>
      <c r="I1559" s="38" t="s">
        <v>311</v>
      </c>
      <c r="J1559" s="38">
        <v>0</v>
      </c>
      <c r="K1559" s="38" t="s">
        <v>1059</v>
      </c>
      <c r="L1559" s="52" t="s">
        <v>213</v>
      </c>
      <c r="M1559" s="53" t="s">
        <v>213</v>
      </c>
    </row>
    <row r="1560" spans="1:13" x14ac:dyDescent="0.3">
      <c r="A1560" s="37">
        <v>27</v>
      </c>
      <c r="B1560" s="38" t="s">
        <v>1067</v>
      </c>
      <c r="C1560" s="51">
        <v>7896261012608</v>
      </c>
      <c r="D1560" s="40" t="s">
        <v>70</v>
      </c>
      <c r="E1560" s="40"/>
      <c r="F1560" s="40">
        <v>179</v>
      </c>
      <c r="G1560" s="38"/>
      <c r="H1560" s="38" t="s">
        <v>948</v>
      </c>
      <c r="I1560" s="38" t="s">
        <v>424</v>
      </c>
      <c r="J1560" s="38" t="s">
        <v>947</v>
      </c>
      <c r="K1560" s="56">
        <v>0.7</v>
      </c>
      <c r="L1560" s="52" t="s">
        <v>213</v>
      </c>
      <c r="M1560" s="53" t="s">
        <v>213</v>
      </c>
    </row>
    <row r="1561" spans="1:13" x14ac:dyDescent="0.3">
      <c r="A1561" s="37">
        <v>27</v>
      </c>
      <c r="B1561" s="38" t="s">
        <v>1067</v>
      </c>
      <c r="C1561" s="51">
        <v>7896261012608</v>
      </c>
      <c r="D1561" s="40" t="s">
        <v>70</v>
      </c>
      <c r="E1561" s="40"/>
      <c r="F1561" s="40">
        <v>185</v>
      </c>
      <c r="G1561" s="38"/>
      <c r="H1561" s="38" t="s">
        <v>977</v>
      </c>
      <c r="I1561" s="38" t="s">
        <v>424</v>
      </c>
      <c r="J1561" s="38">
        <v>0</v>
      </c>
      <c r="K1561" s="56">
        <v>0.6</v>
      </c>
      <c r="L1561" s="52" t="s">
        <v>213</v>
      </c>
      <c r="M1561" s="53" t="s">
        <v>213</v>
      </c>
    </row>
    <row r="1562" spans="1:13" x14ac:dyDescent="0.3">
      <c r="A1562" s="37">
        <v>27</v>
      </c>
      <c r="B1562" s="38" t="s">
        <v>1067</v>
      </c>
      <c r="C1562" s="51">
        <v>7896261012608</v>
      </c>
      <c r="D1562" s="40" t="s">
        <v>70</v>
      </c>
      <c r="E1562" s="40"/>
      <c r="F1562" s="40">
        <v>196</v>
      </c>
      <c r="G1562" s="38"/>
      <c r="H1562" s="38" t="s">
        <v>949</v>
      </c>
      <c r="I1562" s="38" t="s">
        <v>311</v>
      </c>
      <c r="J1562" s="38" t="s">
        <v>947</v>
      </c>
      <c r="K1562" s="38" t="s">
        <v>1060</v>
      </c>
      <c r="L1562" s="52" t="s">
        <v>213</v>
      </c>
      <c r="M1562" s="53" t="s">
        <v>213</v>
      </c>
    </row>
    <row r="1563" spans="1:13" x14ac:dyDescent="0.3">
      <c r="A1563" s="37">
        <v>27</v>
      </c>
      <c r="B1563" s="38" t="s">
        <v>1067</v>
      </c>
      <c r="C1563" s="51">
        <v>7896261012608</v>
      </c>
      <c r="D1563" s="40" t="s">
        <v>70</v>
      </c>
      <c r="E1563" s="40"/>
      <c r="F1563" s="40">
        <v>197</v>
      </c>
      <c r="G1563" s="38"/>
      <c r="H1563" s="38" t="s">
        <v>951</v>
      </c>
      <c r="I1563" s="38" t="s">
        <v>311</v>
      </c>
      <c r="J1563" s="38" t="s">
        <v>947</v>
      </c>
      <c r="K1563" s="38" t="s">
        <v>1060</v>
      </c>
      <c r="L1563" s="52" t="s">
        <v>213</v>
      </c>
      <c r="M1563" s="53" t="s">
        <v>213</v>
      </c>
    </row>
    <row r="1564" spans="1:13" x14ac:dyDescent="0.3">
      <c r="A1564" s="37">
        <v>27</v>
      </c>
      <c r="B1564" s="38" t="s">
        <v>1067</v>
      </c>
      <c r="C1564" s="51">
        <v>7896261012608</v>
      </c>
      <c r="D1564" s="40" t="s">
        <v>70</v>
      </c>
      <c r="E1564" s="40"/>
      <c r="F1564" s="40">
        <v>198</v>
      </c>
      <c r="G1564" s="38"/>
      <c r="H1564" s="38" t="s">
        <v>952</v>
      </c>
      <c r="I1564" s="38" t="s">
        <v>311</v>
      </c>
      <c r="J1564" s="38" t="s">
        <v>947</v>
      </c>
      <c r="K1564" s="38" t="s">
        <v>1060</v>
      </c>
      <c r="L1564" s="52" t="s">
        <v>213</v>
      </c>
      <c r="M1564" s="53" t="s">
        <v>213</v>
      </c>
    </row>
    <row r="1565" spans="1:13" x14ac:dyDescent="0.3">
      <c r="A1565" s="37">
        <v>27</v>
      </c>
      <c r="B1565" s="38" t="s">
        <v>1067</v>
      </c>
      <c r="C1565" s="51">
        <v>7896261012608</v>
      </c>
      <c r="D1565" s="40" t="s">
        <v>70</v>
      </c>
      <c r="E1565" s="40"/>
      <c r="F1565" s="40">
        <v>199</v>
      </c>
      <c r="G1565" s="38"/>
      <c r="H1565" s="38" t="s">
        <v>953</v>
      </c>
      <c r="I1565" s="38" t="s">
        <v>311</v>
      </c>
      <c r="J1565" s="38" t="s">
        <v>947</v>
      </c>
      <c r="K1565" s="38" t="s">
        <v>1060</v>
      </c>
      <c r="L1565" s="52" t="s">
        <v>213</v>
      </c>
      <c r="M1565" s="53" t="s">
        <v>213</v>
      </c>
    </row>
    <row r="1566" spans="1:13" x14ac:dyDescent="0.3">
      <c r="A1566" s="37">
        <v>27</v>
      </c>
      <c r="B1566" s="38" t="s">
        <v>1067</v>
      </c>
      <c r="C1566" s="51">
        <v>7896261012608</v>
      </c>
      <c r="D1566" s="40" t="s">
        <v>70</v>
      </c>
      <c r="E1566" s="40"/>
      <c r="F1566" s="40">
        <v>200</v>
      </c>
      <c r="G1566" s="38"/>
      <c r="H1566" s="38" t="s">
        <v>954</v>
      </c>
      <c r="I1566" s="38" t="s">
        <v>311</v>
      </c>
      <c r="J1566" s="38" t="s">
        <v>947</v>
      </c>
      <c r="K1566" s="38" t="s">
        <v>1060</v>
      </c>
      <c r="L1566" s="52" t="s">
        <v>213</v>
      </c>
      <c r="M1566" s="53" t="s">
        <v>213</v>
      </c>
    </row>
    <row r="1567" spans="1:13" x14ac:dyDescent="0.3">
      <c r="A1567" s="37">
        <v>27</v>
      </c>
      <c r="B1567" s="38" t="s">
        <v>1067</v>
      </c>
      <c r="C1567" s="51">
        <v>7896261012608</v>
      </c>
      <c r="D1567" s="40" t="s">
        <v>70</v>
      </c>
      <c r="E1567" s="40"/>
      <c r="F1567" s="40">
        <v>215</v>
      </c>
      <c r="G1567" s="38"/>
      <c r="H1567" s="38" t="s">
        <v>955</v>
      </c>
      <c r="I1567" s="38" t="s">
        <v>311</v>
      </c>
      <c r="J1567" s="38" t="s">
        <v>947</v>
      </c>
      <c r="K1567" s="38" t="s">
        <v>1060</v>
      </c>
      <c r="L1567" s="52" t="s">
        <v>213</v>
      </c>
      <c r="M1567" s="53" t="s">
        <v>213</v>
      </c>
    </row>
    <row r="1568" spans="1:13" x14ac:dyDescent="0.3">
      <c r="A1568" s="37">
        <v>27</v>
      </c>
      <c r="B1568" s="38" t="s">
        <v>1067</v>
      </c>
      <c r="C1568" s="51">
        <v>7896261012608</v>
      </c>
      <c r="D1568" s="40" t="s">
        <v>70</v>
      </c>
      <c r="E1568" s="40"/>
      <c r="F1568" s="40">
        <v>217</v>
      </c>
      <c r="G1568" s="38"/>
      <c r="H1568" s="38" t="s">
        <v>956</v>
      </c>
      <c r="I1568" s="38" t="s">
        <v>311</v>
      </c>
      <c r="J1568" s="38" t="s">
        <v>947</v>
      </c>
      <c r="K1568" s="38" t="s">
        <v>1060</v>
      </c>
      <c r="L1568" s="52" t="s">
        <v>213</v>
      </c>
      <c r="M1568" s="53" t="s">
        <v>213</v>
      </c>
    </row>
    <row r="1569" spans="1:13" x14ac:dyDescent="0.3">
      <c r="A1569" s="37">
        <v>27</v>
      </c>
      <c r="B1569" s="38" t="s">
        <v>1067</v>
      </c>
      <c r="C1569" s="51">
        <v>7896261012608</v>
      </c>
      <c r="D1569" s="40" t="s">
        <v>70</v>
      </c>
      <c r="E1569" s="40"/>
      <c r="F1569" s="40">
        <v>219</v>
      </c>
      <c r="G1569" s="38"/>
      <c r="H1569" s="38" t="s">
        <v>957</v>
      </c>
      <c r="I1569" s="38" t="s">
        <v>311</v>
      </c>
      <c r="J1569" s="38" t="s">
        <v>947</v>
      </c>
      <c r="K1569" s="38" t="s">
        <v>1060</v>
      </c>
      <c r="L1569" s="52" t="s">
        <v>213</v>
      </c>
      <c r="M1569" s="53" t="s">
        <v>213</v>
      </c>
    </row>
    <row r="1570" spans="1:13" x14ac:dyDescent="0.3">
      <c r="A1570" s="37">
        <v>27</v>
      </c>
      <c r="B1570" s="38" t="s">
        <v>1067</v>
      </c>
      <c r="C1570" s="51">
        <v>7896261012608</v>
      </c>
      <c r="D1570" s="40" t="s">
        <v>70</v>
      </c>
      <c r="E1570" s="40"/>
      <c r="F1570" s="40">
        <v>228</v>
      </c>
      <c r="G1570" s="38"/>
      <c r="H1570" s="38" t="s">
        <v>958</v>
      </c>
      <c r="I1570" s="38" t="s">
        <v>311</v>
      </c>
      <c r="J1570" s="38" t="s">
        <v>947</v>
      </c>
      <c r="K1570" s="38" t="s">
        <v>1060</v>
      </c>
      <c r="L1570" s="52" t="s">
        <v>213</v>
      </c>
      <c r="M1570" s="53" t="s">
        <v>213</v>
      </c>
    </row>
    <row r="1571" spans="1:13" x14ac:dyDescent="0.3">
      <c r="A1571" s="37">
        <v>27</v>
      </c>
      <c r="B1571" s="38" t="s">
        <v>1067</v>
      </c>
      <c r="C1571" s="51">
        <v>7896261012608</v>
      </c>
      <c r="D1571" s="40" t="s">
        <v>70</v>
      </c>
      <c r="E1571" s="40"/>
      <c r="F1571" s="40">
        <v>229</v>
      </c>
      <c r="G1571" s="38"/>
      <c r="H1571" s="38" t="s">
        <v>959</v>
      </c>
      <c r="I1571" s="38" t="s">
        <v>311</v>
      </c>
      <c r="J1571" s="38" t="s">
        <v>947</v>
      </c>
      <c r="K1571" s="38" t="s">
        <v>1060</v>
      </c>
      <c r="L1571" s="52" t="s">
        <v>213</v>
      </c>
      <c r="M1571" s="53" t="s">
        <v>213</v>
      </c>
    </row>
    <row r="1572" spans="1:13" x14ac:dyDescent="0.3">
      <c r="A1572" s="37">
        <v>27</v>
      </c>
      <c r="B1572" s="38" t="s">
        <v>1067</v>
      </c>
      <c r="C1572" s="51">
        <v>7896261012608</v>
      </c>
      <c r="D1572" s="40" t="s">
        <v>70</v>
      </c>
      <c r="E1572" s="40"/>
      <c r="F1572" s="40">
        <v>249</v>
      </c>
      <c r="G1572" s="38"/>
      <c r="H1572" s="38" t="s">
        <v>960</v>
      </c>
      <c r="I1572" s="38" t="s">
        <v>311</v>
      </c>
      <c r="J1572" s="38" t="s">
        <v>947</v>
      </c>
      <c r="K1572" s="38" t="s">
        <v>1060</v>
      </c>
      <c r="L1572" s="52" t="s">
        <v>213</v>
      </c>
      <c r="M1572" s="53" t="s">
        <v>213</v>
      </c>
    </row>
    <row r="1573" spans="1:13" x14ac:dyDescent="0.3">
      <c r="A1573" s="37">
        <v>27</v>
      </c>
      <c r="B1573" s="38" t="s">
        <v>1067</v>
      </c>
      <c r="C1573" s="51">
        <v>7896261012608</v>
      </c>
      <c r="D1573" s="40" t="s">
        <v>70</v>
      </c>
      <c r="E1573" s="40"/>
      <c r="F1573" s="40">
        <v>262</v>
      </c>
      <c r="G1573" s="38"/>
      <c r="H1573" s="38" t="s">
        <v>961</v>
      </c>
      <c r="I1573" s="38" t="s">
        <v>424</v>
      </c>
      <c r="J1573" s="38" t="s">
        <v>947</v>
      </c>
      <c r="K1573" s="38">
        <v>49.7</v>
      </c>
      <c r="L1573" s="52" t="s">
        <v>213</v>
      </c>
      <c r="M1573" s="53" t="s">
        <v>213</v>
      </c>
    </row>
    <row r="1574" spans="1:13" x14ac:dyDescent="0.3">
      <c r="A1574" s="37">
        <v>27</v>
      </c>
      <c r="B1574" s="38" t="s">
        <v>1067</v>
      </c>
      <c r="C1574" s="51">
        <v>7896261012608</v>
      </c>
      <c r="D1574" s="40" t="s">
        <v>70</v>
      </c>
      <c r="E1574" s="40"/>
      <c r="F1574" s="40">
        <v>284</v>
      </c>
      <c r="G1574" s="38"/>
      <c r="H1574" s="38" t="s">
        <v>1068</v>
      </c>
      <c r="I1574" s="38" t="s">
        <v>311</v>
      </c>
      <c r="J1574" s="38" t="s">
        <v>947</v>
      </c>
      <c r="K1574" s="38" t="s">
        <v>1069</v>
      </c>
      <c r="L1574" s="52" t="s">
        <v>213</v>
      </c>
      <c r="M1574" s="53" t="s">
        <v>213</v>
      </c>
    </row>
    <row r="1575" spans="1:13" x14ac:dyDescent="0.3">
      <c r="A1575" s="37">
        <v>27</v>
      </c>
      <c r="B1575" s="38" t="s">
        <v>1067</v>
      </c>
      <c r="C1575" s="51">
        <v>7896261012608</v>
      </c>
      <c r="D1575" s="40" t="s">
        <v>70</v>
      </c>
      <c r="E1575" s="40"/>
      <c r="F1575" s="40">
        <v>301</v>
      </c>
      <c r="G1575" s="38"/>
      <c r="H1575" s="38" t="s">
        <v>963</v>
      </c>
      <c r="I1575" s="38" t="s">
        <v>311</v>
      </c>
      <c r="J1575" s="38" t="s">
        <v>947</v>
      </c>
      <c r="K1575" s="38" t="s">
        <v>1060</v>
      </c>
      <c r="L1575" s="52" t="s">
        <v>213</v>
      </c>
      <c r="M1575" s="53" t="s">
        <v>213</v>
      </c>
    </row>
    <row r="1576" spans="1:13" x14ac:dyDescent="0.3">
      <c r="A1576" s="37">
        <v>27</v>
      </c>
      <c r="B1576" s="38" t="s">
        <v>1070</v>
      </c>
      <c r="C1576" s="51">
        <v>7896261012936</v>
      </c>
      <c r="D1576" s="40" t="s">
        <v>70</v>
      </c>
      <c r="E1576" s="40"/>
      <c r="F1576" s="40">
        <v>222</v>
      </c>
      <c r="G1576" s="38"/>
      <c r="H1576" s="38" t="s">
        <v>1071</v>
      </c>
      <c r="I1576" s="38" t="s">
        <v>311</v>
      </c>
      <c r="J1576" s="38" t="s">
        <v>966</v>
      </c>
      <c r="K1576" s="38" t="s">
        <v>1072</v>
      </c>
      <c r="L1576" s="52" t="s">
        <v>213</v>
      </c>
      <c r="M1576" s="53" t="s">
        <v>213</v>
      </c>
    </row>
    <row r="1577" spans="1:13" x14ac:dyDescent="0.3">
      <c r="A1577" s="37">
        <v>27</v>
      </c>
      <c r="B1577" s="38" t="s">
        <v>1073</v>
      </c>
      <c r="C1577" s="51">
        <v>7896261012936</v>
      </c>
      <c r="D1577" s="40" t="s">
        <v>70</v>
      </c>
      <c r="E1577" s="40"/>
      <c r="F1577" s="40">
        <v>222</v>
      </c>
      <c r="G1577" s="38"/>
      <c r="H1577" s="38" t="s">
        <v>1071</v>
      </c>
      <c r="I1577" s="38" t="s">
        <v>311</v>
      </c>
      <c r="J1577" s="38" t="s">
        <v>966</v>
      </c>
      <c r="K1577" s="38" t="s">
        <v>1072</v>
      </c>
      <c r="L1577" s="52" t="s">
        <v>213</v>
      </c>
      <c r="M1577" s="53" t="s">
        <v>213</v>
      </c>
    </row>
    <row r="1578" spans="1:13" x14ac:dyDescent="0.3">
      <c r="A1578" s="37">
        <v>27</v>
      </c>
      <c r="B1578" s="38" t="s">
        <v>1070</v>
      </c>
      <c r="C1578" s="51">
        <v>7896261012936</v>
      </c>
      <c r="D1578" s="40" t="s">
        <v>70</v>
      </c>
      <c r="E1578" s="40"/>
      <c r="F1578" s="40">
        <v>256</v>
      </c>
      <c r="G1578" s="38"/>
      <c r="H1578" s="38" t="s">
        <v>1074</v>
      </c>
      <c r="I1578" s="38" t="s">
        <v>311</v>
      </c>
      <c r="J1578" s="38" t="s">
        <v>966</v>
      </c>
      <c r="K1578" s="38" t="s">
        <v>1072</v>
      </c>
      <c r="L1578" s="52" t="s">
        <v>213</v>
      </c>
      <c r="M1578" s="53" t="s">
        <v>213</v>
      </c>
    </row>
    <row r="1579" spans="1:13" x14ac:dyDescent="0.3">
      <c r="A1579" s="37">
        <v>27</v>
      </c>
      <c r="B1579" s="38" t="s">
        <v>1073</v>
      </c>
      <c r="C1579" s="51">
        <v>7896261012936</v>
      </c>
      <c r="D1579" s="40" t="s">
        <v>70</v>
      </c>
      <c r="E1579" s="40"/>
      <c r="F1579" s="40">
        <v>256</v>
      </c>
      <c r="G1579" s="38"/>
      <c r="H1579" s="38" t="s">
        <v>1074</v>
      </c>
      <c r="I1579" s="38" t="s">
        <v>311</v>
      </c>
      <c r="J1579" s="38" t="s">
        <v>966</v>
      </c>
      <c r="K1579" s="38" t="s">
        <v>1072</v>
      </c>
      <c r="L1579" s="52" t="s">
        <v>213</v>
      </c>
      <c r="M1579" s="53" t="s">
        <v>213</v>
      </c>
    </row>
    <row r="1580" spans="1:13" x14ac:dyDescent="0.3">
      <c r="A1580" s="37">
        <v>27</v>
      </c>
      <c r="B1580" s="38" t="s">
        <v>1070</v>
      </c>
      <c r="C1580" s="51">
        <v>7896261012936</v>
      </c>
      <c r="D1580" s="40" t="s">
        <v>70</v>
      </c>
      <c r="E1580" s="40"/>
      <c r="F1580" s="40">
        <v>287</v>
      </c>
      <c r="G1580" s="38"/>
      <c r="H1580" s="38" t="s">
        <v>1075</v>
      </c>
      <c r="I1580" s="38" t="s">
        <v>311</v>
      </c>
      <c r="J1580" s="38" t="s">
        <v>966</v>
      </c>
      <c r="K1580" s="38" t="s">
        <v>1076</v>
      </c>
      <c r="L1580" s="52" t="s">
        <v>213</v>
      </c>
      <c r="M1580" s="53" t="s">
        <v>213</v>
      </c>
    </row>
    <row r="1581" spans="1:13" x14ac:dyDescent="0.3">
      <c r="A1581" s="37">
        <v>27</v>
      </c>
      <c r="B1581" s="38" t="s">
        <v>1073</v>
      </c>
      <c r="C1581" s="51">
        <v>7896261012936</v>
      </c>
      <c r="D1581" s="40" t="s">
        <v>70</v>
      </c>
      <c r="E1581" s="40"/>
      <c r="F1581" s="40">
        <v>287</v>
      </c>
      <c r="G1581" s="38"/>
      <c r="H1581" s="38" t="s">
        <v>1075</v>
      </c>
      <c r="I1581" s="38" t="s">
        <v>311</v>
      </c>
      <c r="J1581" s="38" t="s">
        <v>966</v>
      </c>
      <c r="K1581" s="38" t="s">
        <v>1076</v>
      </c>
      <c r="L1581" s="52" t="s">
        <v>213</v>
      </c>
      <c r="M1581" s="53" t="s">
        <v>213</v>
      </c>
    </row>
    <row r="1582" spans="1:13" x14ac:dyDescent="0.3">
      <c r="A1582" s="37">
        <v>27</v>
      </c>
      <c r="B1582" s="38" t="s">
        <v>1070</v>
      </c>
      <c r="C1582" s="51">
        <v>7896261012936</v>
      </c>
      <c r="D1582" s="40" t="s">
        <v>70</v>
      </c>
      <c r="E1582" s="40"/>
      <c r="F1582" s="40">
        <v>289</v>
      </c>
      <c r="G1582" s="38"/>
      <c r="H1582" s="38" t="s">
        <v>1077</v>
      </c>
      <c r="I1582" s="38" t="s">
        <v>311</v>
      </c>
      <c r="J1582" s="38" t="s">
        <v>966</v>
      </c>
      <c r="K1582" s="38" t="s">
        <v>1078</v>
      </c>
      <c r="L1582" s="52" t="s">
        <v>213</v>
      </c>
      <c r="M1582" s="53" t="s">
        <v>213</v>
      </c>
    </row>
    <row r="1583" spans="1:13" x14ac:dyDescent="0.3">
      <c r="A1583" s="37">
        <v>27</v>
      </c>
      <c r="B1583" s="38" t="s">
        <v>1073</v>
      </c>
      <c r="C1583" s="51">
        <v>7896261012936</v>
      </c>
      <c r="D1583" s="40" t="s">
        <v>70</v>
      </c>
      <c r="E1583" s="40"/>
      <c r="F1583" s="40">
        <v>289</v>
      </c>
      <c r="G1583" s="38"/>
      <c r="H1583" s="38" t="s">
        <v>1077</v>
      </c>
      <c r="I1583" s="38" t="s">
        <v>311</v>
      </c>
      <c r="J1583" s="38" t="s">
        <v>966</v>
      </c>
      <c r="K1583" s="38" t="s">
        <v>1078</v>
      </c>
      <c r="L1583" s="52" t="s">
        <v>213</v>
      </c>
      <c r="M1583" s="53" t="s">
        <v>213</v>
      </c>
    </row>
    <row r="1584" spans="1:13" x14ac:dyDescent="0.3">
      <c r="A1584" s="37">
        <v>27</v>
      </c>
      <c r="B1584" s="38" t="s">
        <v>1070</v>
      </c>
      <c r="C1584" s="51">
        <v>7896261012936</v>
      </c>
      <c r="D1584" s="40" t="s">
        <v>70</v>
      </c>
      <c r="E1584" s="40"/>
      <c r="F1584" s="40">
        <v>436</v>
      </c>
      <c r="G1584" s="38"/>
      <c r="H1584" s="38" t="s">
        <v>1079</v>
      </c>
      <c r="I1584" s="38" t="s">
        <v>311</v>
      </c>
      <c r="J1584" s="38" t="s">
        <v>966</v>
      </c>
      <c r="K1584" s="38" t="s">
        <v>1072</v>
      </c>
      <c r="L1584" s="52" t="s">
        <v>213</v>
      </c>
      <c r="M1584" s="53" t="s">
        <v>213</v>
      </c>
    </row>
    <row r="1585" spans="1:13" x14ac:dyDescent="0.3">
      <c r="A1585" s="37">
        <v>27</v>
      </c>
      <c r="B1585" s="38" t="s">
        <v>1073</v>
      </c>
      <c r="C1585" s="51">
        <v>7896261012936</v>
      </c>
      <c r="D1585" s="40" t="s">
        <v>70</v>
      </c>
      <c r="E1585" s="40"/>
      <c r="F1585" s="40">
        <v>436</v>
      </c>
      <c r="G1585" s="38"/>
      <c r="H1585" s="38" t="s">
        <v>1079</v>
      </c>
      <c r="I1585" s="38" t="s">
        <v>311</v>
      </c>
      <c r="J1585" s="38" t="s">
        <v>966</v>
      </c>
      <c r="K1585" s="38" t="s">
        <v>1072</v>
      </c>
      <c r="L1585" s="52" t="s">
        <v>213</v>
      </c>
      <c r="M1585" s="53" t="s">
        <v>213</v>
      </c>
    </row>
    <row r="1586" spans="1:13" x14ac:dyDescent="0.3">
      <c r="A1586" s="37">
        <v>27</v>
      </c>
      <c r="B1586" s="38" t="s">
        <v>1080</v>
      </c>
      <c r="C1586" s="51">
        <v>7896261013735</v>
      </c>
      <c r="D1586" s="40" t="s">
        <v>70</v>
      </c>
      <c r="E1586" s="40"/>
      <c r="F1586" s="40">
        <v>181</v>
      </c>
      <c r="G1586" s="38"/>
      <c r="H1586" s="38" t="s">
        <v>970</v>
      </c>
      <c r="I1586" s="38" t="s">
        <v>424</v>
      </c>
      <c r="J1586" s="38" t="s">
        <v>966</v>
      </c>
      <c r="K1586" s="56">
        <v>0.21</v>
      </c>
      <c r="L1586" s="52" t="s">
        <v>213</v>
      </c>
      <c r="M1586" s="53" t="s">
        <v>213</v>
      </c>
    </row>
    <row r="1587" spans="1:13" x14ac:dyDescent="0.3">
      <c r="A1587" s="37">
        <v>27</v>
      </c>
      <c r="B1587" s="38" t="s">
        <v>1080</v>
      </c>
      <c r="C1587" s="51">
        <v>7896261013735</v>
      </c>
      <c r="D1587" s="40" t="s">
        <v>70</v>
      </c>
      <c r="E1587" s="40"/>
      <c r="F1587" s="40">
        <v>188</v>
      </c>
      <c r="G1587" s="38"/>
      <c r="H1587" s="38" t="s">
        <v>1035</v>
      </c>
      <c r="I1587" s="38" t="s">
        <v>424</v>
      </c>
      <c r="J1587" s="38" t="s">
        <v>947</v>
      </c>
      <c r="K1587" s="56">
        <v>0.21</v>
      </c>
      <c r="L1587" s="52" t="s">
        <v>213</v>
      </c>
      <c r="M1587" s="53" t="s">
        <v>213</v>
      </c>
    </row>
    <row r="1588" spans="1:13" x14ac:dyDescent="0.3">
      <c r="A1588" s="37">
        <v>27</v>
      </c>
      <c r="B1588" s="38" t="s">
        <v>1080</v>
      </c>
      <c r="C1588" s="51">
        <v>7896261013735</v>
      </c>
      <c r="D1588" s="40" t="s">
        <v>70</v>
      </c>
      <c r="E1588" s="40"/>
      <c r="F1588" s="40">
        <v>195</v>
      </c>
      <c r="G1588" s="38"/>
      <c r="H1588" s="38" t="s">
        <v>971</v>
      </c>
      <c r="I1588" s="38" t="s">
        <v>424</v>
      </c>
      <c r="J1588" s="38" t="s">
        <v>947</v>
      </c>
      <c r="K1588" s="56">
        <v>0.21</v>
      </c>
      <c r="L1588" s="52" t="s">
        <v>213</v>
      </c>
      <c r="M1588" s="53" t="s">
        <v>213</v>
      </c>
    </row>
    <row r="1589" spans="1:13" x14ac:dyDescent="0.3">
      <c r="A1589" s="37">
        <v>27</v>
      </c>
      <c r="B1589" s="38" t="s">
        <v>1080</v>
      </c>
      <c r="C1589" s="51">
        <v>7896261013735</v>
      </c>
      <c r="D1589" s="40" t="s">
        <v>70</v>
      </c>
      <c r="E1589" s="40"/>
      <c r="F1589" s="40">
        <v>203</v>
      </c>
      <c r="G1589" s="38"/>
      <c r="H1589" s="38" t="s">
        <v>1081</v>
      </c>
      <c r="I1589" s="38" t="s">
        <v>424</v>
      </c>
      <c r="J1589" s="38" t="s">
        <v>947</v>
      </c>
      <c r="K1589" s="56">
        <v>0.21</v>
      </c>
      <c r="L1589" s="52" t="s">
        <v>213</v>
      </c>
      <c r="M1589" s="53" t="s">
        <v>213</v>
      </c>
    </row>
    <row r="1590" spans="1:13" x14ac:dyDescent="0.3">
      <c r="A1590" s="37">
        <v>27</v>
      </c>
      <c r="B1590" s="38" t="s">
        <v>1080</v>
      </c>
      <c r="C1590" s="51">
        <v>7896261013735</v>
      </c>
      <c r="D1590" s="40" t="s">
        <v>70</v>
      </c>
      <c r="E1590" s="40"/>
      <c r="F1590" s="40">
        <v>226</v>
      </c>
      <c r="G1590" s="38"/>
      <c r="H1590" s="38" t="s">
        <v>972</v>
      </c>
      <c r="I1590" s="38" t="s">
        <v>424</v>
      </c>
      <c r="J1590" s="38" t="s">
        <v>947</v>
      </c>
      <c r="K1590" s="56">
        <v>0.21</v>
      </c>
      <c r="L1590" s="52" t="s">
        <v>213</v>
      </c>
      <c r="M1590" s="53" t="s">
        <v>213</v>
      </c>
    </row>
    <row r="1591" spans="1:13" x14ac:dyDescent="0.3">
      <c r="A1591" s="37">
        <v>27</v>
      </c>
      <c r="B1591" s="38" t="s">
        <v>1080</v>
      </c>
      <c r="C1591" s="51">
        <v>7896261013735</v>
      </c>
      <c r="D1591" s="40" t="s">
        <v>70</v>
      </c>
      <c r="E1591" s="40"/>
      <c r="F1591" s="40">
        <v>238</v>
      </c>
      <c r="G1591" s="38"/>
      <c r="H1591" s="38" t="s">
        <v>973</v>
      </c>
      <c r="I1591" s="38" t="s">
        <v>424</v>
      </c>
      <c r="J1591" s="38" t="s">
        <v>947</v>
      </c>
      <c r="K1591" s="56">
        <v>0.21</v>
      </c>
      <c r="L1591" s="52" t="s">
        <v>213</v>
      </c>
      <c r="M1591" s="53" t="s">
        <v>213</v>
      </c>
    </row>
    <row r="1592" spans="1:13" x14ac:dyDescent="0.3">
      <c r="A1592" s="37">
        <v>27</v>
      </c>
      <c r="B1592" s="38" t="s">
        <v>1080</v>
      </c>
      <c r="C1592" s="51">
        <v>7896261013735</v>
      </c>
      <c r="D1592" s="40" t="s">
        <v>70</v>
      </c>
      <c r="E1592" s="40"/>
      <c r="F1592" s="40">
        <v>277</v>
      </c>
      <c r="G1592" s="38"/>
      <c r="H1592" s="38" t="s">
        <v>1028</v>
      </c>
      <c r="I1592" s="38" t="s">
        <v>424</v>
      </c>
      <c r="J1592" s="38" t="s">
        <v>947</v>
      </c>
      <c r="K1592" s="56">
        <v>0.21</v>
      </c>
      <c r="L1592" s="52" t="s">
        <v>213</v>
      </c>
      <c r="M1592" s="53" t="s">
        <v>213</v>
      </c>
    </row>
    <row r="1593" spans="1:13" x14ac:dyDescent="0.3">
      <c r="A1593" s="37">
        <v>27</v>
      </c>
      <c r="B1593" s="38" t="s">
        <v>1080</v>
      </c>
      <c r="C1593" s="51">
        <v>7896261013735</v>
      </c>
      <c r="D1593" s="40" t="s">
        <v>70</v>
      </c>
      <c r="E1593" s="40"/>
      <c r="F1593" s="40">
        <v>298</v>
      </c>
      <c r="G1593" s="38"/>
      <c r="H1593" s="38" t="s">
        <v>974</v>
      </c>
      <c r="I1593" s="38" t="s">
        <v>424</v>
      </c>
      <c r="J1593" s="38" t="s">
        <v>947</v>
      </c>
      <c r="K1593" s="56">
        <v>0.21</v>
      </c>
      <c r="L1593" s="52" t="s">
        <v>213</v>
      </c>
      <c r="M1593" s="53" t="s">
        <v>213</v>
      </c>
    </row>
    <row r="1594" spans="1:13" x14ac:dyDescent="0.3">
      <c r="A1594" s="37">
        <v>27</v>
      </c>
      <c r="B1594" s="38" t="s">
        <v>1080</v>
      </c>
      <c r="C1594" s="51">
        <v>7896261013735</v>
      </c>
      <c r="D1594" s="40" t="s">
        <v>70</v>
      </c>
      <c r="E1594" s="40"/>
      <c r="F1594" s="40">
        <v>317</v>
      </c>
      <c r="G1594" s="38"/>
      <c r="H1594" s="38" t="s">
        <v>975</v>
      </c>
      <c r="I1594" s="38" t="s">
        <v>424</v>
      </c>
      <c r="J1594" s="38" t="s">
        <v>966</v>
      </c>
      <c r="K1594" s="56">
        <v>0.21</v>
      </c>
      <c r="L1594" s="52" t="s">
        <v>213</v>
      </c>
      <c r="M1594" s="53" t="s">
        <v>213</v>
      </c>
    </row>
    <row r="1595" spans="1:13" x14ac:dyDescent="0.3">
      <c r="A1595" s="37">
        <v>27</v>
      </c>
      <c r="B1595" s="38" t="s">
        <v>1080</v>
      </c>
      <c r="C1595" s="51">
        <v>7896261013735</v>
      </c>
      <c r="D1595" s="40" t="s">
        <v>70</v>
      </c>
      <c r="E1595" s="40"/>
      <c r="F1595" s="40">
        <v>408</v>
      </c>
      <c r="G1595" s="38"/>
      <c r="H1595" s="38" t="s">
        <v>1082</v>
      </c>
      <c r="I1595" s="38" t="s">
        <v>424</v>
      </c>
      <c r="J1595" s="38" t="s">
        <v>947</v>
      </c>
      <c r="K1595" s="56">
        <v>0.35</v>
      </c>
      <c r="L1595" s="52" t="s">
        <v>213</v>
      </c>
      <c r="M1595" s="53" t="s">
        <v>213</v>
      </c>
    </row>
    <row r="1596" spans="1:13" x14ac:dyDescent="0.3">
      <c r="A1596" s="37">
        <v>27</v>
      </c>
      <c r="B1596" s="38" t="s">
        <v>1083</v>
      </c>
      <c r="C1596" s="51">
        <v>7896261013766</v>
      </c>
      <c r="D1596" s="40" t="s">
        <v>70</v>
      </c>
      <c r="E1596" s="40"/>
      <c r="F1596" s="40">
        <v>181</v>
      </c>
      <c r="G1596" s="38"/>
      <c r="H1596" s="38" t="s">
        <v>970</v>
      </c>
      <c r="I1596" s="38" t="s">
        <v>424</v>
      </c>
      <c r="J1596" s="38" t="s">
        <v>966</v>
      </c>
      <c r="K1596" s="56">
        <v>0.31069999999999998</v>
      </c>
      <c r="L1596" s="52" t="s">
        <v>213</v>
      </c>
      <c r="M1596" s="53" t="s">
        <v>213</v>
      </c>
    </row>
    <row r="1597" spans="1:13" x14ac:dyDescent="0.3">
      <c r="A1597" s="37">
        <v>27</v>
      </c>
      <c r="B1597" s="38" t="s">
        <v>1083</v>
      </c>
      <c r="C1597" s="51">
        <v>7896261013766</v>
      </c>
      <c r="D1597" s="40" t="s">
        <v>70</v>
      </c>
      <c r="E1597" s="40"/>
      <c r="F1597" s="40">
        <v>188</v>
      </c>
      <c r="G1597" s="38"/>
      <c r="H1597" s="38" t="s">
        <v>1035</v>
      </c>
      <c r="I1597" s="38" t="s">
        <v>424</v>
      </c>
      <c r="J1597" s="38" t="s">
        <v>947</v>
      </c>
      <c r="K1597" s="56">
        <v>0.31069999999999998</v>
      </c>
      <c r="L1597" s="52" t="s">
        <v>213</v>
      </c>
      <c r="M1597" s="53" t="s">
        <v>213</v>
      </c>
    </row>
    <row r="1598" spans="1:13" x14ac:dyDescent="0.3">
      <c r="A1598" s="37">
        <v>27</v>
      </c>
      <c r="B1598" s="38" t="s">
        <v>1083</v>
      </c>
      <c r="C1598" s="51">
        <v>7896261013766</v>
      </c>
      <c r="D1598" s="40" t="s">
        <v>70</v>
      </c>
      <c r="E1598" s="40"/>
      <c r="F1598" s="40">
        <v>195</v>
      </c>
      <c r="G1598" s="38"/>
      <c r="H1598" s="38" t="s">
        <v>971</v>
      </c>
      <c r="I1598" s="38" t="s">
        <v>424</v>
      </c>
      <c r="J1598" s="38" t="s">
        <v>947</v>
      </c>
      <c r="K1598" s="56">
        <v>0.31069999999999998</v>
      </c>
      <c r="L1598" s="52" t="s">
        <v>213</v>
      </c>
      <c r="M1598" s="53" t="s">
        <v>213</v>
      </c>
    </row>
    <row r="1599" spans="1:13" x14ac:dyDescent="0.3">
      <c r="A1599" s="37">
        <v>27</v>
      </c>
      <c r="B1599" s="38" t="s">
        <v>1083</v>
      </c>
      <c r="C1599" s="51">
        <v>7896261013766</v>
      </c>
      <c r="D1599" s="40" t="s">
        <v>70</v>
      </c>
      <c r="E1599" s="40"/>
      <c r="F1599" s="40">
        <v>203</v>
      </c>
      <c r="G1599" s="38"/>
      <c r="H1599" s="38" t="s">
        <v>1081</v>
      </c>
      <c r="I1599" s="38" t="s">
        <v>424</v>
      </c>
      <c r="J1599" s="38" t="s">
        <v>947</v>
      </c>
      <c r="K1599" s="38">
        <v>31.07</v>
      </c>
      <c r="L1599" s="52" t="s">
        <v>213</v>
      </c>
      <c r="M1599" s="53" t="s">
        <v>213</v>
      </c>
    </row>
    <row r="1600" spans="1:13" x14ac:dyDescent="0.3">
      <c r="A1600" s="37">
        <v>27</v>
      </c>
      <c r="B1600" s="38" t="s">
        <v>1083</v>
      </c>
      <c r="C1600" s="51">
        <v>7896261013766</v>
      </c>
      <c r="D1600" s="40" t="s">
        <v>70</v>
      </c>
      <c r="E1600" s="40"/>
      <c r="F1600" s="40">
        <v>226</v>
      </c>
      <c r="G1600" s="38"/>
      <c r="H1600" s="38" t="s">
        <v>972</v>
      </c>
      <c r="I1600" s="38" t="s">
        <v>424</v>
      </c>
      <c r="J1600" s="38" t="s">
        <v>947</v>
      </c>
      <c r="K1600" s="56">
        <v>0.31069999999999998</v>
      </c>
      <c r="L1600" s="52" t="s">
        <v>213</v>
      </c>
      <c r="M1600" s="53" t="s">
        <v>213</v>
      </c>
    </row>
    <row r="1601" spans="1:13" x14ac:dyDescent="0.3">
      <c r="A1601" s="37">
        <v>27</v>
      </c>
      <c r="B1601" s="38" t="s">
        <v>1083</v>
      </c>
      <c r="C1601" s="51">
        <v>7896261013766</v>
      </c>
      <c r="D1601" s="40" t="s">
        <v>70</v>
      </c>
      <c r="E1601" s="40"/>
      <c r="F1601" s="40">
        <v>232</v>
      </c>
      <c r="G1601" s="38"/>
      <c r="H1601" s="38" t="s">
        <v>1033</v>
      </c>
      <c r="I1601" s="38" t="s">
        <v>424</v>
      </c>
      <c r="J1601" s="38" t="s">
        <v>947</v>
      </c>
      <c r="K1601" s="56">
        <v>0.31069999999999998</v>
      </c>
      <c r="L1601" s="52" t="s">
        <v>213</v>
      </c>
      <c r="M1601" s="53" t="s">
        <v>213</v>
      </c>
    </row>
    <row r="1602" spans="1:13" x14ac:dyDescent="0.3">
      <c r="A1602" s="37">
        <v>27</v>
      </c>
      <c r="B1602" s="38" t="s">
        <v>1083</v>
      </c>
      <c r="C1602" s="51">
        <v>7896261013766</v>
      </c>
      <c r="D1602" s="40" t="s">
        <v>70</v>
      </c>
      <c r="E1602" s="40"/>
      <c r="F1602" s="40">
        <v>238</v>
      </c>
      <c r="G1602" s="38"/>
      <c r="H1602" s="38" t="s">
        <v>973</v>
      </c>
      <c r="I1602" s="38" t="s">
        <v>424</v>
      </c>
      <c r="J1602" s="38" t="s">
        <v>947</v>
      </c>
      <c r="K1602" s="56">
        <v>0.31069999999999998</v>
      </c>
      <c r="L1602" s="52" t="s">
        <v>213</v>
      </c>
      <c r="M1602" s="53" t="s">
        <v>213</v>
      </c>
    </row>
    <row r="1603" spans="1:13" x14ac:dyDescent="0.3">
      <c r="A1603" s="37">
        <v>27</v>
      </c>
      <c r="B1603" s="38" t="s">
        <v>1083</v>
      </c>
      <c r="C1603" s="51">
        <v>7896261013766</v>
      </c>
      <c r="D1603" s="40" t="s">
        <v>70</v>
      </c>
      <c r="E1603" s="40"/>
      <c r="F1603" s="40">
        <v>277</v>
      </c>
      <c r="G1603" s="38"/>
      <c r="H1603" s="38" t="s">
        <v>1028</v>
      </c>
      <c r="I1603" s="38" t="s">
        <v>424</v>
      </c>
      <c r="J1603" s="38" t="s">
        <v>947</v>
      </c>
      <c r="K1603" s="56">
        <v>0.31069999999999998</v>
      </c>
      <c r="L1603" s="52" t="s">
        <v>213</v>
      </c>
      <c r="M1603" s="53" t="s">
        <v>213</v>
      </c>
    </row>
    <row r="1604" spans="1:13" x14ac:dyDescent="0.3">
      <c r="A1604" s="37">
        <v>27</v>
      </c>
      <c r="B1604" s="38" t="s">
        <v>1083</v>
      </c>
      <c r="C1604" s="51">
        <v>7896261013766</v>
      </c>
      <c r="D1604" s="40" t="s">
        <v>70</v>
      </c>
      <c r="E1604" s="40"/>
      <c r="F1604" s="40">
        <v>298</v>
      </c>
      <c r="G1604" s="38"/>
      <c r="H1604" s="38" t="s">
        <v>974</v>
      </c>
      <c r="I1604" s="38" t="s">
        <v>424</v>
      </c>
      <c r="J1604" s="38" t="s">
        <v>947</v>
      </c>
      <c r="K1604" s="56">
        <v>0.31069999999999998</v>
      </c>
      <c r="L1604" s="52" t="s">
        <v>213</v>
      </c>
      <c r="M1604" s="53" t="s">
        <v>213</v>
      </c>
    </row>
    <row r="1605" spans="1:13" x14ac:dyDescent="0.3">
      <c r="A1605" s="37">
        <v>27</v>
      </c>
      <c r="B1605" s="38" t="s">
        <v>1083</v>
      </c>
      <c r="C1605" s="51">
        <v>7896261013766</v>
      </c>
      <c r="D1605" s="40" t="s">
        <v>70</v>
      </c>
      <c r="E1605" s="40"/>
      <c r="F1605" s="40">
        <v>317</v>
      </c>
      <c r="G1605" s="38"/>
      <c r="H1605" s="38" t="s">
        <v>975</v>
      </c>
      <c r="I1605" s="38" t="s">
        <v>424</v>
      </c>
      <c r="J1605" s="38" t="s">
        <v>966</v>
      </c>
      <c r="K1605" s="56">
        <v>0.31069999999999998</v>
      </c>
      <c r="L1605" s="52" t="s">
        <v>213</v>
      </c>
      <c r="M1605" s="53" t="s">
        <v>213</v>
      </c>
    </row>
    <row r="1606" spans="1:13" x14ac:dyDescent="0.3">
      <c r="A1606" s="37">
        <v>27</v>
      </c>
      <c r="B1606" s="38" t="s">
        <v>1083</v>
      </c>
      <c r="C1606" s="51">
        <v>7896261013766</v>
      </c>
      <c r="D1606" s="40" t="s">
        <v>70</v>
      </c>
      <c r="E1606" s="40"/>
      <c r="F1606" s="40">
        <v>408</v>
      </c>
      <c r="G1606" s="38"/>
      <c r="H1606" s="38" t="s">
        <v>1082</v>
      </c>
      <c r="I1606" s="38" t="s">
        <v>424</v>
      </c>
      <c r="J1606" s="38" t="s">
        <v>947</v>
      </c>
      <c r="K1606" s="56">
        <v>0.46</v>
      </c>
      <c r="L1606" s="52" t="s">
        <v>213</v>
      </c>
      <c r="M1606" s="53" t="s">
        <v>213</v>
      </c>
    </row>
    <row r="1607" spans="1:13" x14ac:dyDescent="0.3">
      <c r="A1607" s="37">
        <v>27</v>
      </c>
      <c r="B1607" s="38" t="s">
        <v>1083</v>
      </c>
      <c r="C1607" s="51">
        <v>7896261013766</v>
      </c>
      <c r="D1607" s="40" t="s">
        <v>70</v>
      </c>
      <c r="E1607" s="40"/>
      <c r="F1607" s="40">
        <v>442</v>
      </c>
      <c r="G1607" s="38"/>
      <c r="H1607" s="38" t="s">
        <v>1084</v>
      </c>
      <c r="I1607" s="38" t="s">
        <v>311</v>
      </c>
      <c r="J1607" s="38" t="s">
        <v>947</v>
      </c>
      <c r="K1607" s="38" t="s">
        <v>1085</v>
      </c>
      <c r="L1607" s="52" t="s">
        <v>213</v>
      </c>
      <c r="M1607" s="53" t="s">
        <v>213</v>
      </c>
    </row>
    <row r="1608" spans="1:13" x14ac:dyDescent="0.3">
      <c r="A1608" s="37">
        <v>27</v>
      </c>
      <c r="B1608" s="38" t="s">
        <v>1086</v>
      </c>
      <c r="C1608" s="51">
        <v>7896261013797</v>
      </c>
      <c r="D1608" s="40" t="s">
        <v>70</v>
      </c>
      <c r="E1608" s="40"/>
      <c r="F1608" s="40">
        <v>181</v>
      </c>
      <c r="G1608" s="38"/>
      <c r="H1608" s="38" t="s">
        <v>970</v>
      </c>
      <c r="I1608" s="38" t="s">
        <v>424</v>
      </c>
      <c r="J1608" s="38" t="s">
        <v>966</v>
      </c>
      <c r="K1608" s="56">
        <v>0.31069999999999998</v>
      </c>
      <c r="L1608" s="52" t="s">
        <v>213</v>
      </c>
      <c r="M1608" s="53" t="s">
        <v>213</v>
      </c>
    </row>
    <row r="1609" spans="1:13" x14ac:dyDescent="0.3">
      <c r="A1609" s="37">
        <v>27</v>
      </c>
      <c r="B1609" s="38" t="s">
        <v>1086</v>
      </c>
      <c r="C1609" s="51">
        <v>7896261013797</v>
      </c>
      <c r="D1609" s="40" t="s">
        <v>70</v>
      </c>
      <c r="E1609" s="40"/>
      <c r="F1609" s="40">
        <v>188</v>
      </c>
      <c r="G1609" s="38"/>
      <c r="H1609" s="38" t="s">
        <v>1035</v>
      </c>
      <c r="I1609" s="38" t="s">
        <v>424</v>
      </c>
      <c r="J1609" s="38" t="s">
        <v>1087</v>
      </c>
      <c r="K1609" s="56">
        <v>0.31069999999999998</v>
      </c>
      <c r="L1609" s="52" t="s">
        <v>213</v>
      </c>
      <c r="M1609" s="53" t="s">
        <v>213</v>
      </c>
    </row>
    <row r="1610" spans="1:13" x14ac:dyDescent="0.3">
      <c r="A1610" s="37">
        <v>27</v>
      </c>
      <c r="B1610" s="38" t="s">
        <v>1086</v>
      </c>
      <c r="C1610" s="51">
        <v>7896261013797</v>
      </c>
      <c r="D1610" s="40" t="s">
        <v>70</v>
      </c>
      <c r="E1610" s="40"/>
      <c r="F1610" s="40">
        <v>195</v>
      </c>
      <c r="G1610" s="38"/>
      <c r="H1610" s="38" t="s">
        <v>971</v>
      </c>
      <c r="I1610" s="38" t="s">
        <v>424</v>
      </c>
      <c r="J1610" s="38" t="s">
        <v>947</v>
      </c>
      <c r="K1610" s="56">
        <v>0.31069999999999998</v>
      </c>
      <c r="L1610" s="52" t="s">
        <v>213</v>
      </c>
      <c r="M1610" s="53" t="s">
        <v>213</v>
      </c>
    </row>
    <row r="1611" spans="1:13" x14ac:dyDescent="0.3">
      <c r="A1611" s="37">
        <v>27</v>
      </c>
      <c r="B1611" s="38" t="s">
        <v>1086</v>
      </c>
      <c r="C1611" s="51">
        <v>7896261013797</v>
      </c>
      <c r="D1611" s="40" t="s">
        <v>70</v>
      </c>
      <c r="E1611" s="40"/>
      <c r="F1611" s="40">
        <v>203</v>
      </c>
      <c r="G1611" s="38"/>
      <c r="H1611" s="38" t="s">
        <v>1081</v>
      </c>
      <c r="I1611" s="38" t="s">
        <v>424</v>
      </c>
      <c r="J1611" s="38" t="s">
        <v>947</v>
      </c>
      <c r="K1611" s="56">
        <v>0.31069999999999998</v>
      </c>
      <c r="L1611" s="52" t="s">
        <v>213</v>
      </c>
      <c r="M1611" s="53" t="s">
        <v>213</v>
      </c>
    </row>
    <row r="1612" spans="1:13" x14ac:dyDescent="0.3">
      <c r="A1612" s="37">
        <v>27</v>
      </c>
      <c r="B1612" s="38" t="s">
        <v>1086</v>
      </c>
      <c r="C1612" s="51">
        <v>7896261013797</v>
      </c>
      <c r="D1612" s="40" t="s">
        <v>70</v>
      </c>
      <c r="E1612" s="40"/>
      <c r="F1612" s="40">
        <v>226</v>
      </c>
      <c r="G1612" s="38"/>
      <c r="H1612" s="38" t="s">
        <v>972</v>
      </c>
      <c r="I1612" s="38" t="s">
        <v>424</v>
      </c>
      <c r="J1612" s="38" t="s">
        <v>947</v>
      </c>
      <c r="K1612" s="56">
        <v>0.31069999999999998</v>
      </c>
      <c r="L1612" s="52" t="s">
        <v>213</v>
      </c>
      <c r="M1612" s="53" t="s">
        <v>213</v>
      </c>
    </row>
    <row r="1613" spans="1:13" x14ac:dyDescent="0.3">
      <c r="A1613" s="37">
        <v>27</v>
      </c>
      <c r="B1613" s="38" t="s">
        <v>1086</v>
      </c>
      <c r="C1613" s="51">
        <v>7896261013797</v>
      </c>
      <c r="D1613" s="40" t="s">
        <v>70</v>
      </c>
      <c r="E1613" s="40"/>
      <c r="F1613" s="40">
        <v>238</v>
      </c>
      <c r="G1613" s="38"/>
      <c r="H1613" s="38" t="s">
        <v>973</v>
      </c>
      <c r="I1613" s="38" t="s">
        <v>424</v>
      </c>
      <c r="J1613" s="38" t="s">
        <v>947</v>
      </c>
      <c r="K1613" s="56">
        <v>0.31069999999999998</v>
      </c>
      <c r="L1613" s="52" t="s">
        <v>213</v>
      </c>
      <c r="M1613" s="53" t="s">
        <v>213</v>
      </c>
    </row>
    <row r="1614" spans="1:13" x14ac:dyDescent="0.3">
      <c r="A1614" s="37">
        <v>27</v>
      </c>
      <c r="B1614" s="38" t="s">
        <v>1086</v>
      </c>
      <c r="C1614" s="51">
        <v>7896261013797</v>
      </c>
      <c r="D1614" s="40" t="s">
        <v>70</v>
      </c>
      <c r="E1614" s="40"/>
      <c r="F1614" s="40">
        <v>277</v>
      </c>
      <c r="G1614" s="38"/>
      <c r="H1614" s="38" t="s">
        <v>1028</v>
      </c>
      <c r="I1614" s="38" t="s">
        <v>311</v>
      </c>
      <c r="J1614" s="38" t="s">
        <v>947</v>
      </c>
      <c r="K1614" s="38" t="s">
        <v>1029</v>
      </c>
      <c r="L1614" s="52" t="s">
        <v>213</v>
      </c>
      <c r="M1614" s="53" t="s">
        <v>213</v>
      </c>
    </row>
    <row r="1615" spans="1:13" x14ac:dyDescent="0.3">
      <c r="A1615" s="37">
        <v>27</v>
      </c>
      <c r="B1615" s="38" t="s">
        <v>1086</v>
      </c>
      <c r="C1615" s="51">
        <v>7896261013797</v>
      </c>
      <c r="D1615" s="40" t="s">
        <v>70</v>
      </c>
      <c r="E1615" s="40"/>
      <c r="F1615" s="40">
        <v>298</v>
      </c>
      <c r="G1615" s="38"/>
      <c r="H1615" s="38" t="s">
        <v>974</v>
      </c>
      <c r="I1615" s="38" t="s">
        <v>424</v>
      </c>
      <c r="J1615" s="38" t="s">
        <v>947</v>
      </c>
      <c r="K1615" s="56">
        <v>0.31069999999999998</v>
      </c>
      <c r="L1615" s="52" t="s">
        <v>213</v>
      </c>
      <c r="M1615" s="53" t="s">
        <v>213</v>
      </c>
    </row>
    <row r="1616" spans="1:13" x14ac:dyDescent="0.3">
      <c r="A1616" s="37">
        <v>27</v>
      </c>
      <c r="B1616" s="38" t="s">
        <v>1086</v>
      </c>
      <c r="C1616" s="51">
        <v>7896261013797</v>
      </c>
      <c r="D1616" s="40" t="s">
        <v>70</v>
      </c>
      <c r="E1616" s="40"/>
      <c r="F1616" s="40">
        <v>317</v>
      </c>
      <c r="G1616" s="38"/>
      <c r="H1616" s="38" t="s">
        <v>975</v>
      </c>
      <c r="I1616" s="38" t="s">
        <v>424</v>
      </c>
      <c r="J1616" s="38" t="s">
        <v>966</v>
      </c>
      <c r="K1616" s="56">
        <v>0.31069999999999998</v>
      </c>
      <c r="L1616" s="52" t="s">
        <v>213</v>
      </c>
      <c r="M1616" s="53" t="s">
        <v>213</v>
      </c>
    </row>
    <row r="1617" spans="1:13" x14ac:dyDescent="0.3">
      <c r="A1617" s="37">
        <v>27</v>
      </c>
      <c r="B1617" s="38" t="s">
        <v>1086</v>
      </c>
      <c r="C1617" s="51">
        <v>7896261013797</v>
      </c>
      <c r="D1617" s="40" t="s">
        <v>70</v>
      </c>
      <c r="E1617" s="40"/>
      <c r="F1617" s="40">
        <v>408</v>
      </c>
      <c r="G1617" s="38"/>
      <c r="H1617" s="38" t="s">
        <v>1082</v>
      </c>
      <c r="I1617" s="38" t="s">
        <v>424</v>
      </c>
      <c r="J1617" s="38" t="s">
        <v>947</v>
      </c>
      <c r="K1617" s="56">
        <v>0.46</v>
      </c>
      <c r="L1617" s="52" t="s">
        <v>213</v>
      </c>
      <c r="M1617" s="53" t="s">
        <v>213</v>
      </c>
    </row>
    <row r="1618" spans="1:13" x14ac:dyDescent="0.3">
      <c r="A1618" s="37">
        <v>27</v>
      </c>
      <c r="B1618" s="38" t="s">
        <v>1088</v>
      </c>
      <c r="C1618" s="51">
        <v>7896261014848</v>
      </c>
      <c r="D1618" s="40" t="s">
        <v>70</v>
      </c>
      <c r="E1618" s="40"/>
      <c r="F1618" s="40">
        <v>222</v>
      </c>
      <c r="G1618" s="38"/>
      <c r="H1618" s="38" t="s">
        <v>1071</v>
      </c>
      <c r="I1618" s="38" t="s">
        <v>311</v>
      </c>
      <c r="J1618" s="38" t="s">
        <v>966</v>
      </c>
      <c r="K1618" s="38" t="s">
        <v>1072</v>
      </c>
      <c r="L1618" s="52" t="s">
        <v>213</v>
      </c>
      <c r="M1618" s="53" t="s">
        <v>213</v>
      </c>
    </row>
    <row r="1619" spans="1:13" x14ac:dyDescent="0.3">
      <c r="A1619" s="37">
        <v>27</v>
      </c>
      <c r="B1619" s="38" t="s">
        <v>1089</v>
      </c>
      <c r="C1619" s="51">
        <v>7896261014886</v>
      </c>
      <c r="D1619" s="40" t="s">
        <v>70</v>
      </c>
      <c r="E1619" s="40"/>
      <c r="F1619" s="40">
        <v>222</v>
      </c>
      <c r="G1619" s="38"/>
      <c r="H1619" s="38" t="s">
        <v>1071</v>
      </c>
      <c r="I1619" s="38" t="s">
        <v>311</v>
      </c>
      <c r="J1619" s="38" t="s">
        <v>966</v>
      </c>
      <c r="K1619" s="38" t="s">
        <v>1072</v>
      </c>
      <c r="L1619" s="52" t="s">
        <v>213</v>
      </c>
      <c r="M1619" s="53" t="s">
        <v>213</v>
      </c>
    </row>
    <row r="1620" spans="1:13" x14ac:dyDescent="0.3">
      <c r="A1620" s="37">
        <v>27</v>
      </c>
      <c r="B1620" s="38" t="s">
        <v>1090</v>
      </c>
      <c r="C1620" s="51">
        <v>7896261015487</v>
      </c>
      <c r="D1620" s="40" t="s">
        <v>70</v>
      </c>
      <c r="E1620" s="40"/>
      <c r="F1620" s="40">
        <v>151</v>
      </c>
      <c r="G1620" s="38"/>
      <c r="H1620" s="38" t="s">
        <v>995</v>
      </c>
      <c r="I1620" s="38" t="s">
        <v>424</v>
      </c>
      <c r="J1620" s="38">
        <v>0</v>
      </c>
      <c r="K1620" s="56">
        <v>0.5</v>
      </c>
      <c r="L1620" s="52" t="s">
        <v>213</v>
      </c>
      <c r="M1620" s="53" t="s">
        <v>213</v>
      </c>
    </row>
    <row r="1621" spans="1:13" x14ac:dyDescent="0.3">
      <c r="A1621" s="37">
        <v>27</v>
      </c>
      <c r="B1621" s="38" t="s">
        <v>1090</v>
      </c>
      <c r="C1621" s="51">
        <v>7896261015487</v>
      </c>
      <c r="D1621" s="40" t="s">
        <v>70</v>
      </c>
      <c r="E1621" s="40"/>
      <c r="F1621" s="40">
        <v>343</v>
      </c>
      <c r="G1621" s="38"/>
      <c r="H1621" s="38" t="s">
        <v>993</v>
      </c>
      <c r="I1621" s="38" t="s">
        <v>424</v>
      </c>
      <c r="J1621" s="38" t="s">
        <v>947</v>
      </c>
      <c r="K1621" s="56">
        <v>0.23</v>
      </c>
      <c r="L1621" s="52" t="s">
        <v>213</v>
      </c>
      <c r="M1621" s="53" t="s">
        <v>213</v>
      </c>
    </row>
    <row r="1622" spans="1:13" x14ac:dyDescent="0.3">
      <c r="A1622" s="37">
        <v>27</v>
      </c>
      <c r="B1622" s="38" t="s">
        <v>1091</v>
      </c>
      <c r="C1622" s="51">
        <v>7896261015494</v>
      </c>
      <c r="D1622" s="40" t="s">
        <v>70</v>
      </c>
      <c r="E1622" s="40"/>
      <c r="F1622" s="40">
        <v>151</v>
      </c>
      <c r="G1622" s="38"/>
      <c r="H1622" s="38" t="s">
        <v>995</v>
      </c>
      <c r="I1622" s="38" t="s">
        <v>424</v>
      </c>
      <c r="J1622" s="38">
        <v>0</v>
      </c>
      <c r="K1622" s="56">
        <v>0.5</v>
      </c>
      <c r="L1622" s="52" t="s">
        <v>213</v>
      </c>
      <c r="M1622" s="53" t="s">
        <v>213</v>
      </c>
    </row>
    <row r="1623" spans="1:13" x14ac:dyDescent="0.3">
      <c r="A1623" s="37">
        <v>27</v>
      </c>
      <c r="B1623" s="38" t="s">
        <v>1091</v>
      </c>
      <c r="C1623" s="51">
        <v>7896261015494</v>
      </c>
      <c r="D1623" s="40" t="s">
        <v>70</v>
      </c>
      <c r="E1623" s="40"/>
      <c r="F1623" s="40">
        <v>343</v>
      </c>
      <c r="G1623" s="38"/>
      <c r="H1623" s="38" t="s">
        <v>993</v>
      </c>
      <c r="I1623" s="38" t="s">
        <v>424</v>
      </c>
      <c r="J1623" s="38" t="s">
        <v>947</v>
      </c>
      <c r="K1623" s="56">
        <v>0.23</v>
      </c>
      <c r="L1623" s="52" t="s">
        <v>213</v>
      </c>
      <c r="M1623" s="53" t="s">
        <v>213</v>
      </c>
    </row>
    <row r="1624" spans="1:13" x14ac:dyDescent="0.3">
      <c r="A1624" s="37">
        <v>27</v>
      </c>
      <c r="B1624" s="38" t="s">
        <v>1091</v>
      </c>
      <c r="C1624" s="51">
        <v>7896261015494</v>
      </c>
      <c r="D1624" s="40" t="s">
        <v>70</v>
      </c>
      <c r="E1624" s="40"/>
      <c r="F1624" s="40">
        <v>441</v>
      </c>
      <c r="G1624" s="38"/>
      <c r="H1624" s="38" t="s">
        <v>1092</v>
      </c>
      <c r="I1624" s="38" t="s">
        <v>311</v>
      </c>
      <c r="J1624" s="38" t="s">
        <v>1093</v>
      </c>
      <c r="K1624" s="38" t="s">
        <v>1094</v>
      </c>
      <c r="L1624" s="52" t="s">
        <v>213</v>
      </c>
      <c r="M1624" s="53" t="s">
        <v>213</v>
      </c>
    </row>
    <row r="1625" spans="1:13" x14ac:dyDescent="0.3">
      <c r="A1625" s="37">
        <v>27</v>
      </c>
      <c r="B1625" s="38" t="s">
        <v>1095</v>
      </c>
      <c r="C1625" s="51">
        <v>7896261015586</v>
      </c>
      <c r="D1625" s="40" t="s">
        <v>70</v>
      </c>
      <c r="E1625" s="40"/>
      <c r="F1625" s="40">
        <v>302</v>
      </c>
      <c r="G1625" s="38"/>
      <c r="H1625" s="38" t="s">
        <v>1096</v>
      </c>
      <c r="I1625" s="38" t="s">
        <v>311</v>
      </c>
      <c r="J1625" s="38" t="s">
        <v>966</v>
      </c>
      <c r="K1625" s="38" t="s">
        <v>1097</v>
      </c>
      <c r="L1625" s="52" t="s">
        <v>213</v>
      </c>
      <c r="M1625" s="53" t="s">
        <v>213</v>
      </c>
    </row>
    <row r="1626" spans="1:13" x14ac:dyDescent="0.3">
      <c r="A1626" s="37">
        <v>27</v>
      </c>
      <c r="B1626" s="38" t="s">
        <v>1095</v>
      </c>
      <c r="C1626" s="51">
        <v>7896261015586</v>
      </c>
      <c r="D1626" s="40" t="s">
        <v>70</v>
      </c>
      <c r="E1626" s="40"/>
      <c r="F1626" s="40">
        <v>439</v>
      </c>
      <c r="G1626" s="38"/>
      <c r="H1626" s="38" t="s">
        <v>1098</v>
      </c>
      <c r="I1626" s="38" t="s">
        <v>311</v>
      </c>
      <c r="J1626" s="38" t="s">
        <v>966</v>
      </c>
      <c r="K1626" s="38" t="s">
        <v>1099</v>
      </c>
      <c r="L1626" s="52" t="s">
        <v>213</v>
      </c>
      <c r="M1626" s="53" t="s">
        <v>213</v>
      </c>
    </row>
    <row r="1627" spans="1:13" x14ac:dyDescent="0.3">
      <c r="A1627" s="37">
        <v>27</v>
      </c>
      <c r="B1627" s="38" t="s">
        <v>1100</v>
      </c>
      <c r="C1627" s="51">
        <v>7896261015593</v>
      </c>
      <c r="D1627" s="40" t="s">
        <v>70</v>
      </c>
      <c r="E1627" s="40"/>
      <c r="F1627" s="40">
        <v>302</v>
      </c>
      <c r="G1627" s="38"/>
      <c r="H1627" s="38" t="s">
        <v>1096</v>
      </c>
      <c r="I1627" s="38" t="s">
        <v>311</v>
      </c>
      <c r="J1627" s="38" t="s">
        <v>966</v>
      </c>
      <c r="K1627" s="38" t="s">
        <v>1097</v>
      </c>
      <c r="L1627" s="52" t="s">
        <v>213</v>
      </c>
      <c r="M1627" s="53" t="s">
        <v>213</v>
      </c>
    </row>
    <row r="1628" spans="1:13" x14ac:dyDescent="0.3">
      <c r="A1628" s="37">
        <v>27</v>
      </c>
      <c r="B1628" s="38" t="s">
        <v>1100</v>
      </c>
      <c r="C1628" s="51">
        <v>7896261015593</v>
      </c>
      <c r="D1628" s="40" t="s">
        <v>70</v>
      </c>
      <c r="E1628" s="40"/>
      <c r="F1628" s="40">
        <v>439</v>
      </c>
      <c r="G1628" s="38"/>
      <c r="H1628" s="38" t="s">
        <v>1098</v>
      </c>
      <c r="I1628" s="38" t="s">
        <v>311</v>
      </c>
      <c r="J1628" s="38" t="s">
        <v>966</v>
      </c>
      <c r="K1628" s="38" t="s">
        <v>1099</v>
      </c>
      <c r="L1628" s="52" t="s">
        <v>213</v>
      </c>
      <c r="M1628" s="53" t="s">
        <v>213</v>
      </c>
    </row>
    <row r="1629" spans="1:13" x14ac:dyDescent="0.3">
      <c r="A1629" s="37">
        <v>27</v>
      </c>
      <c r="B1629" s="38" t="s">
        <v>1101</v>
      </c>
      <c r="C1629" s="51">
        <v>7896261015609</v>
      </c>
      <c r="D1629" s="40" t="s">
        <v>70</v>
      </c>
      <c r="E1629" s="40"/>
      <c r="F1629" s="40">
        <v>302</v>
      </c>
      <c r="G1629" s="38"/>
      <c r="H1629" s="38" t="s">
        <v>1096</v>
      </c>
      <c r="I1629" s="38" t="s">
        <v>311</v>
      </c>
      <c r="J1629" s="38" t="s">
        <v>966</v>
      </c>
      <c r="K1629" s="38" t="s">
        <v>1097</v>
      </c>
      <c r="L1629" s="52" t="s">
        <v>213</v>
      </c>
      <c r="M1629" s="53" t="s">
        <v>213</v>
      </c>
    </row>
    <row r="1630" spans="1:13" x14ac:dyDescent="0.3">
      <c r="A1630" s="37">
        <v>27</v>
      </c>
      <c r="B1630" s="38" t="s">
        <v>1102</v>
      </c>
      <c r="C1630" s="51">
        <v>7896261015609</v>
      </c>
      <c r="D1630" s="40" t="s">
        <v>70</v>
      </c>
      <c r="E1630" s="40"/>
      <c r="F1630" s="40">
        <v>302</v>
      </c>
      <c r="G1630" s="38"/>
      <c r="H1630" s="38" t="s">
        <v>1096</v>
      </c>
      <c r="I1630" s="38" t="s">
        <v>311</v>
      </c>
      <c r="J1630" s="38" t="s">
        <v>966</v>
      </c>
      <c r="K1630" s="38" t="s">
        <v>1097</v>
      </c>
      <c r="L1630" s="52" t="s">
        <v>213</v>
      </c>
      <c r="M1630" s="53" t="s">
        <v>213</v>
      </c>
    </row>
    <row r="1631" spans="1:13" x14ac:dyDescent="0.3">
      <c r="A1631" s="37">
        <v>27</v>
      </c>
      <c r="B1631" s="38" t="s">
        <v>1101</v>
      </c>
      <c r="C1631" s="51">
        <v>7896261015609</v>
      </c>
      <c r="D1631" s="40" t="s">
        <v>70</v>
      </c>
      <c r="E1631" s="40"/>
      <c r="F1631" s="40">
        <v>439</v>
      </c>
      <c r="G1631" s="38"/>
      <c r="H1631" s="38" t="s">
        <v>1098</v>
      </c>
      <c r="I1631" s="38" t="s">
        <v>311</v>
      </c>
      <c r="J1631" s="38" t="s">
        <v>966</v>
      </c>
      <c r="K1631" s="38" t="s">
        <v>1099</v>
      </c>
      <c r="L1631" s="52" t="s">
        <v>213</v>
      </c>
      <c r="M1631" s="53" t="s">
        <v>213</v>
      </c>
    </row>
    <row r="1632" spans="1:13" x14ac:dyDescent="0.3">
      <c r="A1632" s="37">
        <v>27</v>
      </c>
      <c r="B1632" s="38" t="s">
        <v>1102</v>
      </c>
      <c r="C1632" s="51">
        <v>7896261015609</v>
      </c>
      <c r="D1632" s="40" t="s">
        <v>70</v>
      </c>
      <c r="E1632" s="40"/>
      <c r="F1632" s="40">
        <v>439</v>
      </c>
      <c r="G1632" s="38"/>
      <c r="H1632" s="38" t="s">
        <v>1098</v>
      </c>
      <c r="I1632" s="38" t="s">
        <v>311</v>
      </c>
      <c r="J1632" s="38" t="s">
        <v>966</v>
      </c>
      <c r="K1632" s="38" t="s">
        <v>1099</v>
      </c>
      <c r="L1632" s="52" t="s">
        <v>213</v>
      </c>
      <c r="M1632" s="53" t="s">
        <v>213</v>
      </c>
    </row>
    <row r="1633" spans="1:13" x14ac:dyDescent="0.3">
      <c r="A1633" s="37">
        <v>27</v>
      </c>
      <c r="B1633" s="38" t="s">
        <v>1103</v>
      </c>
      <c r="C1633" s="51">
        <v>7896261015616</v>
      </c>
      <c r="D1633" s="40" t="s">
        <v>70</v>
      </c>
      <c r="E1633" s="40"/>
      <c r="F1633" s="40">
        <v>302</v>
      </c>
      <c r="G1633" s="38"/>
      <c r="H1633" s="38" t="s">
        <v>1096</v>
      </c>
      <c r="I1633" s="38" t="s">
        <v>311</v>
      </c>
      <c r="J1633" s="38" t="s">
        <v>966</v>
      </c>
      <c r="K1633" s="38" t="s">
        <v>1097</v>
      </c>
      <c r="L1633" s="52" t="s">
        <v>213</v>
      </c>
      <c r="M1633" s="53" t="s">
        <v>213</v>
      </c>
    </row>
    <row r="1634" spans="1:13" x14ac:dyDescent="0.3">
      <c r="A1634" s="37">
        <v>27</v>
      </c>
      <c r="B1634" s="38" t="s">
        <v>1103</v>
      </c>
      <c r="C1634" s="51">
        <v>7896261015616</v>
      </c>
      <c r="D1634" s="40" t="s">
        <v>70</v>
      </c>
      <c r="E1634" s="40"/>
      <c r="F1634" s="40">
        <v>439</v>
      </c>
      <c r="G1634" s="38"/>
      <c r="H1634" s="38" t="s">
        <v>1098</v>
      </c>
      <c r="I1634" s="38" t="s">
        <v>311</v>
      </c>
      <c r="J1634" s="38" t="s">
        <v>966</v>
      </c>
      <c r="K1634" s="38" t="s">
        <v>1099</v>
      </c>
      <c r="L1634" s="52" t="s">
        <v>213</v>
      </c>
      <c r="M1634" s="53" t="s">
        <v>213</v>
      </c>
    </row>
    <row r="1635" spans="1:13" x14ac:dyDescent="0.3">
      <c r="A1635" s="37">
        <v>27</v>
      </c>
      <c r="B1635" s="38" t="s">
        <v>1104</v>
      </c>
      <c r="C1635" s="51">
        <v>7896261015623</v>
      </c>
      <c r="D1635" s="40" t="s">
        <v>70</v>
      </c>
      <c r="E1635" s="40"/>
      <c r="F1635" s="40">
        <v>302</v>
      </c>
      <c r="G1635" s="38"/>
      <c r="H1635" s="38" t="s">
        <v>1096</v>
      </c>
      <c r="I1635" s="38" t="s">
        <v>311</v>
      </c>
      <c r="J1635" s="38" t="s">
        <v>966</v>
      </c>
      <c r="K1635" s="38" t="s">
        <v>1097</v>
      </c>
      <c r="L1635" s="52" t="s">
        <v>213</v>
      </c>
      <c r="M1635" s="53" t="s">
        <v>213</v>
      </c>
    </row>
    <row r="1636" spans="1:13" x14ac:dyDescent="0.3">
      <c r="A1636" s="37">
        <v>27</v>
      </c>
      <c r="B1636" s="38" t="s">
        <v>1104</v>
      </c>
      <c r="C1636" s="51">
        <v>7896261015623</v>
      </c>
      <c r="D1636" s="40" t="s">
        <v>70</v>
      </c>
      <c r="E1636" s="40"/>
      <c r="F1636" s="40">
        <v>439</v>
      </c>
      <c r="G1636" s="38"/>
      <c r="H1636" s="38" t="s">
        <v>1098</v>
      </c>
      <c r="I1636" s="38" t="s">
        <v>311</v>
      </c>
      <c r="J1636" s="38" t="s">
        <v>966</v>
      </c>
      <c r="K1636" s="38" t="s">
        <v>1099</v>
      </c>
      <c r="L1636" s="52" t="s">
        <v>213</v>
      </c>
      <c r="M1636" s="53" t="s">
        <v>213</v>
      </c>
    </row>
    <row r="1637" spans="1:13" x14ac:dyDescent="0.3">
      <c r="A1637" s="37">
        <v>27</v>
      </c>
      <c r="B1637" s="38" t="s">
        <v>1105</v>
      </c>
      <c r="C1637" s="51">
        <v>7896261016248</v>
      </c>
      <c r="D1637" s="40" t="s">
        <v>70</v>
      </c>
      <c r="E1637" s="40"/>
      <c r="F1637" s="40">
        <v>222</v>
      </c>
      <c r="G1637" s="38"/>
      <c r="H1637" s="38" t="s">
        <v>1071</v>
      </c>
      <c r="I1637" s="38" t="s">
        <v>311</v>
      </c>
      <c r="J1637" s="38" t="s">
        <v>966</v>
      </c>
      <c r="K1637" s="38" t="s">
        <v>1072</v>
      </c>
      <c r="L1637" s="52" t="s">
        <v>213</v>
      </c>
      <c r="M1637" s="53" t="s">
        <v>213</v>
      </c>
    </row>
    <row r="1638" spans="1:13" x14ac:dyDescent="0.3">
      <c r="A1638" s="37">
        <v>27</v>
      </c>
      <c r="B1638" s="38" t="s">
        <v>1105</v>
      </c>
      <c r="C1638" s="51">
        <v>7896261016248</v>
      </c>
      <c r="D1638" s="40" t="s">
        <v>70</v>
      </c>
      <c r="E1638" s="40"/>
      <c r="F1638" s="40">
        <v>256</v>
      </c>
      <c r="G1638" s="38"/>
      <c r="H1638" s="38" t="s">
        <v>1074</v>
      </c>
      <c r="I1638" s="38" t="s">
        <v>311</v>
      </c>
      <c r="J1638" s="38" t="s">
        <v>966</v>
      </c>
      <c r="K1638" s="38" t="s">
        <v>1072</v>
      </c>
      <c r="L1638" s="52" t="s">
        <v>213</v>
      </c>
      <c r="M1638" s="53" t="s">
        <v>213</v>
      </c>
    </row>
    <row r="1639" spans="1:13" x14ac:dyDescent="0.3">
      <c r="A1639" s="37">
        <v>27</v>
      </c>
      <c r="B1639" s="38" t="s">
        <v>1105</v>
      </c>
      <c r="C1639" s="51">
        <v>7896261016248</v>
      </c>
      <c r="D1639" s="40" t="s">
        <v>70</v>
      </c>
      <c r="E1639" s="40"/>
      <c r="F1639" s="40">
        <v>287</v>
      </c>
      <c r="G1639" s="38"/>
      <c r="H1639" s="38" t="s">
        <v>1075</v>
      </c>
      <c r="I1639" s="38" t="s">
        <v>311</v>
      </c>
      <c r="J1639" s="38" t="s">
        <v>966</v>
      </c>
      <c r="K1639" s="38" t="s">
        <v>1076</v>
      </c>
      <c r="L1639" s="52" t="s">
        <v>213</v>
      </c>
      <c r="M1639" s="53" t="s">
        <v>213</v>
      </c>
    </row>
    <row r="1640" spans="1:13" x14ac:dyDescent="0.3">
      <c r="A1640" s="37">
        <v>27</v>
      </c>
      <c r="B1640" s="38" t="s">
        <v>1105</v>
      </c>
      <c r="C1640" s="51">
        <v>7896261016248</v>
      </c>
      <c r="D1640" s="40" t="s">
        <v>70</v>
      </c>
      <c r="E1640" s="40"/>
      <c r="F1640" s="40">
        <v>289</v>
      </c>
      <c r="G1640" s="38"/>
      <c r="H1640" s="38" t="s">
        <v>1077</v>
      </c>
      <c r="I1640" s="38" t="s">
        <v>311</v>
      </c>
      <c r="J1640" s="38" t="s">
        <v>966</v>
      </c>
      <c r="K1640" s="38" t="s">
        <v>1078</v>
      </c>
      <c r="L1640" s="52" t="s">
        <v>213</v>
      </c>
      <c r="M1640" s="53" t="s">
        <v>213</v>
      </c>
    </row>
    <row r="1641" spans="1:13" x14ac:dyDescent="0.3">
      <c r="A1641" s="37">
        <v>27</v>
      </c>
      <c r="B1641" s="38" t="s">
        <v>1105</v>
      </c>
      <c r="C1641" s="51">
        <v>7896261016248</v>
      </c>
      <c r="D1641" s="40" t="s">
        <v>70</v>
      </c>
      <c r="E1641" s="40"/>
      <c r="F1641" s="40">
        <v>436</v>
      </c>
      <c r="G1641" s="38"/>
      <c r="H1641" s="38" t="s">
        <v>1079</v>
      </c>
      <c r="I1641" s="38" t="s">
        <v>311</v>
      </c>
      <c r="J1641" s="38" t="s">
        <v>966</v>
      </c>
      <c r="K1641" s="38" t="s">
        <v>1072</v>
      </c>
      <c r="L1641" s="52" t="s">
        <v>213</v>
      </c>
      <c r="M1641" s="53" t="s">
        <v>213</v>
      </c>
    </row>
    <row r="1642" spans="1:13" x14ac:dyDescent="0.3">
      <c r="A1642" s="37">
        <v>27</v>
      </c>
      <c r="B1642" s="38" t="s">
        <v>1106</v>
      </c>
      <c r="C1642" s="51">
        <v>7896261016255</v>
      </c>
      <c r="D1642" s="40" t="s">
        <v>70</v>
      </c>
      <c r="E1642" s="40"/>
      <c r="F1642" s="40">
        <v>222</v>
      </c>
      <c r="G1642" s="38"/>
      <c r="H1642" s="38" t="s">
        <v>1071</v>
      </c>
      <c r="I1642" s="38" t="s">
        <v>311</v>
      </c>
      <c r="J1642" s="38" t="s">
        <v>966</v>
      </c>
      <c r="K1642" s="38" t="s">
        <v>1072</v>
      </c>
      <c r="L1642" s="52" t="s">
        <v>213</v>
      </c>
      <c r="M1642" s="53" t="s">
        <v>213</v>
      </c>
    </row>
    <row r="1643" spans="1:13" x14ac:dyDescent="0.3">
      <c r="A1643" s="37">
        <v>27</v>
      </c>
      <c r="B1643" s="38" t="s">
        <v>1106</v>
      </c>
      <c r="C1643" s="51">
        <v>7896261016255</v>
      </c>
      <c r="D1643" s="40" t="s">
        <v>70</v>
      </c>
      <c r="E1643" s="40"/>
      <c r="F1643" s="40">
        <v>256</v>
      </c>
      <c r="G1643" s="38"/>
      <c r="H1643" s="38" t="s">
        <v>1074</v>
      </c>
      <c r="I1643" s="38" t="s">
        <v>311</v>
      </c>
      <c r="J1643" s="38" t="s">
        <v>966</v>
      </c>
      <c r="K1643" s="38" t="s">
        <v>1072</v>
      </c>
      <c r="L1643" s="52" t="s">
        <v>213</v>
      </c>
      <c r="M1643" s="53" t="s">
        <v>213</v>
      </c>
    </row>
    <row r="1644" spans="1:13" x14ac:dyDescent="0.3">
      <c r="A1644" s="37">
        <v>27</v>
      </c>
      <c r="B1644" s="38" t="s">
        <v>1106</v>
      </c>
      <c r="C1644" s="51">
        <v>7896261016255</v>
      </c>
      <c r="D1644" s="40" t="s">
        <v>70</v>
      </c>
      <c r="E1644" s="40"/>
      <c r="F1644" s="40">
        <v>287</v>
      </c>
      <c r="G1644" s="38"/>
      <c r="H1644" s="38" t="s">
        <v>1075</v>
      </c>
      <c r="I1644" s="38" t="s">
        <v>311</v>
      </c>
      <c r="J1644" s="38" t="s">
        <v>966</v>
      </c>
      <c r="K1644" s="38" t="s">
        <v>1076</v>
      </c>
      <c r="L1644" s="52" t="s">
        <v>213</v>
      </c>
      <c r="M1644" s="53" t="s">
        <v>213</v>
      </c>
    </row>
    <row r="1645" spans="1:13" x14ac:dyDescent="0.3">
      <c r="A1645" s="37">
        <v>27</v>
      </c>
      <c r="B1645" s="38" t="s">
        <v>1106</v>
      </c>
      <c r="C1645" s="51">
        <v>7896261016255</v>
      </c>
      <c r="D1645" s="40" t="s">
        <v>70</v>
      </c>
      <c r="E1645" s="40"/>
      <c r="F1645" s="40">
        <v>289</v>
      </c>
      <c r="G1645" s="38"/>
      <c r="H1645" s="38" t="s">
        <v>1077</v>
      </c>
      <c r="I1645" s="38" t="s">
        <v>311</v>
      </c>
      <c r="J1645" s="38" t="s">
        <v>966</v>
      </c>
      <c r="K1645" s="38" t="s">
        <v>1078</v>
      </c>
      <c r="L1645" s="52" t="s">
        <v>213</v>
      </c>
      <c r="M1645" s="53" t="s">
        <v>213</v>
      </c>
    </row>
    <row r="1646" spans="1:13" x14ac:dyDescent="0.3">
      <c r="A1646" s="37">
        <v>27</v>
      </c>
      <c r="B1646" s="38" t="s">
        <v>1106</v>
      </c>
      <c r="C1646" s="51">
        <v>7896261016255</v>
      </c>
      <c r="D1646" s="40" t="s">
        <v>70</v>
      </c>
      <c r="E1646" s="40"/>
      <c r="F1646" s="40">
        <v>436</v>
      </c>
      <c r="G1646" s="38"/>
      <c r="H1646" s="38" t="s">
        <v>1079</v>
      </c>
      <c r="I1646" s="38" t="s">
        <v>311</v>
      </c>
      <c r="J1646" s="38" t="s">
        <v>966</v>
      </c>
      <c r="K1646" s="38" t="s">
        <v>1072</v>
      </c>
      <c r="L1646" s="52" t="s">
        <v>213</v>
      </c>
      <c r="M1646" s="53" t="s">
        <v>213</v>
      </c>
    </row>
    <row r="1647" spans="1:13" x14ac:dyDescent="0.3">
      <c r="A1647" s="37">
        <v>27</v>
      </c>
      <c r="B1647" s="38" t="s">
        <v>1106</v>
      </c>
      <c r="C1647" s="51">
        <v>7896261016255</v>
      </c>
      <c r="D1647" s="40" t="s">
        <v>70</v>
      </c>
      <c r="E1647" s="40"/>
      <c r="F1647" s="40">
        <v>445</v>
      </c>
      <c r="G1647" s="38"/>
      <c r="H1647" s="38" t="s">
        <v>1107</v>
      </c>
      <c r="I1647" s="38" t="s">
        <v>311</v>
      </c>
      <c r="J1647" s="38" t="s">
        <v>966</v>
      </c>
      <c r="K1647" s="38" t="s">
        <v>1108</v>
      </c>
      <c r="L1647" s="52" t="s">
        <v>213</v>
      </c>
      <c r="M1647" s="53" t="s">
        <v>213</v>
      </c>
    </row>
    <row r="1648" spans="1:13" x14ac:dyDescent="0.3">
      <c r="A1648" s="37">
        <v>27</v>
      </c>
      <c r="B1648" s="38" t="s">
        <v>1109</v>
      </c>
      <c r="C1648" s="51">
        <v>7896261016262</v>
      </c>
      <c r="D1648" s="40" t="s">
        <v>70</v>
      </c>
      <c r="E1648" s="40"/>
      <c r="F1648" s="40">
        <v>222</v>
      </c>
      <c r="G1648" s="38"/>
      <c r="H1648" s="38" t="s">
        <v>1071</v>
      </c>
      <c r="I1648" s="38" t="s">
        <v>311</v>
      </c>
      <c r="J1648" s="38" t="s">
        <v>966</v>
      </c>
      <c r="K1648" s="38" t="s">
        <v>1072</v>
      </c>
      <c r="L1648" s="52" t="s">
        <v>213</v>
      </c>
      <c r="M1648" s="53" t="s">
        <v>213</v>
      </c>
    </row>
    <row r="1649" spans="1:13" x14ac:dyDescent="0.3">
      <c r="A1649" s="37">
        <v>27</v>
      </c>
      <c r="B1649" s="38" t="s">
        <v>1109</v>
      </c>
      <c r="C1649" s="51">
        <v>7896261016262</v>
      </c>
      <c r="D1649" s="40" t="s">
        <v>70</v>
      </c>
      <c r="E1649" s="40"/>
      <c r="F1649" s="40">
        <v>256</v>
      </c>
      <c r="G1649" s="38"/>
      <c r="H1649" s="38" t="s">
        <v>1074</v>
      </c>
      <c r="I1649" s="38" t="s">
        <v>311</v>
      </c>
      <c r="J1649" s="38" t="s">
        <v>966</v>
      </c>
      <c r="K1649" s="38" t="s">
        <v>1072</v>
      </c>
      <c r="L1649" s="52" t="s">
        <v>213</v>
      </c>
      <c r="M1649" s="53" t="s">
        <v>213</v>
      </c>
    </row>
    <row r="1650" spans="1:13" x14ac:dyDescent="0.3">
      <c r="A1650" s="37">
        <v>27</v>
      </c>
      <c r="B1650" s="38" t="s">
        <v>1109</v>
      </c>
      <c r="C1650" s="51">
        <v>7896261016262</v>
      </c>
      <c r="D1650" s="40" t="s">
        <v>70</v>
      </c>
      <c r="E1650" s="40"/>
      <c r="F1650" s="40">
        <v>287</v>
      </c>
      <c r="G1650" s="38"/>
      <c r="H1650" s="38" t="s">
        <v>1075</v>
      </c>
      <c r="I1650" s="38" t="s">
        <v>311</v>
      </c>
      <c r="J1650" s="38" t="s">
        <v>966</v>
      </c>
      <c r="K1650" s="38" t="s">
        <v>1076</v>
      </c>
      <c r="L1650" s="52" t="s">
        <v>213</v>
      </c>
      <c r="M1650" s="53" t="s">
        <v>213</v>
      </c>
    </row>
    <row r="1651" spans="1:13" x14ac:dyDescent="0.3">
      <c r="A1651" s="37">
        <v>27</v>
      </c>
      <c r="B1651" s="38" t="s">
        <v>1109</v>
      </c>
      <c r="C1651" s="51">
        <v>7896261016262</v>
      </c>
      <c r="D1651" s="40" t="s">
        <v>70</v>
      </c>
      <c r="E1651" s="40"/>
      <c r="F1651" s="40">
        <v>289</v>
      </c>
      <c r="G1651" s="38"/>
      <c r="H1651" s="38" t="s">
        <v>1077</v>
      </c>
      <c r="I1651" s="38" t="s">
        <v>311</v>
      </c>
      <c r="J1651" s="38" t="s">
        <v>966</v>
      </c>
      <c r="K1651" s="38" t="s">
        <v>1078</v>
      </c>
      <c r="L1651" s="52" t="s">
        <v>213</v>
      </c>
      <c r="M1651" s="53" t="s">
        <v>213</v>
      </c>
    </row>
    <row r="1652" spans="1:13" x14ac:dyDescent="0.3">
      <c r="A1652" s="37">
        <v>27</v>
      </c>
      <c r="B1652" s="38" t="s">
        <v>1109</v>
      </c>
      <c r="C1652" s="51">
        <v>7896261016262</v>
      </c>
      <c r="D1652" s="40" t="s">
        <v>70</v>
      </c>
      <c r="E1652" s="40"/>
      <c r="F1652" s="40">
        <v>436</v>
      </c>
      <c r="G1652" s="38"/>
      <c r="H1652" s="38" t="s">
        <v>1079</v>
      </c>
      <c r="I1652" s="38" t="s">
        <v>311</v>
      </c>
      <c r="J1652" s="38" t="s">
        <v>966</v>
      </c>
      <c r="K1652" s="38" t="s">
        <v>1072</v>
      </c>
      <c r="L1652" s="52" t="s">
        <v>213</v>
      </c>
      <c r="M1652" s="53" t="s">
        <v>213</v>
      </c>
    </row>
    <row r="1653" spans="1:13" x14ac:dyDescent="0.3">
      <c r="A1653" s="37">
        <v>27</v>
      </c>
      <c r="B1653" s="38" t="s">
        <v>1110</v>
      </c>
      <c r="C1653" s="51">
        <v>7896261016385</v>
      </c>
      <c r="D1653" s="40" t="s">
        <v>70</v>
      </c>
      <c r="E1653" s="40"/>
      <c r="F1653" s="40">
        <v>273</v>
      </c>
      <c r="G1653" s="38"/>
      <c r="H1653" s="38" t="s">
        <v>1111</v>
      </c>
      <c r="I1653" s="38" t="s">
        <v>311</v>
      </c>
      <c r="J1653" s="38" t="s">
        <v>947</v>
      </c>
      <c r="K1653" s="38" t="s">
        <v>1112</v>
      </c>
      <c r="L1653" s="52" t="s">
        <v>213</v>
      </c>
      <c r="M1653" s="53" t="s">
        <v>213</v>
      </c>
    </row>
    <row r="1654" spans="1:13" x14ac:dyDescent="0.3">
      <c r="A1654" s="37">
        <v>27</v>
      </c>
      <c r="B1654" s="38" t="s">
        <v>1113</v>
      </c>
      <c r="C1654" s="51">
        <v>7896261016385</v>
      </c>
      <c r="D1654" s="40" t="s">
        <v>70</v>
      </c>
      <c r="E1654" s="40"/>
      <c r="F1654" s="40">
        <v>273</v>
      </c>
      <c r="G1654" s="38"/>
      <c r="H1654" s="38" t="s">
        <v>1111</v>
      </c>
      <c r="I1654" s="38" t="s">
        <v>311</v>
      </c>
      <c r="J1654" s="38" t="s">
        <v>947</v>
      </c>
      <c r="K1654" s="38" t="s">
        <v>1112</v>
      </c>
      <c r="L1654" s="52" t="s">
        <v>213</v>
      </c>
      <c r="M1654" s="53" t="s">
        <v>213</v>
      </c>
    </row>
    <row r="1655" spans="1:13" x14ac:dyDescent="0.3">
      <c r="A1655" s="37">
        <v>27</v>
      </c>
      <c r="B1655" s="38" t="s">
        <v>1110</v>
      </c>
      <c r="C1655" s="51">
        <v>7896261016385</v>
      </c>
      <c r="D1655" s="40" t="s">
        <v>70</v>
      </c>
      <c r="E1655" s="40"/>
      <c r="F1655" s="40">
        <v>282</v>
      </c>
      <c r="G1655" s="38"/>
      <c r="H1655" s="38" t="s">
        <v>1114</v>
      </c>
      <c r="I1655" s="38" t="s">
        <v>311</v>
      </c>
      <c r="J1655" s="38" t="s">
        <v>947</v>
      </c>
      <c r="K1655" s="38" t="s">
        <v>1115</v>
      </c>
      <c r="L1655" s="52" t="s">
        <v>213</v>
      </c>
      <c r="M1655" s="53" t="s">
        <v>213</v>
      </c>
    </row>
    <row r="1656" spans="1:13" x14ac:dyDescent="0.3">
      <c r="A1656" s="37">
        <v>27</v>
      </c>
      <c r="B1656" s="38" t="s">
        <v>1113</v>
      </c>
      <c r="C1656" s="51">
        <v>7896261016385</v>
      </c>
      <c r="D1656" s="40" t="s">
        <v>70</v>
      </c>
      <c r="E1656" s="40"/>
      <c r="F1656" s="40">
        <v>282</v>
      </c>
      <c r="G1656" s="38"/>
      <c r="H1656" s="38" t="s">
        <v>1114</v>
      </c>
      <c r="I1656" s="38" t="s">
        <v>311</v>
      </c>
      <c r="J1656" s="38" t="s">
        <v>947</v>
      </c>
      <c r="K1656" s="38" t="s">
        <v>1115</v>
      </c>
      <c r="L1656" s="52" t="s">
        <v>213</v>
      </c>
      <c r="M1656" s="53" t="s">
        <v>213</v>
      </c>
    </row>
    <row r="1657" spans="1:13" x14ac:dyDescent="0.3">
      <c r="A1657" s="37">
        <v>27</v>
      </c>
      <c r="B1657" s="38" t="s">
        <v>1110</v>
      </c>
      <c r="C1657" s="51">
        <v>7896261016385</v>
      </c>
      <c r="D1657" s="40" t="s">
        <v>70</v>
      </c>
      <c r="E1657" s="40"/>
      <c r="F1657" s="40">
        <v>286</v>
      </c>
      <c r="G1657" s="38"/>
      <c r="H1657" s="38" t="s">
        <v>1116</v>
      </c>
      <c r="I1657" s="38" t="s">
        <v>424</v>
      </c>
      <c r="J1657" s="38" t="s">
        <v>947</v>
      </c>
      <c r="K1657" s="56">
        <v>0.45</v>
      </c>
      <c r="L1657" s="52" t="s">
        <v>213</v>
      </c>
      <c r="M1657" s="53" t="s">
        <v>213</v>
      </c>
    </row>
    <row r="1658" spans="1:13" x14ac:dyDescent="0.3">
      <c r="A1658" s="37">
        <v>27</v>
      </c>
      <c r="B1658" s="38" t="s">
        <v>1113</v>
      </c>
      <c r="C1658" s="51">
        <v>7896261016385</v>
      </c>
      <c r="D1658" s="40" t="s">
        <v>70</v>
      </c>
      <c r="E1658" s="40"/>
      <c r="F1658" s="40">
        <v>286</v>
      </c>
      <c r="G1658" s="38"/>
      <c r="H1658" s="38" t="s">
        <v>1116</v>
      </c>
      <c r="I1658" s="38" t="s">
        <v>424</v>
      </c>
      <c r="J1658" s="38" t="s">
        <v>947</v>
      </c>
      <c r="K1658" s="56">
        <v>0.45</v>
      </c>
      <c r="L1658" s="52" t="s">
        <v>213</v>
      </c>
      <c r="M1658" s="53" t="s">
        <v>213</v>
      </c>
    </row>
    <row r="1659" spans="1:13" x14ac:dyDescent="0.3">
      <c r="A1659" s="37">
        <v>27</v>
      </c>
      <c r="B1659" s="38" t="s">
        <v>1110</v>
      </c>
      <c r="C1659" s="51">
        <v>7896261016385</v>
      </c>
      <c r="D1659" s="40" t="s">
        <v>70</v>
      </c>
      <c r="E1659" s="40"/>
      <c r="F1659" s="40">
        <v>313</v>
      </c>
      <c r="G1659" s="38"/>
      <c r="H1659" s="38" t="s">
        <v>1117</v>
      </c>
      <c r="I1659" s="38" t="s">
        <v>311</v>
      </c>
      <c r="J1659" s="38" t="s">
        <v>966</v>
      </c>
      <c r="K1659" s="38" t="s">
        <v>1118</v>
      </c>
      <c r="L1659" s="52" t="s">
        <v>213</v>
      </c>
      <c r="M1659" s="53" t="s">
        <v>213</v>
      </c>
    </row>
    <row r="1660" spans="1:13" x14ac:dyDescent="0.3">
      <c r="A1660" s="37">
        <v>27</v>
      </c>
      <c r="B1660" s="38" t="s">
        <v>1113</v>
      </c>
      <c r="C1660" s="51">
        <v>7896261016385</v>
      </c>
      <c r="D1660" s="40" t="s">
        <v>70</v>
      </c>
      <c r="E1660" s="40"/>
      <c r="F1660" s="40">
        <v>313</v>
      </c>
      <c r="G1660" s="38"/>
      <c r="H1660" s="38" t="s">
        <v>1117</v>
      </c>
      <c r="I1660" s="38" t="s">
        <v>311</v>
      </c>
      <c r="J1660" s="38" t="s">
        <v>966</v>
      </c>
      <c r="K1660" s="38" t="s">
        <v>1118</v>
      </c>
      <c r="L1660" s="52" t="s">
        <v>213</v>
      </c>
      <c r="M1660" s="53" t="s">
        <v>213</v>
      </c>
    </row>
    <row r="1661" spans="1:13" x14ac:dyDescent="0.3">
      <c r="A1661" s="37">
        <v>27</v>
      </c>
      <c r="B1661" s="38" t="s">
        <v>1119</v>
      </c>
      <c r="C1661" s="51">
        <v>7896261016422</v>
      </c>
      <c r="D1661" s="40" t="s">
        <v>70</v>
      </c>
      <c r="E1661" s="40"/>
      <c r="F1661" s="40">
        <v>273</v>
      </c>
      <c r="G1661" s="38"/>
      <c r="H1661" s="38" t="s">
        <v>1111</v>
      </c>
      <c r="I1661" s="38" t="s">
        <v>311</v>
      </c>
      <c r="J1661" s="38" t="s">
        <v>947</v>
      </c>
      <c r="K1661" s="38" t="s">
        <v>1112</v>
      </c>
      <c r="L1661" s="52" t="s">
        <v>213</v>
      </c>
      <c r="M1661" s="53" t="s">
        <v>213</v>
      </c>
    </row>
    <row r="1662" spans="1:13" x14ac:dyDescent="0.3">
      <c r="A1662" s="37">
        <v>27</v>
      </c>
      <c r="B1662" s="38" t="s">
        <v>1120</v>
      </c>
      <c r="C1662" s="51">
        <v>7896261016422</v>
      </c>
      <c r="D1662" s="40" t="s">
        <v>70</v>
      </c>
      <c r="E1662" s="40"/>
      <c r="F1662" s="40">
        <v>273</v>
      </c>
      <c r="G1662" s="38"/>
      <c r="H1662" s="38" t="s">
        <v>1111</v>
      </c>
      <c r="I1662" s="38" t="s">
        <v>311</v>
      </c>
      <c r="J1662" s="38" t="s">
        <v>947</v>
      </c>
      <c r="K1662" s="38" t="s">
        <v>1112</v>
      </c>
      <c r="L1662" s="52" t="s">
        <v>213</v>
      </c>
      <c r="M1662" s="53" t="s">
        <v>213</v>
      </c>
    </row>
    <row r="1663" spans="1:13" x14ac:dyDescent="0.3">
      <c r="A1663" s="37">
        <v>27</v>
      </c>
      <c r="B1663" s="38" t="s">
        <v>1119</v>
      </c>
      <c r="C1663" s="51">
        <v>7896261016422</v>
      </c>
      <c r="D1663" s="40" t="s">
        <v>70</v>
      </c>
      <c r="E1663" s="40"/>
      <c r="F1663" s="40">
        <v>282</v>
      </c>
      <c r="G1663" s="38"/>
      <c r="H1663" s="38" t="s">
        <v>1114</v>
      </c>
      <c r="I1663" s="38" t="s">
        <v>311</v>
      </c>
      <c r="J1663" s="38" t="s">
        <v>947</v>
      </c>
      <c r="K1663" s="38" t="s">
        <v>1115</v>
      </c>
      <c r="L1663" s="52" t="s">
        <v>213</v>
      </c>
      <c r="M1663" s="53" t="s">
        <v>213</v>
      </c>
    </row>
    <row r="1664" spans="1:13" x14ac:dyDescent="0.3">
      <c r="A1664" s="37">
        <v>27</v>
      </c>
      <c r="B1664" s="38" t="s">
        <v>1120</v>
      </c>
      <c r="C1664" s="51">
        <v>7896261016422</v>
      </c>
      <c r="D1664" s="40" t="s">
        <v>70</v>
      </c>
      <c r="E1664" s="40"/>
      <c r="F1664" s="40">
        <v>282</v>
      </c>
      <c r="G1664" s="38"/>
      <c r="H1664" s="38" t="s">
        <v>1114</v>
      </c>
      <c r="I1664" s="38" t="s">
        <v>311</v>
      </c>
      <c r="J1664" s="38" t="s">
        <v>947</v>
      </c>
      <c r="K1664" s="38" t="s">
        <v>1115</v>
      </c>
      <c r="L1664" s="52" t="s">
        <v>213</v>
      </c>
      <c r="M1664" s="53" t="s">
        <v>213</v>
      </c>
    </row>
    <row r="1665" spans="1:13" x14ac:dyDescent="0.3">
      <c r="A1665" s="37">
        <v>27</v>
      </c>
      <c r="B1665" s="38" t="s">
        <v>1119</v>
      </c>
      <c r="C1665" s="51">
        <v>7896261016422</v>
      </c>
      <c r="D1665" s="40" t="s">
        <v>70</v>
      </c>
      <c r="E1665" s="40"/>
      <c r="F1665" s="40">
        <v>286</v>
      </c>
      <c r="G1665" s="38"/>
      <c r="H1665" s="38" t="s">
        <v>1116</v>
      </c>
      <c r="I1665" s="38" t="s">
        <v>424</v>
      </c>
      <c r="J1665" s="38" t="s">
        <v>947</v>
      </c>
      <c r="K1665" s="56">
        <v>0.45</v>
      </c>
      <c r="L1665" s="52" t="s">
        <v>213</v>
      </c>
      <c r="M1665" s="53" t="s">
        <v>213</v>
      </c>
    </row>
    <row r="1666" spans="1:13" x14ac:dyDescent="0.3">
      <c r="A1666" s="37">
        <v>27</v>
      </c>
      <c r="B1666" s="38" t="s">
        <v>1120</v>
      </c>
      <c r="C1666" s="51">
        <v>7896261016422</v>
      </c>
      <c r="D1666" s="40" t="s">
        <v>70</v>
      </c>
      <c r="E1666" s="40"/>
      <c r="F1666" s="40">
        <v>286</v>
      </c>
      <c r="G1666" s="38"/>
      <c r="H1666" s="38" t="s">
        <v>1116</v>
      </c>
      <c r="I1666" s="38" t="s">
        <v>424</v>
      </c>
      <c r="J1666" s="38" t="s">
        <v>947</v>
      </c>
      <c r="K1666" s="56">
        <v>0.45</v>
      </c>
      <c r="L1666" s="52" t="s">
        <v>213</v>
      </c>
      <c r="M1666" s="53" t="s">
        <v>213</v>
      </c>
    </row>
    <row r="1667" spans="1:13" x14ac:dyDescent="0.3">
      <c r="A1667" s="37">
        <v>27</v>
      </c>
      <c r="B1667" s="38" t="s">
        <v>1119</v>
      </c>
      <c r="C1667" s="51">
        <v>7896261016422</v>
      </c>
      <c r="D1667" s="40" t="s">
        <v>70</v>
      </c>
      <c r="E1667" s="40"/>
      <c r="F1667" s="40">
        <v>292</v>
      </c>
      <c r="G1667" s="38"/>
      <c r="H1667" s="38" t="s">
        <v>1121</v>
      </c>
      <c r="I1667" s="38" t="s">
        <v>311</v>
      </c>
      <c r="J1667" s="38" t="s">
        <v>947</v>
      </c>
      <c r="K1667" s="38" t="s">
        <v>1122</v>
      </c>
      <c r="L1667" s="52" t="s">
        <v>213</v>
      </c>
      <c r="M1667" s="53" t="s">
        <v>213</v>
      </c>
    </row>
    <row r="1668" spans="1:13" x14ac:dyDescent="0.3">
      <c r="A1668" s="37">
        <v>27</v>
      </c>
      <c r="B1668" s="38" t="s">
        <v>1120</v>
      </c>
      <c r="C1668" s="51">
        <v>7896261016422</v>
      </c>
      <c r="D1668" s="40" t="s">
        <v>70</v>
      </c>
      <c r="E1668" s="40"/>
      <c r="F1668" s="40">
        <v>292</v>
      </c>
      <c r="G1668" s="38"/>
      <c r="H1668" s="38" t="s">
        <v>1121</v>
      </c>
      <c r="I1668" s="38" t="s">
        <v>311</v>
      </c>
      <c r="J1668" s="38" t="s">
        <v>947</v>
      </c>
      <c r="K1668" s="38" t="s">
        <v>1122</v>
      </c>
      <c r="L1668" s="52" t="s">
        <v>213</v>
      </c>
      <c r="M1668" s="53" t="s">
        <v>213</v>
      </c>
    </row>
    <row r="1669" spans="1:13" x14ac:dyDescent="0.3">
      <c r="A1669" s="37">
        <v>27</v>
      </c>
      <c r="B1669" s="38" t="s">
        <v>1119</v>
      </c>
      <c r="C1669" s="51">
        <v>7896261016422</v>
      </c>
      <c r="D1669" s="40" t="s">
        <v>70</v>
      </c>
      <c r="E1669" s="40"/>
      <c r="F1669" s="40">
        <v>313</v>
      </c>
      <c r="G1669" s="38"/>
      <c r="H1669" s="38" t="s">
        <v>1117</v>
      </c>
      <c r="I1669" s="38" t="s">
        <v>311</v>
      </c>
      <c r="J1669" s="38" t="s">
        <v>966</v>
      </c>
      <c r="K1669" s="38" t="s">
        <v>1118</v>
      </c>
      <c r="L1669" s="52" t="s">
        <v>213</v>
      </c>
      <c r="M1669" s="53" t="s">
        <v>213</v>
      </c>
    </row>
    <row r="1670" spans="1:13" x14ac:dyDescent="0.3">
      <c r="A1670" s="37">
        <v>27</v>
      </c>
      <c r="B1670" s="38" t="s">
        <v>1120</v>
      </c>
      <c r="C1670" s="51">
        <v>7896261016422</v>
      </c>
      <c r="D1670" s="40" t="s">
        <v>70</v>
      </c>
      <c r="E1670" s="40"/>
      <c r="F1670" s="40">
        <v>313</v>
      </c>
      <c r="G1670" s="38"/>
      <c r="H1670" s="38" t="s">
        <v>1117</v>
      </c>
      <c r="I1670" s="38" t="s">
        <v>311</v>
      </c>
      <c r="J1670" s="38" t="s">
        <v>966</v>
      </c>
      <c r="K1670" s="38" t="s">
        <v>1118</v>
      </c>
      <c r="L1670" s="52" t="s">
        <v>213</v>
      </c>
      <c r="M1670" s="53" t="s">
        <v>213</v>
      </c>
    </row>
    <row r="1671" spans="1:13" x14ac:dyDescent="0.3">
      <c r="A1671" s="37">
        <v>27</v>
      </c>
      <c r="B1671" s="38" t="s">
        <v>1123</v>
      </c>
      <c r="C1671" s="51">
        <v>7896261017177</v>
      </c>
      <c r="D1671" s="40" t="s">
        <v>70</v>
      </c>
      <c r="E1671" s="40"/>
      <c r="F1671" s="40">
        <v>233</v>
      </c>
      <c r="G1671" s="38"/>
      <c r="H1671" s="38" t="s">
        <v>1013</v>
      </c>
      <c r="I1671" s="38" t="s">
        <v>424</v>
      </c>
      <c r="J1671" s="38" t="s">
        <v>1014</v>
      </c>
      <c r="K1671" s="56">
        <v>0.19</v>
      </c>
      <c r="L1671" s="52" t="s">
        <v>213</v>
      </c>
      <c r="M1671" s="53" t="s">
        <v>213</v>
      </c>
    </row>
    <row r="1672" spans="1:13" x14ac:dyDescent="0.3">
      <c r="A1672" s="37">
        <v>27</v>
      </c>
      <c r="B1672" s="38" t="s">
        <v>1123</v>
      </c>
      <c r="C1672" s="51">
        <v>7896261017177</v>
      </c>
      <c r="D1672" s="40" t="s">
        <v>70</v>
      </c>
      <c r="E1672" s="40"/>
      <c r="F1672" s="40">
        <v>280</v>
      </c>
      <c r="G1672" s="38"/>
      <c r="H1672" s="38" t="s">
        <v>1016</v>
      </c>
      <c r="I1672" s="38" t="s">
        <v>424</v>
      </c>
      <c r="J1672" s="38" t="s">
        <v>1014</v>
      </c>
      <c r="K1672" s="56">
        <v>0.19</v>
      </c>
      <c r="L1672" s="52" t="s">
        <v>213</v>
      </c>
      <c r="M1672" s="53" t="s">
        <v>213</v>
      </c>
    </row>
    <row r="1673" spans="1:13" x14ac:dyDescent="0.3">
      <c r="A1673" s="37">
        <v>27</v>
      </c>
      <c r="B1673" s="38" t="s">
        <v>1123</v>
      </c>
      <c r="C1673" s="51">
        <v>7896261017177</v>
      </c>
      <c r="D1673" s="40" t="s">
        <v>70</v>
      </c>
      <c r="E1673" s="40"/>
      <c r="F1673" s="40">
        <v>409</v>
      </c>
      <c r="G1673" s="38"/>
      <c r="H1673" s="38" t="s">
        <v>1018</v>
      </c>
      <c r="I1673" s="38" t="s">
        <v>424</v>
      </c>
      <c r="J1673" s="38" t="s">
        <v>1014</v>
      </c>
      <c r="K1673" s="56">
        <v>0.19</v>
      </c>
      <c r="L1673" s="52" t="s">
        <v>213</v>
      </c>
      <c r="M1673" s="53" t="s">
        <v>213</v>
      </c>
    </row>
    <row r="1674" spans="1:13" x14ac:dyDescent="0.3">
      <c r="A1674" s="37">
        <v>27</v>
      </c>
      <c r="B1674" s="38" t="s">
        <v>1124</v>
      </c>
      <c r="C1674" s="51">
        <v>7896261018860</v>
      </c>
      <c r="D1674" s="40" t="s">
        <v>70</v>
      </c>
      <c r="E1674" s="40"/>
      <c r="F1674" s="40">
        <v>423</v>
      </c>
      <c r="G1674" s="38"/>
      <c r="H1674" s="38" t="s">
        <v>1125</v>
      </c>
      <c r="I1674" s="38" t="s">
        <v>424</v>
      </c>
      <c r="J1674" s="38" t="s">
        <v>1093</v>
      </c>
      <c r="K1674" s="56">
        <v>0.33</v>
      </c>
      <c r="L1674" s="52" t="s">
        <v>213</v>
      </c>
      <c r="M1674" s="53" t="s">
        <v>213</v>
      </c>
    </row>
    <row r="1675" spans="1:13" x14ac:dyDescent="0.3">
      <c r="A1675" s="37">
        <v>27</v>
      </c>
      <c r="B1675" s="38" t="s">
        <v>1126</v>
      </c>
      <c r="C1675" s="51">
        <v>7896261018860</v>
      </c>
      <c r="D1675" s="40" t="s">
        <v>70</v>
      </c>
      <c r="E1675" s="40"/>
      <c r="F1675" s="40">
        <v>423</v>
      </c>
      <c r="G1675" s="38"/>
      <c r="H1675" s="38" t="s">
        <v>1125</v>
      </c>
      <c r="I1675" s="38" t="s">
        <v>424</v>
      </c>
      <c r="J1675" s="38" t="s">
        <v>1093</v>
      </c>
      <c r="K1675" s="56">
        <v>0.33</v>
      </c>
      <c r="L1675" s="52" t="s">
        <v>213</v>
      </c>
      <c r="M1675" s="53" t="s">
        <v>213</v>
      </c>
    </row>
    <row r="1676" spans="1:13" x14ac:dyDescent="0.3">
      <c r="A1676" s="37">
        <v>27</v>
      </c>
      <c r="B1676" s="38" t="s">
        <v>1124</v>
      </c>
      <c r="C1676" s="51">
        <v>7896261018860</v>
      </c>
      <c r="D1676" s="40" t="s">
        <v>70</v>
      </c>
      <c r="E1676" s="40"/>
      <c r="F1676" s="40">
        <v>444</v>
      </c>
      <c r="G1676" s="38"/>
      <c r="H1676" s="38" t="s">
        <v>1127</v>
      </c>
      <c r="I1676" s="38" t="s">
        <v>424</v>
      </c>
      <c r="J1676" s="38" t="s">
        <v>1093</v>
      </c>
      <c r="K1676" s="56">
        <v>0.33</v>
      </c>
      <c r="L1676" s="52" t="s">
        <v>213</v>
      </c>
      <c r="M1676" s="53" t="s">
        <v>213</v>
      </c>
    </row>
    <row r="1677" spans="1:13" x14ac:dyDescent="0.3">
      <c r="A1677" s="37">
        <v>27</v>
      </c>
      <c r="B1677" s="38" t="s">
        <v>1126</v>
      </c>
      <c r="C1677" s="51">
        <v>7896261018860</v>
      </c>
      <c r="D1677" s="40" t="s">
        <v>70</v>
      </c>
      <c r="E1677" s="40"/>
      <c r="F1677" s="40">
        <v>444</v>
      </c>
      <c r="G1677" s="38"/>
      <c r="H1677" s="38" t="s">
        <v>1127</v>
      </c>
      <c r="I1677" s="38" t="s">
        <v>424</v>
      </c>
      <c r="J1677" s="38" t="s">
        <v>1093</v>
      </c>
      <c r="K1677" s="56">
        <v>0.33</v>
      </c>
      <c r="L1677" s="52" t="s">
        <v>213</v>
      </c>
      <c r="M1677" s="53" t="s">
        <v>213</v>
      </c>
    </row>
    <row r="1678" spans="1:13" x14ac:dyDescent="0.3">
      <c r="A1678" s="37">
        <v>27</v>
      </c>
      <c r="B1678" s="38" t="s">
        <v>1128</v>
      </c>
      <c r="C1678" s="51">
        <v>7896261020184</v>
      </c>
      <c r="D1678" s="40" t="s">
        <v>70</v>
      </c>
      <c r="E1678" s="40"/>
      <c r="F1678" s="40">
        <v>349</v>
      </c>
      <c r="G1678" s="38"/>
      <c r="H1678" s="38" t="s">
        <v>1129</v>
      </c>
      <c r="I1678" s="38" t="s">
        <v>311</v>
      </c>
      <c r="J1678" s="38" t="s">
        <v>947</v>
      </c>
      <c r="K1678" s="38" t="s">
        <v>1130</v>
      </c>
      <c r="L1678" s="52" t="s">
        <v>213</v>
      </c>
      <c r="M1678" s="53" t="s">
        <v>213</v>
      </c>
    </row>
    <row r="1679" spans="1:13" x14ac:dyDescent="0.3">
      <c r="A1679" s="37">
        <v>27</v>
      </c>
      <c r="B1679" s="38" t="s">
        <v>1131</v>
      </c>
      <c r="C1679" s="51">
        <v>7896261020269</v>
      </c>
      <c r="D1679" s="40" t="s">
        <v>70</v>
      </c>
      <c r="E1679" s="40"/>
      <c r="F1679" s="40">
        <v>438</v>
      </c>
      <c r="G1679" s="38"/>
      <c r="H1679" s="38" t="s">
        <v>1132</v>
      </c>
      <c r="I1679" s="38" t="s">
        <v>311</v>
      </c>
      <c r="J1679" s="38" t="s">
        <v>1133</v>
      </c>
      <c r="K1679" s="38" t="s">
        <v>1134</v>
      </c>
      <c r="L1679" s="52" t="s">
        <v>213</v>
      </c>
      <c r="M1679" s="53" t="s">
        <v>213</v>
      </c>
    </row>
    <row r="1680" spans="1:13" x14ac:dyDescent="0.3">
      <c r="A1680" s="37">
        <v>27</v>
      </c>
      <c r="B1680" s="38" t="s">
        <v>1135</v>
      </c>
      <c r="C1680" s="51">
        <v>7896261020276</v>
      </c>
      <c r="D1680" s="40" t="s">
        <v>70</v>
      </c>
      <c r="E1680" s="40"/>
      <c r="F1680" s="40">
        <v>438</v>
      </c>
      <c r="G1680" s="38"/>
      <c r="H1680" s="38" t="s">
        <v>1132</v>
      </c>
      <c r="I1680" s="38" t="s">
        <v>311</v>
      </c>
      <c r="J1680" s="38" t="s">
        <v>1133</v>
      </c>
      <c r="K1680" s="38" t="s">
        <v>1134</v>
      </c>
      <c r="L1680" s="52" t="s">
        <v>213</v>
      </c>
      <c r="M1680" s="53" t="s">
        <v>213</v>
      </c>
    </row>
    <row r="1681" spans="1:13" x14ac:dyDescent="0.3">
      <c r="A1681" s="37">
        <v>27</v>
      </c>
      <c r="B1681" s="38" t="s">
        <v>1136</v>
      </c>
      <c r="C1681" s="51">
        <v>7896261020283</v>
      </c>
      <c r="D1681" s="40" t="s">
        <v>70</v>
      </c>
      <c r="E1681" s="40"/>
      <c r="F1681" s="40">
        <v>438</v>
      </c>
      <c r="G1681" s="38"/>
      <c r="H1681" s="38" t="s">
        <v>1132</v>
      </c>
      <c r="I1681" s="38" t="s">
        <v>311</v>
      </c>
      <c r="J1681" s="38" t="s">
        <v>1133</v>
      </c>
      <c r="K1681" s="38" t="s">
        <v>1134</v>
      </c>
      <c r="L1681" s="52" t="s">
        <v>213</v>
      </c>
      <c r="M1681" s="53" t="s">
        <v>213</v>
      </c>
    </row>
    <row r="1682" spans="1:13" x14ac:dyDescent="0.3">
      <c r="A1682" s="37">
        <v>27</v>
      </c>
      <c r="B1682" s="38" t="s">
        <v>1137</v>
      </c>
      <c r="C1682" s="51">
        <v>7896261020306</v>
      </c>
      <c r="D1682" s="40" t="s">
        <v>70</v>
      </c>
      <c r="E1682" s="40"/>
      <c r="F1682" s="40">
        <v>438</v>
      </c>
      <c r="G1682" s="38"/>
      <c r="H1682" s="38" t="s">
        <v>1132</v>
      </c>
      <c r="I1682" s="38" t="s">
        <v>311</v>
      </c>
      <c r="J1682" s="38" t="s">
        <v>1093</v>
      </c>
      <c r="K1682" s="38" t="s">
        <v>1134</v>
      </c>
      <c r="L1682" s="52" t="s">
        <v>213</v>
      </c>
      <c r="M1682" s="53" t="s">
        <v>213</v>
      </c>
    </row>
    <row r="1683" spans="1:13" x14ac:dyDescent="0.3">
      <c r="A1683" s="37">
        <v>27</v>
      </c>
      <c r="B1683" s="38" t="s">
        <v>1138</v>
      </c>
      <c r="C1683" s="51">
        <v>7896261020313</v>
      </c>
      <c r="D1683" s="40" t="s">
        <v>70</v>
      </c>
      <c r="E1683" s="40"/>
      <c r="F1683" s="40">
        <v>438</v>
      </c>
      <c r="G1683" s="38"/>
      <c r="H1683" s="38" t="s">
        <v>1132</v>
      </c>
      <c r="I1683" s="38" t="s">
        <v>311</v>
      </c>
      <c r="J1683" s="38" t="s">
        <v>1093</v>
      </c>
      <c r="K1683" s="38" t="s">
        <v>1134</v>
      </c>
      <c r="L1683" s="52" t="s">
        <v>213</v>
      </c>
      <c r="M1683" s="53" t="s">
        <v>213</v>
      </c>
    </row>
    <row r="1684" spans="1:13" x14ac:dyDescent="0.3">
      <c r="A1684" s="37">
        <v>27</v>
      </c>
      <c r="B1684" s="38" t="s">
        <v>1139</v>
      </c>
      <c r="C1684" s="51">
        <v>7896261021600</v>
      </c>
      <c r="D1684" s="40" t="s">
        <v>70</v>
      </c>
      <c r="E1684" s="40"/>
      <c r="F1684" s="40">
        <v>449</v>
      </c>
      <c r="G1684" s="38"/>
      <c r="H1684" s="38" t="s">
        <v>1140</v>
      </c>
      <c r="I1684" s="38" t="s">
        <v>424</v>
      </c>
      <c r="J1684" s="38" t="s">
        <v>966</v>
      </c>
      <c r="K1684" s="56">
        <v>0.6431</v>
      </c>
      <c r="L1684" s="52" t="s">
        <v>213</v>
      </c>
      <c r="M1684" s="53" t="s">
        <v>213</v>
      </c>
    </row>
    <row r="1685" spans="1:13" x14ac:dyDescent="0.3">
      <c r="A1685" s="37">
        <v>27</v>
      </c>
      <c r="B1685" s="38" t="s">
        <v>1139</v>
      </c>
      <c r="C1685" s="51">
        <v>7896261021600</v>
      </c>
      <c r="D1685" s="40" t="s">
        <v>70</v>
      </c>
      <c r="E1685" s="40"/>
      <c r="F1685" s="40">
        <v>450</v>
      </c>
      <c r="G1685" s="38"/>
      <c r="H1685" s="38" t="s">
        <v>1141</v>
      </c>
      <c r="I1685" s="38" t="s">
        <v>311</v>
      </c>
      <c r="J1685" s="38" t="s">
        <v>966</v>
      </c>
      <c r="K1685" s="38" t="s">
        <v>1142</v>
      </c>
      <c r="L1685" s="52" t="s">
        <v>213</v>
      </c>
      <c r="M1685" s="53" t="s">
        <v>213</v>
      </c>
    </row>
    <row r="1686" spans="1:13" x14ac:dyDescent="0.3">
      <c r="A1686" s="37">
        <v>27</v>
      </c>
      <c r="B1686" s="38" t="s">
        <v>1143</v>
      </c>
      <c r="C1686" s="51">
        <v>7896548140581</v>
      </c>
      <c r="D1686" s="40" t="s">
        <v>70</v>
      </c>
      <c r="E1686" s="40"/>
      <c r="F1686" s="40">
        <v>402</v>
      </c>
      <c r="G1686" s="38"/>
      <c r="H1686" s="38" t="s">
        <v>1144</v>
      </c>
      <c r="I1686" s="38" t="s">
        <v>311</v>
      </c>
      <c r="J1686" s="38" t="s">
        <v>966</v>
      </c>
      <c r="K1686" s="38" t="s">
        <v>1145</v>
      </c>
      <c r="L1686" s="52" t="s">
        <v>213</v>
      </c>
      <c r="M1686" s="53" t="s">
        <v>213</v>
      </c>
    </row>
    <row r="1687" spans="1:13" x14ac:dyDescent="0.3">
      <c r="A1687" s="37">
        <v>27</v>
      </c>
      <c r="B1687" s="38" t="s">
        <v>1146</v>
      </c>
      <c r="C1687" s="51">
        <v>7896548197608</v>
      </c>
      <c r="D1687" s="40" t="s">
        <v>70</v>
      </c>
      <c r="E1687" s="40"/>
      <c r="F1687" s="40">
        <v>296</v>
      </c>
      <c r="G1687" s="38"/>
      <c r="H1687" s="38" t="s">
        <v>1147</v>
      </c>
      <c r="I1687" s="38" t="s">
        <v>424</v>
      </c>
      <c r="J1687" s="38" t="s">
        <v>966</v>
      </c>
      <c r="K1687" s="56">
        <v>0.55000000000000004</v>
      </c>
      <c r="L1687" s="52" t="s">
        <v>213</v>
      </c>
      <c r="M1687" s="53" t="s">
        <v>213</v>
      </c>
    </row>
    <row r="1688" spans="1:13" x14ac:dyDescent="0.3">
      <c r="A1688" s="37">
        <v>27</v>
      </c>
      <c r="B1688" s="38" t="s">
        <v>1148</v>
      </c>
      <c r="C1688" s="51">
        <v>7896548197608</v>
      </c>
      <c r="D1688" s="40" t="s">
        <v>70</v>
      </c>
      <c r="E1688" s="40"/>
      <c r="F1688" s="40">
        <v>296</v>
      </c>
      <c r="G1688" s="38"/>
      <c r="H1688" s="38" t="s">
        <v>1147</v>
      </c>
      <c r="I1688" s="38" t="s">
        <v>424</v>
      </c>
      <c r="J1688" s="38" t="s">
        <v>966</v>
      </c>
      <c r="K1688" s="56">
        <v>0.55000000000000004</v>
      </c>
      <c r="L1688" s="52" t="s">
        <v>213</v>
      </c>
      <c r="M1688" s="53" t="s">
        <v>213</v>
      </c>
    </row>
    <row r="1689" spans="1:13" x14ac:dyDescent="0.3">
      <c r="A1689" s="37">
        <v>27</v>
      </c>
      <c r="B1689" s="38" t="s">
        <v>1149</v>
      </c>
      <c r="C1689" s="51">
        <v>7896548198353</v>
      </c>
      <c r="D1689" s="40" t="s">
        <v>70</v>
      </c>
      <c r="E1689" s="40"/>
      <c r="F1689" s="40">
        <v>296</v>
      </c>
      <c r="G1689" s="38"/>
      <c r="H1689" s="38" t="s">
        <v>1147</v>
      </c>
      <c r="I1689" s="38" t="s">
        <v>311</v>
      </c>
      <c r="J1689" s="38" t="s">
        <v>966</v>
      </c>
      <c r="K1689" s="38" t="s">
        <v>1150</v>
      </c>
      <c r="L1689" s="52" t="s">
        <v>213</v>
      </c>
      <c r="M1689" s="53" t="s">
        <v>213</v>
      </c>
    </row>
    <row r="1690" spans="1:13" x14ac:dyDescent="0.3">
      <c r="A1690" s="37">
        <v>27</v>
      </c>
      <c r="B1690" s="38" t="s">
        <v>1151</v>
      </c>
      <c r="C1690" s="51">
        <v>7896548198636</v>
      </c>
      <c r="D1690" s="40" t="s">
        <v>70</v>
      </c>
      <c r="E1690" s="40"/>
      <c r="F1690" s="40">
        <v>296</v>
      </c>
      <c r="G1690" s="38"/>
      <c r="H1690" s="38" t="s">
        <v>1147</v>
      </c>
      <c r="I1690" s="38" t="s">
        <v>311</v>
      </c>
      <c r="J1690" s="38" t="s">
        <v>966</v>
      </c>
      <c r="K1690" s="38" t="s">
        <v>1152</v>
      </c>
      <c r="L1690" s="52" t="s">
        <v>213</v>
      </c>
      <c r="M1690" s="53" t="s">
        <v>213</v>
      </c>
    </row>
    <row r="1691" spans="1:13" x14ac:dyDescent="0.3">
      <c r="A1691" s="37">
        <v>27</v>
      </c>
      <c r="B1691" s="38" t="s">
        <v>1153</v>
      </c>
      <c r="C1691" s="51">
        <v>7896548198926</v>
      </c>
      <c r="D1691" s="40" t="s">
        <v>70</v>
      </c>
      <c r="E1691" s="40"/>
      <c r="F1691" s="40">
        <v>296</v>
      </c>
      <c r="G1691" s="38"/>
      <c r="H1691" s="38" t="s">
        <v>1147</v>
      </c>
      <c r="I1691" s="38" t="s">
        <v>424</v>
      </c>
      <c r="J1691" s="38" t="s">
        <v>966</v>
      </c>
      <c r="K1691" s="56">
        <v>0.4</v>
      </c>
      <c r="L1691" s="52" t="s">
        <v>213</v>
      </c>
      <c r="M1691" s="53" t="s">
        <v>213</v>
      </c>
    </row>
    <row r="1692" spans="1:13" x14ac:dyDescent="0.3">
      <c r="A1692" s="37">
        <v>27</v>
      </c>
      <c r="B1692" s="38" t="s">
        <v>1154</v>
      </c>
      <c r="C1692" s="51">
        <v>7896548199572</v>
      </c>
      <c r="D1692" s="40" t="s">
        <v>70</v>
      </c>
      <c r="E1692" s="40"/>
      <c r="F1692" s="40">
        <v>440</v>
      </c>
      <c r="G1692" s="38"/>
      <c r="H1692" s="38" t="s">
        <v>1155</v>
      </c>
      <c r="I1692" s="38" t="s">
        <v>424</v>
      </c>
      <c r="J1692" s="38" t="s">
        <v>1093</v>
      </c>
      <c r="K1692" s="56">
        <v>0.25</v>
      </c>
      <c r="L1692" s="52" t="s">
        <v>213</v>
      </c>
      <c r="M1692" s="53" t="s">
        <v>213</v>
      </c>
    </row>
    <row r="1693" spans="1:13" x14ac:dyDescent="0.3">
      <c r="A1693" s="37">
        <v>27</v>
      </c>
      <c r="B1693" s="38" t="s">
        <v>1154</v>
      </c>
      <c r="C1693" s="51">
        <v>7896548199572</v>
      </c>
      <c r="D1693" s="40" t="s">
        <v>70</v>
      </c>
      <c r="E1693" s="40"/>
      <c r="F1693" s="40">
        <v>443</v>
      </c>
      <c r="G1693" s="38"/>
      <c r="H1693" s="38" t="s">
        <v>1156</v>
      </c>
      <c r="I1693" s="38" t="s">
        <v>424</v>
      </c>
      <c r="J1693" s="38" t="s">
        <v>1093</v>
      </c>
      <c r="K1693" s="56">
        <v>0.25</v>
      </c>
      <c r="L1693" s="52" t="s">
        <v>213</v>
      </c>
      <c r="M1693" s="53" t="s">
        <v>213</v>
      </c>
    </row>
    <row r="1694" spans="1:13" x14ac:dyDescent="0.3">
      <c r="A1694" s="37">
        <v>27</v>
      </c>
      <c r="B1694" s="38" t="s">
        <v>1154</v>
      </c>
      <c r="C1694" s="51">
        <v>7896548199572</v>
      </c>
      <c r="D1694" s="40" t="s">
        <v>70</v>
      </c>
      <c r="E1694" s="40"/>
      <c r="F1694" s="40">
        <v>448</v>
      </c>
      <c r="G1694" s="38"/>
      <c r="H1694" s="38" t="s">
        <v>1157</v>
      </c>
      <c r="I1694" s="38" t="s">
        <v>424</v>
      </c>
      <c r="J1694" s="38" t="s">
        <v>1093</v>
      </c>
      <c r="K1694" s="56">
        <v>0.16</v>
      </c>
      <c r="L1694" s="52" t="s">
        <v>213</v>
      </c>
      <c r="M1694" s="53" t="s">
        <v>213</v>
      </c>
    </row>
    <row r="1695" spans="1:13" x14ac:dyDescent="0.3">
      <c r="A1695" s="37">
        <v>27</v>
      </c>
      <c r="B1695" s="38" t="s">
        <v>1158</v>
      </c>
      <c r="C1695" s="51">
        <v>7896548199855</v>
      </c>
      <c r="D1695" s="40" t="s">
        <v>70</v>
      </c>
      <c r="E1695" s="40"/>
      <c r="F1695" s="40">
        <v>297</v>
      </c>
      <c r="G1695" s="38"/>
      <c r="H1695" s="38" t="s">
        <v>1159</v>
      </c>
      <c r="I1695" s="38" t="s">
        <v>424</v>
      </c>
      <c r="J1695" s="38" t="s">
        <v>947</v>
      </c>
      <c r="K1695" s="56">
        <v>0.2</v>
      </c>
      <c r="L1695" s="52" t="s">
        <v>213</v>
      </c>
      <c r="M1695" s="53" t="s">
        <v>213</v>
      </c>
    </row>
    <row r="1696" spans="1:13" x14ac:dyDescent="0.3">
      <c r="A1696" s="37">
        <v>27</v>
      </c>
      <c r="B1696" s="38" t="s">
        <v>1160</v>
      </c>
      <c r="C1696" s="51">
        <v>7897595620729</v>
      </c>
      <c r="D1696" s="40" t="s">
        <v>70</v>
      </c>
      <c r="E1696" s="40"/>
      <c r="F1696" s="40">
        <v>278</v>
      </c>
      <c r="G1696" s="38"/>
      <c r="H1696" s="38" t="s">
        <v>1161</v>
      </c>
      <c r="I1696" s="38" t="s">
        <v>311</v>
      </c>
      <c r="J1696" s="38" t="s">
        <v>966</v>
      </c>
      <c r="K1696" s="38" t="s">
        <v>1162</v>
      </c>
      <c r="L1696" s="52" t="s">
        <v>213</v>
      </c>
      <c r="M1696" s="53" t="s">
        <v>213</v>
      </c>
    </row>
    <row r="1697" spans="1:13" x14ac:dyDescent="0.3">
      <c r="A1697" s="37">
        <v>27</v>
      </c>
      <c r="B1697" s="38" t="s">
        <v>1163</v>
      </c>
      <c r="C1697" s="51">
        <v>7897595620750</v>
      </c>
      <c r="D1697" s="40" t="s">
        <v>70</v>
      </c>
      <c r="E1697" s="40"/>
      <c r="F1697" s="40">
        <v>278</v>
      </c>
      <c r="G1697" s="38"/>
      <c r="H1697" s="38" t="s">
        <v>1161</v>
      </c>
      <c r="I1697" s="38" t="s">
        <v>311</v>
      </c>
      <c r="J1697" s="38" t="s">
        <v>966</v>
      </c>
      <c r="K1697" s="38" t="s">
        <v>1162</v>
      </c>
      <c r="L1697" s="52" t="s">
        <v>213</v>
      </c>
      <c r="M1697" s="53" t="s">
        <v>213</v>
      </c>
    </row>
    <row r="1698" spans="1:13" x14ac:dyDescent="0.3">
      <c r="A1698" s="37">
        <v>27</v>
      </c>
      <c r="B1698" s="38" t="s">
        <v>1160</v>
      </c>
      <c r="C1698" s="51">
        <v>7897595632302</v>
      </c>
      <c r="D1698" s="40" t="s">
        <v>70</v>
      </c>
      <c r="E1698" s="40"/>
      <c r="F1698" s="40">
        <v>278</v>
      </c>
      <c r="G1698" s="38"/>
      <c r="H1698" s="38" t="s">
        <v>1161</v>
      </c>
      <c r="I1698" s="38" t="s">
        <v>311</v>
      </c>
      <c r="J1698" s="38" t="s">
        <v>966</v>
      </c>
      <c r="K1698" s="38" t="s">
        <v>1162</v>
      </c>
      <c r="L1698" s="52" t="s">
        <v>213</v>
      </c>
      <c r="M1698" s="53" t="s">
        <v>213</v>
      </c>
    </row>
    <row r="1699" spans="1:13" x14ac:dyDescent="0.3">
      <c r="A1699" s="37">
        <v>27</v>
      </c>
      <c r="B1699" s="38" t="s">
        <v>1163</v>
      </c>
      <c r="C1699" s="51">
        <v>7897595632319</v>
      </c>
      <c r="D1699" s="40" t="s">
        <v>70</v>
      </c>
      <c r="E1699" s="40"/>
      <c r="F1699" s="40">
        <v>278</v>
      </c>
      <c r="G1699" s="38"/>
      <c r="H1699" s="38" t="s">
        <v>1161</v>
      </c>
      <c r="I1699" s="38" t="s">
        <v>311</v>
      </c>
      <c r="J1699" s="38" t="s">
        <v>966</v>
      </c>
      <c r="K1699" s="38" t="s">
        <v>1162</v>
      </c>
      <c r="L1699" s="52" t="s">
        <v>213</v>
      </c>
      <c r="M1699" s="53" t="s">
        <v>213</v>
      </c>
    </row>
    <row r="1700" spans="1:13" x14ac:dyDescent="0.3">
      <c r="A1700" s="37">
        <v>27</v>
      </c>
      <c r="B1700" s="38" t="s">
        <v>1164</v>
      </c>
      <c r="C1700" s="51">
        <v>7897595635235</v>
      </c>
      <c r="D1700" s="40" t="s">
        <v>70</v>
      </c>
      <c r="E1700" s="40"/>
      <c r="F1700" s="40">
        <v>447</v>
      </c>
      <c r="G1700" s="38"/>
      <c r="H1700" s="38" t="s">
        <v>1165</v>
      </c>
      <c r="I1700" s="38" t="s">
        <v>424</v>
      </c>
      <c r="J1700" s="38" t="s">
        <v>1166</v>
      </c>
      <c r="K1700" s="38" t="s">
        <v>1167</v>
      </c>
      <c r="L1700" s="52" t="s">
        <v>213</v>
      </c>
      <c r="M1700" s="53" t="s">
        <v>213</v>
      </c>
    </row>
    <row r="1701" spans="1:13" x14ac:dyDescent="0.3">
      <c r="A1701" s="37">
        <v>90</v>
      </c>
      <c r="B1701" s="38" t="s">
        <v>1168</v>
      </c>
      <c r="C1701" s="51">
        <v>7891045006217</v>
      </c>
      <c r="D1701" s="40" t="s">
        <v>1169</v>
      </c>
      <c r="E1701" s="40"/>
      <c r="F1701" s="40">
        <v>462</v>
      </c>
      <c r="G1701" s="38"/>
      <c r="H1701" s="38" t="s">
        <v>1170</v>
      </c>
      <c r="I1701" s="38" t="s">
        <v>424</v>
      </c>
      <c r="J1701" s="38" t="s">
        <v>947</v>
      </c>
      <c r="K1701" s="56">
        <v>0.41</v>
      </c>
      <c r="L1701" s="52" t="s">
        <v>213</v>
      </c>
      <c r="M1701" s="53" t="s">
        <v>213</v>
      </c>
    </row>
    <row r="1702" spans="1:13" x14ac:dyDescent="0.3">
      <c r="A1702" s="37">
        <v>90</v>
      </c>
      <c r="B1702" s="38" t="s">
        <v>1171</v>
      </c>
      <c r="C1702" s="51">
        <v>7891045006217</v>
      </c>
      <c r="D1702" s="40" t="s">
        <v>1169</v>
      </c>
      <c r="E1702" s="40"/>
      <c r="F1702" s="40">
        <v>462</v>
      </c>
      <c r="G1702" s="38"/>
      <c r="H1702" s="38" t="s">
        <v>1170</v>
      </c>
      <c r="I1702" s="38" t="s">
        <v>424</v>
      </c>
      <c r="J1702" s="38" t="s">
        <v>947</v>
      </c>
      <c r="K1702" s="56">
        <v>0.41</v>
      </c>
      <c r="L1702" s="52" t="s">
        <v>213</v>
      </c>
      <c r="M1702" s="53" t="s">
        <v>213</v>
      </c>
    </row>
    <row r="1703" spans="1:13" x14ac:dyDescent="0.3">
      <c r="A1703" s="37">
        <v>90</v>
      </c>
      <c r="B1703" s="38" t="s">
        <v>1172</v>
      </c>
      <c r="C1703" s="51">
        <v>7891045006231</v>
      </c>
      <c r="D1703" s="40" t="s">
        <v>1169</v>
      </c>
      <c r="E1703" s="40"/>
      <c r="F1703" s="40">
        <v>462</v>
      </c>
      <c r="G1703" s="38"/>
      <c r="H1703" s="38" t="s">
        <v>1170</v>
      </c>
      <c r="I1703" s="38" t="s">
        <v>424</v>
      </c>
      <c r="J1703" s="38" t="s">
        <v>947</v>
      </c>
      <c r="K1703" s="56">
        <v>0.41</v>
      </c>
      <c r="L1703" s="52" t="s">
        <v>213</v>
      </c>
      <c r="M1703" s="53" t="s">
        <v>213</v>
      </c>
    </row>
    <row r="1704" spans="1:13" x14ac:dyDescent="0.3">
      <c r="A1704" s="37">
        <v>90</v>
      </c>
      <c r="B1704" s="38" t="s">
        <v>1173</v>
      </c>
      <c r="C1704" s="51">
        <v>7891045006231</v>
      </c>
      <c r="D1704" s="40" t="s">
        <v>1169</v>
      </c>
      <c r="E1704" s="40"/>
      <c r="F1704" s="40">
        <v>462</v>
      </c>
      <c r="G1704" s="38"/>
      <c r="H1704" s="38" t="s">
        <v>1170</v>
      </c>
      <c r="I1704" s="38" t="s">
        <v>424</v>
      </c>
      <c r="J1704" s="38" t="s">
        <v>947</v>
      </c>
      <c r="K1704" s="56">
        <v>0.41</v>
      </c>
      <c r="L1704" s="52" t="s">
        <v>213</v>
      </c>
      <c r="M1704" s="53" t="s">
        <v>213</v>
      </c>
    </row>
    <row r="1705" spans="1:13" x14ac:dyDescent="0.3">
      <c r="A1705" s="37">
        <v>90</v>
      </c>
      <c r="B1705" s="38" t="s">
        <v>1174</v>
      </c>
      <c r="C1705" s="51">
        <v>7891268100501</v>
      </c>
      <c r="D1705" s="40" t="s">
        <v>1169</v>
      </c>
      <c r="E1705" s="40"/>
      <c r="F1705" s="40">
        <v>126</v>
      </c>
      <c r="G1705" s="38"/>
      <c r="H1705" s="38" t="s">
        <v>1175</v>
      </c>
      <c r="I1705" s="38" t="s">
        <v>424</v>
      </c>
      <c r="J1705" s="38" t="s">
        <v>947</v>
      </c>
      <c r="K1705" s="38" t="s">
        <v>1176</v>
      </c>
      <c r="L1705" s="52" t="s">
        <v>213</v>
      </c>
      <c r="M1705" s="53" t="s">
        <v>213</v>
      </c>
    </row>
    <row r="1706" spans="1:13" x14ac:dyDescent="0.3">
      <c r="A1706" s="37">
        <v>90</v>
      </c>
      <c r="B1706" s="38" t="s">
        <v>1177</v>
      </c>
      <c r="C1706" s="51">
        <v>7891268103342</v>
      </c>
      <c r="D1706" s="40" t="s">
        <v>1169</v>
      </c>
      <c r="E1706" s="40"/>
      <c r="F1706" s="40">
        <v>930</v>
      </c>
      <c r="G1706" s="38"/>
      <c r="H1706" s="38" t="s">
        <v>1178</v>
      </c>
      <c r="I1706" s="38" t="s">
        <v>1179</v>
      </c>
      <c r="J1706" s="38" t="s">
        <v>1180</v>
      </c>
      <c r="K1706" s="38" t="s">
        <v>1181</v>
      </c>
      <c r="L1706" s="52" t="s">
        <v>213</v>
      </c>
      <c r="M1706" s="53" t="s">
        <v>213</v>
      </c>
    </row>
    <row r="1707" spans="1:13" x14ac:dyDescent="0.3">
      <c r="A1707" s="37">
        <v>90</v>
      </c>
      <c r="B1707" s="38" t="s">
        <v>1177</v>
      </c>
      <c r="C1707" s="51">
        <v>7891268103342</v>
      </c>
      <c r="D1707" s="40" t="s">
        <v>1169</v>
      </c>
      <c r="E1707" s="40"/>
      <c r="F1707" s="40">
        <v>998</v>
      </c>
      <c r="G1707" s="38"/>
      <c r="H1707" s="38" t="s">
        <v>1182</v>
      </c>
      <c r="I1707" s="38" t="s">
        <v>1179</v>
      </c>
      <c r="J1707" s="38" t="s">
        <v>1180</v>
      </c>
      <c r="K1707" s="38" t="s">
        <v>1183</v>
      </c>
      <c r="L1707" s="52" t="s">
        <v>213</v>
      </c>
      <c r="M1707" s="53" t="s">
        <v>213</v>
      </c>
    </row>
    <row r="1708" spans="1:13" x14ac:dyDescent="0.3">
      <c r="A1708" s="37">
        <v>90</v>
      </c>
      <c r="B1708" s="38" t="s">
        <v>1184</v>
      </c>
      <c r="C1708" s="51">
        <v>7891268118087</v>
      </c>
      <c r="D1708" s="40" t="s">
        <v>1169</v>
      </c>
      <c r="E1708" s="40"/>
      <c r="F1708" s="40">
        <v>423</v>
      </c>
      <c r="G1708" s="38"/>
      <c r="H1708" s="38" t="s">
        <v>1185</v>
      </c>
      <c r="I1708" s="38" t="s">
        <v>1186</v>
      </c>
      <c r="J1708" s="38" t="s">
        <v>1014</v>
      </c>
      <c r="K1708" s="38" t="s">
        <v>1187</v>
      </c>
      <c r="L1708" s="52" t="s">
        <v>213</v>
      </c>
      <c r="M1708" s="53" t="s">
        <v>213</v>
      </c>
    </row>
    <row r="1709" spans="1:13" x14ac:dyDescent="0.3">
      <c r="A1709" s="37">
        <v>90</v>
      </c>
      <c r="B1709" s="38" t="s">
        <v>1188</v>
      </c>
      <c r="C1709" s="51">
        <v>7891268118087</v>
      </c>
      <c r="D1709" s="40" t="s">
        <v>1169</v>
      </c>
      <c r="E1709" s="40"/>
      <c r="F1709" s="40">
        <v>423</v>
      </c>
      <c r="G1709" s="38"/>
      <c r="H1709" s="38" t="s">
        <v>1185</v>
      </c>
      <c r="I1709" s="38" t="s">
        <v>1186</v>
      </c>
      <c r="J1709" s="38" t="s">
        <v>1014</v>
      </c>
      <c r="K1709" s="38" t="s">
        <v>1187</v>
      </c>
      <c r="L1709" s="52" t="s">
        <v>213</v>
      </c>
      <c r="M1709" s="53" t="s">
        <v>213</v>
      </c>
    </row>
    <row r="1710" spans="1:13" x14ac:dyDescent="0.3">
      <c r="A1710" s="37">
        <v>90</v>
      </c>
      <c r="B1710" s="38" t="s">
        <v>1184</v>
      </c>
      <c r="C1710" s="51">
        <v>7891268118087</v>
      </c>
      <c r="D1710" s="40" t="s">
        <v>1169</v>
      </c>
      <c r="E1710" s="40"/>
      <c r="F1710" s="40">
        <v>929</v>
      </c>
      <c r="G1710" s="38"/>
      <c r="H1710" s="38" t="s">
        <v>1189</v>
      </c>
      <c r="I1710" s="38" t="s">
        <v>1186</v>
      </c>
      <c r="J1710" s="38" t="s">
        <v>1014</v>
      </c>
      <c r="K1710" s="38" t="s">
        <v>1187</v>
      </c>
      <c r="L1710" s="52" t="s">
        <v>213</v>
      </c>
      <c r="M1710" s="53" t="s">
        <v>213</v>
      </c>
    </row>
    <row r="1711" spans="1:13" x14ac:dyDescent="0.3">
      <c r="A1711" s="37">
        <v>90</v>
      </c>
      <c r="B1711" s="38" t="s">
        <v>1188</v>
      </c>
      <c r="C1711" s="51">
        <v>7891268118087</v>
      </c>
      <c r="D1711" s="40" t="s">
        <v>1169</v>
      </c>
      <c r="E1711" s="40"/>
      <c r="F1711" s="40">
        <v>929</v>
      </c>
      <c r="G1711" s="38"/>
      <c r="H1711" s="38" t="s">
        <v>1189</v>
      </c>
      <c r="I1711" s="38" t="s">
        <v>1186</v>
      </c>
      <c r="J1711" s="38" t="s">
        <v>1014</v>
      </c>
      <c r="K1711" s="38" t="s">
        <v>1187</v>
      </c>
      <c r="L1711" s="52" t="s">
        <v>213</v>
      </c>
      <c r="M1711" s="53" t="s">
        <v>213</v>
      </c>
    </row>
    <row r="1712" spans="1:13" x14ac:dyDescent="0.3">
      <c r="A1712" s="37">
        <v>90</v>
      </c>
      <c r="B1712" s="38" t="s">
        <v>1190</v>
      </c>
      <c r="C1712" s="51">
        <v>7891268118100</v>
      </c>
      <c r="D1712" s="40" t="s">
        <v>1169</v>
      </c>
      <c r="E1712" s="40"/>
      <c r="F1712" s="40">
        <v>423</v>
      </c>
      <c r="G1712" s="38"/>
      <c r="H1712" s="38" t="s">
        <v>1185</v>
      </c>
      <c r="I1712" s="38" t="s">
        <v>1186</v>
      </c>
      <c r="J1712" s="38" t="s">
        <v>1014</v>
      </c>
      <c r="K1712" s="38" t="s">
        <v>1187</v>
      </c>
      <c r="L1712" s="52" t="s">
        <v>213</v>
      </c>
      <c r="M1712" s="53" t="s">
        <v>213</v>
      </c>
    </row>
    <row r="1713" spans="1:13" x14ac:dyDescent="0.3">
      <c r="A1713" s="37">
        <v>90</v>
      </c>
      <c r="B1713" s="38" t="s">
        <v>1191</v>
      </c>
      <c r="C1713" s="51">
        <v>7891268118100</v>
      </c>
      <c r="D1713" s="40" t="s">
        <v>1169</v>
      </c>
      <c r="E1713" s="40"/>
      <c r="F1713" s="40">
        <v>423</v>
      </c>
      <c r="G1713" s="38"/>
      <c r="H1713" s="38" t="s">
        <v>1185</v>
      </c>
      <c r="I1713" s="38" t="s">
        <v>1186</v>
      </c>
      <c r="J1713" s="38" t="s">
        <v>1014</v>
      </c>
      <c r="K1713" s="38" t="s">
        <v>1187</v>
      </c>
      <c r="L1713" s="52" t="s">
        <v>213</v>
      </c>
      <c r="M1713" s="53" t="s">
        <v>213</v>
      </c>
    </row>
    <row r="1714" spans="1:13" x14ac:dyDescent="0.3">
      <c r="A1714" s="37">
        <v>90</v>
      </c>
      <c r="B1714" s="38" t="s">
        <v>1190</v>
      </c>
      <c r="C1714" s="51">
        <v>7891268118100</v>
      </c>
      <c r="D1714" s="40" t="s">
        <v>1169</v>
      </c>
      <c r="E1714" s="40"/>
      <c r="F1714" s="40">
        <v>430</v>
      </c>
      <c r="G1714" s="38"/>
      <c r="H1714" s="38" t="s">
        <v>1192</v>
      </c>
      <c r="I1714" s="38" t="s">
        <v>1193</v>
      </c>
      <c r="J1714" s="38" t="s">
        <v>1166</v>
      </c>
      <c r="K1714" s="56">
        <v>0.43</v>
      </c>
      <c r="L1714" s="52" t="s">
        <v>213</v>
      </c>
      <c r="M1714" s="53" t="s">
        <v>213</v>
      </c>
    </row>
    <row r="1715" spans="1:13" x14ac:dyDescent="0.3">
      <c r="A1715" s="37">
        <v>90</v>
      </c>
      <c r="B1715" s="38" t="s">
        <v>1191</v>
      </c>
      <c r="C1715" s="51">
        <v>7891268118100</v>
      </c>
      <c r="D1715" s="40" t="s">
        <v>1169</v>
      </c>
      <c r="E1715" s="40"/>
      <c r="F1715" s="40">
        <v>430</v>
      </c>
      <c r="G1715" s="38"/>
      <c r="H1715" s="38" t="s">
        <v>1192</v>
      </c>
      <c r="I1715" s="38" t="s">
        <v>1193</v>
      </c>
      <c r="J1715" s="38" t="s">
        <v>1166</v>
      </c>
      <c r="K1715" s="56">
        <v>0.43</v>
      </c>
      <c r="L1715" s="52" t="s">
        <v>213</v>
      </c>
      <c r="M1715" s="53" t="s">
        <v>213</v>
      </c>
    </row>
    <row r="1716" spans="1:13" x14ac:dyDescent="0.3">
      <c r="A1716" s="37">
        <v>90</v>
      </c>
      <c r="B1716" s="38" t="s">
        <v>1190</v>
      </c>
      <c r="C1716" s="51">
        <v>7891268118100</v>
      </c>
      <c r="D1716" s="40" t="s">
        <v>1169</v>
      </c>
      <c r="E1716" s="40"/>
      <c r="F1716" s="40">
        <v>929</v>
      </c>
      <c r="G1716" s="38"/>
      <c r="H1716" s="38" t="s">
        <v>1189</v>
      </c>
      <c r="I1716" s="38" t="s">
        <v>1186</v>
      </c>
      <c r="J1716" s="38" t="s">
        <v>1014</v>
      </c>
      <c r="K1716" s="38" t="s">
        <v>1187</v>
      </c>
      <c r="L1716" s="52" t="s">
        <v>213</v>
      </c>
      <c r="M1716" s="53" t="s">
        <v>213</v>
      </c>
    </row>
    <row r="1717" spans="1:13" x14ac:dyDescent="0.3">
      <c r="A1717" s="37">
        <v>90</v>
      </c>
      <c r="B1717" s="38" t="s">
        <v>1191</v>
      </c>
      <c r="C1717" s="51">
        <v>7891268118100</v>
      </c>
      <c r="D1717" s="40" t="s">
        <v>1169</v>
      </c>
      <c r="E1717" s="40"/>
      <c r="F1717" s="40">
        <v>929</v>
      </c>
      <c r="G1717" s="38"/>
      <c r="H1717" s="38" t="s">
        <v>1189</v>
      </c>
      <c r="I1717" s="38" t="s">
        <v>1186</v>
      </c>
      <c r="J1717" s="38" t="s">
        <v>1014</v>
      </c>
      <c r="K1717" s="38" t="s">
        <v>1187</v>
      </c>
      <c r="L1717" s="52" t="s">
        <v>213</v>
      </c>
      <c r="M1717" s="53" t="s">
        <v>213</v>
      </c>
    </row>
    <row r="1718" spans="1:13" x14ac:dyDescent="0.3">
      <c r="A1718" s="37">
        <v>90</v>
      </c>
      <c r="B1718" s="38" t="s">
        <v>1194</v>
      </c>
      <c r="C1718" s="51">
        <v>7891268148725</v>
      </c>
      <c r="D1718" s="40" t="s">
        <v>1169</v>
      </c>
      <c r="E1718" s="40"/>
      <c r="F1718" s="40">
        <v>232</v>
      </c>
      <c r="G1718" s="38"/>
      <c r="H1718" s="38" t="s">
        <v>1195</v>
      </c>
      <c r="I1718" s="38" t="s">
        <v>424</v>
      </c>
      <c r="J1718" s="38" t="s">
        <v>947</v>
      </c>
      <c r="K1718" s="56">
        <v>0.28000000000000003</v>
      </c>
      <c r="L1718" s="52" t="s">
        <v>213</v>
      </c>
      <c r="M1718" s="53" t="s">
        <v>213</v>
      </c>
    </row>
    <row r="1719" spans="1:13" x14ac:dyDescent="0.3">
      <c r="A1719" s="37">
        <v>90</v>
      </c>
      <c r="B1719" s="38" t="s">
        <v>1196</v>
      </c>
      <c r="C1719" s="51">
        <v>7891268148725</v>
      </c>
      <c r="D1719" s="40" t="s">
        <v>1169</v>
      </c>
      <c r="E1719" s="40"/>
      <c r="F1719" s="40">
        <v>232</v>
      </c>
      <c r="G1719" s="38"/>
      <c r="H1719" s="38" t="s">
        <v>1195</v>
      </c>
      <c r="I1719" s="38" t="s">
        <v>424</v>
      </c>
      <c r="J1719" s="38" t="s">
        <v>947</v>
      </c>
      <c r="K1719" s="56">
        <v>0.28000000000000003</v>
      </c>
      <c r="L1719" s="52" t="s">
        <v>213</v>
      </c>
      <c r="M1719" s="53" t="s">
        <v>213</v>
      </c>
    </row>
    <row r="1720" spans="1:13" x14ac:dyDescent="0.3">
      <c r="A1720" s="37">
        <v>90</v>
      </c>
      <c r="B1720" s="38" t="s">
        <v>1197</v>
      </c>
      <c r="C1720" s="51">
        <v>7891268148725</v>
      </c>
      <c r="D1720" s="40" t="s">
        <v>1169</v>
      </c>
      <c r="E1720" s="40"/>
      <c r="F1720" s="40">
        <v>232</v>
      </c>
      <c r="G1720" s="38"/>
      <c r="H1720" s="38" t="s">
        <v>1195</v>
      </c>
      <c r="I1720" s="38" t="s">
        <v>424</v>
      </c>
      <c r="J1720" s="38" t="s">
        <v>947</v>
      </c>
      <c r="K1720" s="56">
        <v>0.28000000000000003</v>
      </c>
      <c r="L1720" s="52" t="s">
        <v>213</v>
      </c>
      <c r="M1720" s="53" t="s">
        <v>213</v>
      </c>
    </row>
    <row r="1721" spans="1:13" x14ac:dyDescent="0.3">
      <c r="A1721" s="37">
        <v>90</v>
      </c>
      <c r="B1721" s="38" t="s">
        <v>1198</v>
      </c>
      <c r="C1721" s="51">
        <v>7891268148756</v>
      </c>
      <c r="D1721" s="40" t="s">
        <v>1169</v>
      </c>
      <c r="E1721" s="40"/>
      <c r="F1721" s="40">
        <v>232</v>
      </c>
      <c r="G1721" s="38"/>
      <c r="H1721" s="38" t="s">
        <v>1195</v>
      </c>
      <c r="I1721" s="38" t="s">
        <v>424</v>
      </c>
      <c r="J1721" s="38" t="s">
        <v>947</v>
      </c>
      <c r="K1721" s="56">
        <v>0.38</v>
      </c>
      <c r="L1721" s="52" t="s">
        <v>213</v>
      </c>
      <c r="M1721" s="53" t="s">
        <v>213</v>
      </c>
    </row>
    <row r="1722" spans="1:13" x14ac:dyDescent="0.3">
      <c r="A1722" s="37">
        <v>90</v>
      </c>
      <c r="B1722" s="38" t="s">
        <v>1199</v>
      </c>
      <c r="C1722" s="51">
        <v>7891268148756</v>
      </c>
      <c r="D1722" s="40" t="s">
        <v>1169</v>
      </c>
      <c r="E1722" s="40"/>
      <c r="F1722" s="40">
        <v>232</v>
      </c>
      <c r="G1722" s="38"/>
      <c r="H1722" s="38" t="s">
        <v>1195</v>
      </c>
      <c r="I1722" s="38" t="s">
        <v>424</v>
      </c>
      <c r="J1722" s="38" t="s">
        <v>947</v>
      </c>
      <c r="K1722" s="56">
        <v>0.38</v>
      </c>
      <c r="L1722" s="52" t="s">
        <v>213</v>
      </c>
      <c r="M1722" s="53" t="s">
        <v>213</v>
      </c>
    </row>
    <row r="1723" spans="1:13" x14ac:dyDescent="0.3">
      <c r="A1723" s="37">
        <v>90</v>
      </c>
      <c r="B1723" s="38" t="s">
        <v>1200</v>
      </c>
      <c r="C1723" s="51">
        <v>7891268148756</v>
      </c>
      <c r="D1723" s="40" t="s">
        <v>1169</v>
      </c>
      <c r="E1723" s="40"/>
      <c r="F1723" s="40">
        <v>232</v>
      </c>
      <c r="G1723" s="38"/>
      <c r="H1723" s="38" t="s">
        <v>1195</v>
      </c>
      <c r="I1723" s="38" t="s">
        <v>424</v>
      </c>
      <c r="J1723" s="38" t="s">
        <v>947</v>
      </c>
      <c r="K1723" s="56">
        <v>0.38</v>
      </c>
      <c r="L1723" s="52" t="s">
        <v>213</v>
      </c>
      <c r="M1723" s="53" t="s">
        <v>213</v>
      </c>
    </row>
    <row r="1724" spans="1:13" x14ac:dyDescent="0.3">
      <c r="A1724" s="37">
        <v>90</v>
      </c>
      <c r="B1724" s="38" t="s">
        <v>1201</v>
      </c>
      <c r="C1724" s="51">
        <v>7891268148800</v>
      </c>
      <c r="D1724" s="40" t="s">
        <v>1169</v>
      </c>
      <c r="E1724" s="40"/>
      <c r="F1724" s="40">
        <v>232</v>
      </c>
      <c r="G1724" s="38"/>
      <c r="H1724" s="38" t="s">
        <v>1195</v>
      </c>
      <c r="I1724" s="38" t="s">
        <v>424</v>
      </c>
      <c r="J1724" s="38" t="s">
        <v>947</v>
      </c>
      <c r="K1724" s="56">
        <v>0.26</v>
      </c>
      <c r="L1724" s="52" t="s">
        <v>213</v>
      </c>
      <c r="M1724" s="53" t="s">
        <v>213</v>
      </c>
    </row>
    <row r="1725" spans="1:13" x14ac:dyDescent="0.3">
      <c r="A1725" s="37">
        <v>90</v>
      </c>
      <c r="B1725" s="38" t="s">
        <v>1202</v>
      </c>
      <c r="C1725" s="51">
        <v>7891268148800</v>
      </c>
      <c r="D1725" s="40" t="s">
        <v>1169</v>
      </c>
      <c r="E1725" s="40"/>
      <c r="F1725" s="40">
        <v>232</v>
      </c>
      <c r="G1725" s="38"/>
      <c r="H1725" s="38" t="s">
        <v>1195</v>
      </c>
      <c r="I1725" s="38" t="s">
        <v>424</v>
      </c>
      <c r="J1725" s="38" t="s">
        <v>947</v>
      </c>
      <c r="K1725" s="56">
        <v>0.26</v>
      </c>
      <c r="L1725" s="52" t="s">
        <v>213</v>
      </c>
      <c r="M1725" s="53" t="s">
        <v>213</v>
      </c>
    </row>
    <row r="1726" spans="1:13" x14ac:dyDescent="0.3">
      <c r="A1726" s="37">
        <v>90</v>
      </c>
      <c r="B1726" s="38" t="s">
        <v>1203</v>
      </c>
      <c r="C1726" s="51">
        <v>7891268148800</v>
      </c>
      <c r="D1726" s="40" t="s">
        <v>1169</v>
      </c>
      <c r="E1726" s="40"/>
      <c r="F1726" s="40">
        <v>232</v>
      </c>
      <c r="G1726" s="38"/>
      <c r="H1726" s="38" t="s">
        <v>1195</v>
      </c>
      <c r="I1726" s="38" t="s">
        <v>424</v>
      </c>
      <c r="J1726" s="38" t="s">
        <v>947</v>
      </c>
      <c r="K1726" s="56">
        <v>0.26</v>
      </c>
      <c r="L1726" s="52" t="s">
        <v>213</v>
      </c>
      <c r="M1726" s="53" t="s">
        <v>213</v>
      </c>
    </row>
    <row r="1727" spans="1:13" x14ac:dyDescent="0.3">
      <c r="A1727" s="37">
        <v>90</v>
      </c>
      <c r="B1727" s="38" t="s">
        <v>1204</v>
      </c>
      <c r="C1727" s="51">
        <v>7891268148831</v>
      </c>
      <c r="D1727" s="40" t="s">
        <v>1169</v>
      </c>
      <c r="E1727" s="40"/>
      <c r="F1727" s="40">
        <v>232</v>
      </c>
      <c r="G1727" s="38"/>
      <c r="H1727" s="38" t="s">
        <v>1195</v>
      </c>
      <c r="I1727" s="38" t="s">
        <v>424</v>
      </c>
      <c r="J1727" s="38" t="s">
        <v>947</v>
      </c>
      <c r="K1727" s="56">
        <v>0.35</v>
      </c>
      <c r="L1727" s="52" t="s">
        <v>213</v>
      </c>
      <c r="M1727" s="53" t="s">
        <v>213</v>
      </c>
    </row>
    <row r="1728" spans="1:13" x14ac:dyDescent="0.3">
      <c r="A1728" s="37">
        <v>90</v>
      </c>
      <c r="B1728" s="38" t="s">
        <v>1205</v>
      </c>
      <c r="C1728" s="51">
        <v>7891268148831</v>
      </c>
      <c r="D1728" s="40" t="s">
        <v>1169</v>
      </c>
      <c r="E1728" s="40"/>
      <c r="F1728" s="40">
        <v>232</v>
      </c>
      <c r="G1728" s="38"/>
      <c r="H1728" s="38" t="s">
        <v>1195</v>
      </c>
      <c r="I1728" s="38" t="s">
        <v>424</v>
      </c>
      <c r="J1728" s="38" t="s">
        <v>947</v>
      </c>
      <c r="K1728" s="56">
        <v>0.35</v>
      </c>
      <c r="L1728" s="52" t="s">
        <v>213</v>
      </c>
      <c r="M1728" s="53" t="s">
        <v>213</v>
      </c>
    </row>
    <row r="1729" spans="1:13" x14ac:dyDescent="0.3">
      <c r="A1729" s="37">
        <v>90</v>
      </c>
      <c r="B1729" s="38" t="s">
        <v>1206</v>
      </c>
      <c r="C1729" s="51">
        <v>7891268148862</v>
      </c>
      <c r="D1729" s="40" t="s">
        <v>1169</v>
      </c>
      <c r="E1729" s="40"/>
      <c r="F1729" s="40">
        <v>232</v>
      </c>
      <c r="G1729" s="38"/>
      <c r="H1729" s="38" t="s">
        <v>1195</v>
      </c>
      <c r="I1729" s="38" t="s">
        <v>424</v>
      </c>
      <c r="J1729" s="38" t="s">
        <v>947</v>
      </c>
      <c r="K1729" s="56">
        <v>0</v>
      </c>
      <c r="L1729" s="52" t="s">
        <v>213</v>
      </c>
      <c r="M1729" s="53" t="s">
        <v>213</v>
      </c>
    </row>
    <row r="1730" spans="1:13" x14ac:dyDescent="0.3">
      <c r="A1730" s="37">
        <v>90</v>
      </c>
      <c r="B1730" s="38" t="s">
        <v>1207</v>
      </c>
      <c r="C1730" s="51">
        <v>7891268148862</v>
      </c>
      <c r="D1730" s="40" t="s">
        <v>1169</v>
      </c>
      <c r="E1730" s="40"/>
      <c r="F1730" s="40">
        <v>232</v>
      </c>
      <c r="G1730" s="38"/>
      <c r="H1730" s="38" t="s">
        <v>1195</v>
      </c>
      <c r="I1730" s="38" t="s">
        <v>424</v>
      </c>
      <c r="J1730" s="38" t="s">
        <v>947</v>
      </c>
      <c r="K1730" s="56">
        <v>0</v>
      </c>
      <c r="L1730" s="52" t="s">
        <v>213</v>
      </c>
      <c r="M1730" s="53" t="s">
        <v>213</v>
      </c>
    </row>
    <row r="1731" spans="1:13" x14ac:dyDescent="0.3">
      <c r="A1731" s="37">
        <v>90</v>
      </c>
      <c r="B1731" s="38" t="s">
        <v>1208</v>
      </c>
      <c r="C1731" s="51">
        <v>7891268148862</v>
      </c>
      <c r="D1731" s="40" t="s">
        <v>1169</v>
      </c>
      <c r="E1731" s="40"/>
      <c r="F1731" s="40">
        <v>232</v>
      </c>
      <c r="G1731" s="38"/>
      <c r="H1731" s="38" t="s">
        <v>1195</v>
      </c>
      <c r="I1731" s="38" t="s">
        <v>424</v>
      </c>
      <c r="J1731" s="38" t="s">
        <v>947</v>
      </c>
      <c r="K1731" s="56">
        <v>0</v>
      </c>
      <c r="L1731" s="52" t="s">
        <v>213</v>
      </c>
      <c r="M1731" s="53" t="s">
        <v>213</v>
      </c>
    </row>
    <row r="1732" spans="1:13" x14ac:dyDescent="0.3">
      <c r="A1732" s="37">
        <v>90</v>
      </c>
      <c r="B1732" s="38" t="s">
        <v>1209</v>
      </c>
      <c r="C1732" s="51">
        <v>7891268148923</v>
      </c>
      <c r="D1732" s="40" t="s">
        <v>1169</v>
      </c>
      <c r="E1732" s="40"/>
      <c r="F1732" s="40">
        <v>232</v>
      </c>
      <c r="G1732" s="38"/>
      <c r="H1732" s="38" t="s">
        <v>1195</v>
      </c>
      <c r="I1732" s="38" t="s">
        <v>424</v>
      </c>
      <c r="J1732" s="38" t="s">
        <v>947</v>
      </c>
      <c r="K1732" s="56">
        <v>0</v>
      </c>
      <c r="L1732" s="52" t="s">
        <v>213</v>
      </c>
      <c r="M1732" s="53" t="s">
        <v>213</v>
      </c>
    </row>
    <row r="1733" spans="1:13" x14ac:dyDescent="0.3">
      <c r="A1733" s="37">
        <v>90</v>
      </c>
      <c r="B1733" s="38" t="s">
        <v>1210</v>
      </c>
      <c r="C1733" s="51">
        <v>7891268148923</v>
      </c>
      <c r="D1733" s="40" t="s">
        <v>1169</v>
      </c>
      <c r="E1733" s="40"/>
      <c r="F1733" s="40">
        <v>232</v>
      </c>
      <c r="G1733" s="38"/>
      <c r="H1733" s="38" t="s">
        <v>1195</v>
      </c>
      <c r="I1733" s="38" t="s">
        <v>424</v>
      </c>
      <c r="J1733" s="38" t="s">
        <v>947</v>
      </c>
      <c r="K1733" s="56">
        <v>0</v>
      </c>
      <c r="L1733" s="52" t="s">
        <v>213</v>
      </c>
      <c r="M1733" s="53" t="s">
        <v>213</v>
      </c>
    </row>
    <row r="1734" spans="1:13" x14ac:dyDescent="0.3">
      <c r="A1734" s="37">
        <v>90</v>
      </c>
      <c r="B1734" s="38" t="s">
        <v>1211</v>
      </c>
      <c r="C1734" s="51">
        <v>7891268148923</v>
      </c>
      <c r="D1734" s="40" t="s">
        <v>1169</v>
      </c>
      <c r="E1734" s="40"/>
      <c r="F1734" s="40">
        <v>232</v>
      </c>
      <c r="G1734" s="38"/>
      <c r="H1734" s="38" t="s">
        <v>1195</v>
      </c>
      <c r="I1734" s="38" t="s">
        <v>424</v>
      </c>
      <c r="J1734" s="38" t="s">
        <v>947</v>
      </c>
      <c r="K1734" s="56">
        <v>0</v>
      </c>
      <c r="L1734" s="52" t="s">
        <v>213</v>
      </c>
      <c r="M1734" s="53" t="s">
        <v>213</v>
      </c>
    </row>
    <row r="1735" spans="1:13" x14ac:dyDescent="0.3">
      <c r="A1735" s="37">
        <v>90</v>
      </c>
      <c r="B1735" s="38" t="s">
        <v>1212</v>
      </c>
      <c r="C1735" s="51">
        <v>7891268148961</v>
      </c>
      <c r="D1735" s="40" t="s">
        <v>1169</v>
      </c>
      <c r="E1735" s="40"/>
      <c r="F1735" s="40">
        <v>232</v>
      </c>
      <c r="G1735" s="38"/>
      <c r="H1735" s="38" t="s">
        <v>1195</v>
      </c>
      <c r="I1735" s="38" t="s">
        <v>424</v>
      </c>
      <c r="J1735" s="38" t="s">
        <v>947</v>
      </c>
      <c r="K1735" s="56">
        <v>0</v>
      </c>
      <c r="L1735" s="52" t="s">
        <v>213</v>
      </c>
      <c r="M1735" s="53" t="s">
        <v>213</v>
      </c>
    </row>
    <row r="1736" spans="1:13" x14ac:dyDescent="0.3">
      <c r="A1736" s="37">
        <v>90</v>
      </c>
      <c r="B1736" s="38" t="s">
        <v>1213</v>
      </c>
      <c r="C1736" s="51">
        <v>7891268148961</v>
      </c>
      <c r="D1736" s="40" t="s">
        <v>1169</v>
      </c>
      <c r="E1736" s="40"/>
      <c r="F1736" s="40">
        <v>232</v>
      </c>
      <c r="G1736" s="38"/>
      <c r="H1736" s="38" t="s">
        <v>1195</v>
      </c>
      <c r="I1736" s="38" t="s">
        <v>424</v>
      </c>
      <c r="J1736" s="38" t="s">
        <v>947</v>
      </c>
      <c r="K1736" s="56">
        <v>0</v>
      </c>
      <c r="L1736" s="52" t="s">
        <v>213</v>
      </c>
      <c r="M1736" s="53" t="s">
        <v>213</v>
      </c>
    </row>
    <row r="1737" spans="1:13" x14ac:dyDescent="0.3">
      <c r="A1737" s="37">
        <v>90</v>
      </c>
      <c r="B1737" s="38" t="s">
        <v>1214</v>
      </c>
      <c r="C1737" s="51">
        <v>7891268148961</v>
      </c>
      <c r="D1737" s="40" t="s">
        <v>1169</v>
      </c>
      <c r="E1737" s="40"/>
      <c r="F1737" s="40">
        <v>232</v>
      </c>
      <c r="G1737" s="38"/>
      <c r="H1737" s="38" t="s">
        <v>1195</v>
      </c>
      <c r="I1737" s="38" t="s">
        <v>424</v>
      </c>
      <c r="J1737" s="38" t="s">
        <v>947</v>
      </c>
      <c r="K1737" s="56">
        <v>0</v>
      </c>
      <c r="L1737" s="52" t="s">
        <v>213</v>
      </c>
      <c r="M1737" s="53" t="s">
        <v>213</v>
      </c>
    </row>
    <row r="1738" spans="1:13" x14ac:dyDescent="0.3">
      <c r="A1738" s="37">
        <v>90</v>
      </c>
      <c r="B1738" s="38" t="s">
        <v>1215</v>
      </c>
      <c r="C1738" s="51">
        <v>7891268149012</v>
      </c>
      <c r="D1738" s="40" t="s">
        <v>1169</v>
      </c>
      <c r="E1738" s="40"/>
      <c r="F1738" s="40">
        <v>232</v>
      </c>
      <c r="G1738" s="38"/>
      <c r="H1738" s="38" t="s">
        <v>1195</v>
      </c>
      <c r="I1738" s="38" t="s">
        <v>424</v>
      </c>
      <c r="J1738" s="38" t="s">
        <v>947</v>
      </c>
      <c r="K1738" s="56">
        <v>0</v>
      </c>
      <c r="L1738" s="52" t="s">
        <v>213</v>
      </c>
      <c r="M1738" s="53" t="s">
        <v>213</v>
      </c>
    </row>
    <row r="1739" spans="1:13" x14ac:dyDescent="0.3">
      <c r="A1739" s="37">
        <v>90</v>
      </c>
      <c r="B1739" s="38" t="s">
        <v>1216</v>
      </c>
      <c r="C1739" s="51">
        <v>7891268149012</v>
      </c>
      <c r="D1739" s="40" t="s">
        <v>1169</v>
      </c>
      <c r="E1739" s="40"/>
      <c r="F1739" s="40">
        <v>232</v>
      </c>
      <c r="G1739" s="38"/>
      <c r="H1739" s="38" t="s">
        <v>1195</v>
      </c>
      <c r="I1739" s="38" t="s">
        <v>424</v>
      </c>
      <c r="J1739" s="38" t="s">
        <v>947</v>
      </c>
      <c r="K1739" s="56">
        <v>0</v>
      </c>
      <c r="L1739" s="52" t="s">
        <v>213</v>
      </c>
      <c r="M1739" s="53" t="s">
        <v>213</v>
      </c>
    </row>
    <row r="1740" spans="1:13" x14ac:dyDescent="0.3">
      <c r="A1740" s="37">
        <v>52</v>
      </c>
      <c r="B1740" s="38" t="s">
        <v>1217</v>
      </c>
      <c r="C1740" s="51">
        <v>8902220114937</v>
      </c>
      <c r="D1740" s="40" t="s">
        <v>1218</v>
      </c>
      <c r="E1740" s="40"/>
      <c r="F1740" s="40">
        <v>583</v>
      </c>
      <c r="G1740" s="38"/>
      <c r="H1740" s="38" t="s">
        <v>1219</v>
      </c>
      <c r="I1740" s="38" t="s">
        <v>88</v>
      </c>
      <c r="J1740" s="38">
        <v>4</v>
      </c>
      <c r="K1740" s="56">
        <v>0.4</v>
      </c>
      <c r="L1740" s="52" t="s">
        <v>213</v>
      </c>
      <c r="M1740" s="53" t="s">
        <v>213</v>
      </c>
    </row>
    <row r="1741" spans="1:13" x14ac:dyDescent="0.3">
      <c r="A1741" s="37">
        <v>52</v>
      </c>
      <c r="B1741" s="38" t="s">
        <v>1220</v>
      </c>
      <c r="C1741" s="51">
        <v>8902220116214</v>
      </c>
      <c r="D1741" s="40" t="s">
        <v>1218</v>
      </c>
      <c r="E1741" s="40"/>
      <c r="F1741" s="40">
        <v>583</v>
      </c>
      <c r="G1741" s="38"/>
      <c r="H1741" s="38" t="s">
        <v>1219</v>
      </c>
      <c r="I1741" s="38" t="s">
        <v>88</v>
      </c>
      <c r="J1741" s="38">
        <v>4</v>
      </c>
      <c r="K1741" s="56">
        <v>0.4</v>
      </c>
      <c r="L1741" s="52" t="s">
        <v>213</v>
      </c>
      <c r="M1741" s="53" t="s">
        <v>213</v>
      </c>
    </row>
    <row r="1742" spans="1:13" x14ac:dyDescent="0.3">
      <c r="A1742" s="37">
        <v>45</v>
      </c>
      <c r="B1742" s="38" t="s">
        <v>1221</v>
      </c>
      <c r="C1742" s="51">
        <v>4030729003521</v>
      </c>
      <c r="D1742" s="40" t="s">
        <v>1222</v>
      </c>
      <c r="E1742" s="40"/>
      <c r="F1742" s="40">
        <v>508</v>
      </c>
      <c r="G1742" s="38"/>
      <c r="H1742" s="38" t="s">
        <v>1223</v>
      </c>
      <c r="I1742" s="38" t="s">
        <v>342</v>
      </c>
      <c r="J1742" s="38" t="s">
        <v>1224</v>
      </c>
      <c r="K1742" s="38" t="s">
        <v>749</v>
      </c>
      <c r="L1742" s="52" t="s">
        <v>213</v>
      </c>
      <c r="M1742" s="53" t="s">
        <v>213</v>
      </c>
    </row>
    <row r="1743" spans="1:13" x14ac:dyDescent="0.3">
      <c r="A1743" s="37">
        <v>45</v>
      </c>
      <c r="B1743" s="38" t="s">
        <v>1225</v>
      </c>
      <c r="C1743" s="51">
        <v>4030729003545</v>
      </c>
      <c r="D1743" s="40" t="s">
        <v>1222</v>
      </c>
      <c r="E1743" s="40"/>
      <c r="F1743" s="40">
        <v>508</v>
      </c>
      <c r="G1743" s="38"/>
      <c r="H1743" s="38" t="s">
        <v>1223</v>
      </c>
      <c r="I1743" s="38" t="s">
        <v>342</v>
      </c>
      <c r="J1743" s="38" t="s">
        <v>1224</v>
      </c>
      <c r="K1743" s="38" t="s">
        <v>1226</v>
      </c>
      <c r="L1743" s="52" t="s">
        <v>213</v>
      </c>
      <c r="M1743" s="53" t="s">
        <v>213</v>
      </c>
    </row>
    <row r="1744" spans="1:13" x14ac:dyDescent="0.3">
      <c r="A1744" s="37">
        <v>45</v>
      </c>
      <c r="B1744" s="38" t="s">
        <v>1227</v>
      </c>
      <c r="C1744" s="51">
        <v>4030729003569</v>
      </c>
      <c r="D1744" s="40" t="s">
        <v>1222</v>
      </c>
      <c r="E1744" s="40"/>
      <c r="F1744" s="40">
        <v>508</v>
      </c>
      <c r="G1744" s="38"/>
      <c r="H1744" s="38" t="s">
        <v>1223</v>
      </c>
      <c r="I1744" s="38" t="s">
        <v>342</v>
      </c>
      <c r="J1744" s="38" t="s">
        <v>1224</v>
      </c>
      <c r="K1744" s="38" t="s">
        <v>1228</v>
      </c>
      <c r="L1744" s="52" t="s">
        <v>213</v>
      </c>
      <c r="M1744" s="53" t="s">
        <v>213</v>
      </c>
    </row>
    <row r="1745" spans="1:13" x14ac:dyDescent="0.3">
      <c r="A1745" s="37">
        <v>45</v>
      </c>
      <c r="B1745" s="38" t="s">
        <v>1229</v>
      </c>
      <c r="C1745" s="51">
        <v>5413787003792</v>
      </c>
      <c r="D1745" s="40" t="s">
        <v>1222</v>
      </c>
      <c r="E1745" s="40"/>
      <c r="F1745" s="40">
        <v>507</v>
      </c>
      <c r="G1745" s="38"/>
      <c r="H1745" s="38" t="s">
        <v>1230</v>
      </c>
      <c r="I1745" s="38" t="s">
        <v>342</v>
      </c>
      <c r="J1745" s="38" t="s">
        <v>764</v>
      </c>
      <c r="K1745" s="38" t="s">
        <v>1231</v>
      </c>
      <c r="L1745" s="52" t="s">
        <v>213</v>
      </c>
      <c r="M1745" s="53" t="s">
        <v>213</v>
      </c>
    </row>
    <row r="1746" spans="1:13" x14ac:dyDescent="0.3">
      <c r="A1746" s="37">
        <v>45</v>
      </c>
      <c r="B1746" s="38" t="s">
        <v>1232</v>
      </c>
      <c r="C1746" s="51">
        <v>5413787004799</v>
      </c>
      <c r="D1746" s="40" t="s">
        <v>1222</v>
      </c>
      <c r="E1746" s="40"/>
      <c r="F1746" s="40">
        <v>507</v>
      </c>
      <c r="G1746" s="38"/>
      <c r="H1746" s="38" t="s">
        <v>1230</v>
      </c>
      <c r="I1746" s="38" t="s">
        <v>342</v>
      </c>
      <c r="J1746" s="38" t="s">
        <v>764</v>
      </c>
      <c r="K1746" s="38" t="s">
        <v>1233</v>
      </c>
      <c r="L1746" s="52" t="s">
        <v>213</v>
      </c>
      <c r="M1746" s="53" t="s">
        <v>213</v>
      </c>
    </row>
    <row r="1747" spans="1:13" x14ac:dyDescent="0.3">
      <c r="A1747" s="37">
        <v>45</v>
      </c>
      <c r="B1747" s="38" t="s">
        <v>1232</v>
      </c>
      <c r="C1747" s="51">
        <v>5413787004799</v>
      </c>
      <c r="D1747" s="40" t="s">
        <v>1222</v>
      </c>
      <c r="E1747" s="40"/>
      <c r="F1747" s="40">
        <v>943</v>
      </c>
      <c r="G1747" s="38"/>
      <c r="H1747" s="38" t="s">
        <v>1234</v>
      </c>
      <c r="I1747" s="38" t="s">
        <v>342</v>
      </c>
      <c r="J1747" s="38" t="s">
        <v>1235</v>
      </c>
      <c r="K1747" s="38" t="s">
        <v>1233</v>
      </c>
      <c r="L1747" s="52" t="s">
        <v>213</v>
      </c>
      <c r="M1747" s="53" t="s">
        <v>213</v>
      </c>
    </row>
    <row r="1748" spans="1:13" x14ac:dyDescent="0.3">
      <c r="A1748" s="37">
        <v>45</v>
      </c>
      <c r="B1748" s="38" t="s">
        <v>1236</v>
      </c>
      <c r="C1748" s="51">
        <v>5413787005796</v>
      </c>
      <c r="D1748" s="40" t="s">
        <v>1222</v>
      </c>
      <c r="E1748" s="40"/>
      <c r="F1748" s="40">
        <v>507</v>
      </c>
      <c r="G1748" s="38"/>
      <c r="H1748" s="38" t="s">
        <v>1230</v>
      </c>
      <c r="I1748" s="38" t="s">
        <v>342</v>
      </c>
      <c r="J1748" s="38" t="s">
        <v>764</v>
      </c>
      <c r="K1748" s="38" t="s">
        <v>1233</v>
      </c>
      <c r="L1748" s="52" t="s">
        <v>213</v>
      </c>
      <c r="M1748" s="53" t="s">
        <v>213</v>
      </c>
    </row>
    <row r="1749" spans="1:13" x14ac:dyDescent="0.3">
      <c r="A1749" s="37">
        <v>45</v>
      </c>
      <c r="B1749" s="38" t="s">
        <v>1237</v>
      </c>
      <c r="C1749" s="51">
        <v>5413787006793</v>
      </c>
      <c r="D1749" s="40" t="s">
        <v>1222</v>
      </c>
      <c r="E1749" s="40"/>
      <c r="F1749" s="40">
        <v>507</v>
      </c>
      <c r="G1749" s="38"/>
      <c r="H1749" s="38" t="s">
        <v>1230</v>
      </c>
      <c r="I1749" s="38" t="s">
        <v>342</v>
      </c>
      <c r="J1749" s="38" t="s">
        <v>764</v>
      </c>
      <c r="K1749" s="38" t="s">
        <v>749</v>
      </c>
      <c r="L1749" s="52" t="s">
        <v>213</v>
      </c>
      <c r="M1749" s="53" t="s">
        <v>213</v>
      </c>
    </row>
    <row r="1750" spans="1:13" x14ac:dyDescent="0.3">
      <c r="A1750" s="37">
        <v>45</v>
      </c>
      <c r="B1750" s="38" t="s">
        <v>1238</v>
      </c>
      <c r="C1750" s="51">
        <v>5413787008797</v>
      </c>
      <c r="D1750" s="40" t="s">
        <v>1222</v>
      </c>
      <c r="E1750" s="40"/>
      <c r="F1750" s="40">
        <v>388</v>
      </c>
      <c r="G1750" s="38"/>
      <c r="H1750" s="38" t="s">
        <v>1239</v>
      </c>
      <c r="I1750" s="38" t="s">
        <v>342</v>
      </c>
      <c r="J1750" s="38" t="s">
        <v>764</v>
      </c>
      <c r="K1750" s="38" t="s">
        <v>1240</v>
      </c>
      <c r="L1750" s="52" t="s">
        <v>213</v>
      </c>
      <c r="M1750" s="53" t="s">
        <v>213</v>
      </c>
    </row>
    <row r="1751" spans="1:13" x14ac:dyDescent="0.3">
      <c r="A1751" s="37">
        <v>45</v>
      </c>
      <c r="B1751" s="38" t="s">
        <v>1241</v>
      </c>
      <c r="C1751" s="51">
        <v>5413787010790</v>
      </c>
      <c r="D1751" s="40" t="s">
        <v>1222</v>
      </c>
      <c r="E1751" s="40"/>
      <c r="F1751" s="40">
        <v>388</v>
      </c>
      <c r="G1751" s="38"/>
      <c r="H1751" s="38" t="s">
        <v>1239</v>
      </c>
      <c r="I1751" s="38" t="s">
        <v>342</v>
      </c>
      <c r="J1751" s="38" t="s">
        <v>764</v>
      </c>
      <c r="K1751" s="38" t="s">
        <v>1242</v>
      </c>
      <c r="L1751" s="52" t="s">
        <v>213</v>
      </c>
      <c r="M1751" s="53" t="s">
        <v>213</v>
      </c>
    </row>
    <row r="1752" spans="1:13" x14ac:dyDescent="0.3">
      <c r="A1752" s="37">
        <v>45</v>
      </c>
      <c r="B1752" s="38" t="s">
        <v>1243</v>
      </c>
      <c r="C1752" s="51">
        <v>5413787012794</v>
      </c>
      <c r="D1752" s="40" t="s">
        <v>1222</v>
      </c>
      <c r="E1752" s="40"/>
      <c r="F1752" s="40">
        <v>388</v>
      </c>
      <c r="G1752" s="38"/>
      <c r="H1752" s="38" t="s">
        <v>1239</v>
      </c>
      <c r="I1752" s="38" t="s">
        <v>342</v>
      </c>
      <c r="J1752" s="38" t="s">
        <v>764</v>
      </c>
      <c r="K1752" s="38" t="s">
        <v>1244</v>
      </c>
      <c r="L1752" s="52" t="s">
        <v>213</v>
      </c>
      <c r="M1752" s="53" t="s">
        <v>213</v>
      </c>
    </row>
    <row r="1753" spans="1:13" x14ac:dyDescent="0.3">
      <c r="A1753" s="37">
        <v>87</v>
      </c>
      <c r="B1753" s="38" t="s">
        <v>1245</v>
      </c>
      <c r="C1753" s="51">
        <v>7896004734057</v>
      </c>
      <c r="D1753" s="40" t="s">
        <v>1246</v>
      </c>
      <c r="E1753" s="40"/>
      <c r="F1753" s="40">
        <v>962</v>
      </c>
      <c r="G1753" s="38"/>
      <c r="H1753" s="38" t="s">
        <v>1247</v>
      </c>
      <c r="I1753" s="38" t="s">
        <v>88</v>
      </c>
      <c r="J1753" s="38">
        <v>3</v>
      </c>
      <c r="K1753" s="56">
        <v>0.3</v>
      </c>
      <c r="L1753" s="52" t="s">
        <v>213</v>
      </c>
      <c r="M1753" s="53" t="s">
        <v>213</v>
      </c>
    </row>
    <row r="1754" spans="1:13" x14ac:dyDescent="0.3">
      <c r="A1754" s="37">
        <v>87</v>
      </c>
      <c r="B1754" s="38" t="s">
        <v>1248</v>
      </c>
      <c r="C1754" s="51">
        <v>7896004734064</v>
      </c>
      <c r="D1754" s="40" t="s">
        <v>1246</v>
      </c>
      <c r="E1754" s="40"/>
      <c r="F1754" s="40">
        <v>962</v>
      </c>
      <c r="G1754" s="38"/>
      <c r="H1754" s="38" t="s">
        <v>1247</v>
      </c>
      <c r="I1754" s="38" t="s">
        <v>88</v>
      </c>
      <c r="J1754" s="38">
        <v>3</v>
      </c>
      <c r="K1754" s="56">
        <v>0.3</v>
      </c>
      <c r="L1754" s="52" t="s">
        <v>213</v>
      </c>
      <c r="M1754" s="53" t="s">
        <v>213</v>
      </c>
    </row>
    <row r="1755" spans="1:13" x14ac:dyDescent="0.3">
      <c r="A1755" s="37">
        <v>87</v>
      </c>
      <c r="B1755" s="38" t="s">
        <v>1248</v>
      </c>
      <c r="C1755" s="51">
        <v>7896004734064</v>
      </c>
      <c r="D1755" s="40" t="s">
        <v>1246</v>
      </c>
      <c r="E1755" s="40"/>
      <c r="F1755" s="40">
        <v>967</v>
      </c>
      <c r="G1755" s="38"/>
      <c r="H1755" s="38" t="s">
        <v>1249</v>
      </c>
      <c r="I1755" s="38" t="s">
        <v>88</v>
      </c>
      <c r="J1755" s="38">
        <v>3</v>
      </c>
      <c r="K1755" s="56">
        <v>0.99990000000000001</v>
      </c>
      <c r="L1755" s="52" t="s">
        <v>213</v>
      </c>
      <c r="M1755" s="53" t="s">
        <v>213</v>
      </c>
    </row>
    <row r="1756" spans="1:13" x14ac:dyDescent="0.3">
      <c r="A1756" s="37">
        <v>87</v>
      </c>
      <c r="B1756" s="38" t="s">
        <v>1250</v>
      </c>
      <c r="C1756" s="51">
        <v>7896004745053</v>
      </c>
      <c r="D1756" s="40" t="s">
        <v>1246</v>
      </c>
      <c r="E1756" s="40"/>
      <c r="F1756" s="40">
        <v>964</v>
      </c>
      <c r="G1756" s="38"/>
      <c r="H1756" s="38" t="s">
        <v>1251</v>
      </c>
      <c r="I1756" s="38" t="s">
        <v>88</v>
      </c>
      <c r="J1756" s="38">
        <v>2</v>
      </c>
      <c r="K1756" s="56">
        <v>0.44</v>
      </c>
      <c r="L1756" s="52" t="s">
        <v>213</v>
      </c>
      <c r="M1756" s="53" t="s">
        <v>213</v>
      </c>
    </row>
    <row r="1757" spans="1:13" x14ac:dyDescent="0.3">
      <c r="A1757" s="37">
        <v>87</v>
      </c>
      <c r="B1757" s="38" t="s">
        <v>1252</v>
      </c>
      <c r="C1757" s="51">
        <v>7896004758480</v>
      </c>
      <c r="D1757" s="40" t="s">
        <v>1246</v>
      </c>
      <c r="E1757" s="40"/>
      <c r="F1757" s="40">
        <v>664</v>
      </c>
      <c r="G1757" s="38"/>
      <c r="H1757" s="38" t="s">
        <v>1253</v>
      </c>
      <c r="I1757" s="38" t="s">
        <v>1254</v>
      </c>
      <c r="J1757" s="38">
        <v>6</v>
      </c>
      <c r="K1757" s="38" t="s">
        <v>1255</v>
      </c>
      <c r="L1757" s="52" t="s">
        <v>213</v>
      </c>
      <c r="M1757" s="53" t="s">
        <v>213</v>
      </c>
    </row>
    <row r="1758" spans="1:13" x14ac:dyDescent="0.3">
      <c r="A1758" s="37">
        <v>87</v>
      </c>
      <c r="B1758" s="38" t="s">
        <v>1256</v>
      </c>
      <c r="C1758" s="51">
        <v>7896004759517</v>
      </c>
      <c r="D1758" s="40" t="s">
        <v>1246</v>
      </c>
      <c r="E1758" s="40"/>
      <c r="F1758" s="40">
        <v>964</v>
      </c>
      <c r="G1758" s="38"/>
      <c r="H1758" s="38" t="s">
        <v>1251</v>
      </c>
      <c r="I1758" s="38" t="s">
        <v>88</v>
      </c>
      <c r="J1758" s="38">
        <v>2</v>
      </c>
      <c r="K1758" s="56">
        <v>0.38</v>
      </c>
      <c r="L1758" s="52" t="s">
        <v>213</v>
      </c>
      <c r="M1758" s="53" t="s">
        <v>213</v>
      </c>
    </row>
    <row r="1759" spans="1:13" x14ac:dyDescent="0.3">
      <c r="A1759" s="37">
        <v>87</v>
      </c>
      <c r="B1759" s="38" t="s">
        <v>1257</v>
      </c>
      <c r="C1759" s="51">
        <v>7896004819709</v>
      </c>
      <c r="D1759" s="40" t="s">
        <v>1246</v>
      </c>
      <c r="E1759" s="40"/>
      <c r="F1759" s="40">
        <v>963</v>
      </c>
      <c r="G1759" s="38"/>
      <c r="H1759" s="38" t="s">
        <v>1258</v>
      </c>
      <c r="I1759" s="38" t="s">
        <v>286</v>
      </c>
      <c r="J1759" s="38">
        <v>2</v>
      </c>
      <c r="K1759" s="38">
        <v>138</v>
      </c>
      <c r="L1759" s="52" t="s">
        <v>213</v>
      </c>
      <c r="M1759" s="53" t="s">
        <v>213</v>
      </c>
    </row>
    <row r="1760" spans="1:13" x14ac:dyDescent="0.3">
      <c r="A1760" s="37">
        <v>87</v>
      </c>
      <c r="B1760" s="38" t="s">
        <v>1259</v>
      </c>
      <c r="C1760" s="51">
        <v>7896004819716</v>
      </c>
      <c r="D1760" s="40" t="s">
        <v>1246</v>
      </c>
      <c r="E1760" s="40"/>
      <c r="F1760" s="40">
        <v>963</v>
      </c>
      <c r="G1760" s="38"/>
      <c r="H1760" s="38" t="s">
        <v>1258</v>
      </c>
      <c r="I1760" s="38" t="s">
        <v>286</v>
      </c>
      <c r="J1760" s="38">
        <v>2</v>
      </c>
      <c r="K1760" s="38">
        <v>299</v>
      </c>
      <c r="L1760" s="52" t="s">
        <v>213</v>
      </c>
      <c r="M1760" s="53" t="s">
        <v>213</v>
      </c>
    </row>
    <row r="1761" spans="1:13" x14ac:dyDescent="0.3">
      <c r="A1761" s="37">
        <v>87</v>
      </c>
      <c r="B1761" s="38" t="s">
        <v>1260</v>
      </c>
      <c r="C1761" s="51">
        <v>7896004819914</v>
      </c>
      <c r="D1761" s="40" t="s">
        <v>1246</v>
      </c>
      <c r="E1761" s="40"/>
      <c r="F1761" s="40">
        <v>980</v>
      </c>
      <c r="G1761" s="38"/>
      <c r="H1761" s="38" t="s">
        <v>1261</v>
      </c>
      <c r="I1761" s="38" t="s">
        <v>480</v>
      </c>
      <c r="J1761" s="49" t="s">
        <v>213</v>
      </c>
      <c r="K1761" s="38" t="s">
        <v>480</v>
      </c>
      <c r="L1761" s="49" t="s">
        <v>213</v>
      </c>
      <c r="M1761" s="54" t="s">
        <v>213</v>
      </c>
    </row>
    <row r="1762" spans="1:13" x14ac:dyDescent="0.3">
      <c r="A1762" s="37">
        <v>87</v>
      </c>
      <c r="B1762" s="38" t="s">
        <v>1262</v>
      </c>
      <c r="C1762" s="51">
        <v>7896004819921</v>
      </c>
      <c r="D1762" s="40" t="s">
        <v>1246</v>
      </c>
      <c r="E1762" s="40"/>
      <c r="F1762" s="40">
        <v>979</v>
      </c>
      <c r="G1762" s="38"/>
      <c r="H1762" s="38" t="s">
        <v>1263</v>
      </c>
      <c r="I1762" s="38" t="s">
        <v>480</v>
      </c>
      <c r="J1762" s="49" t="s">
        <v>213</v>
      </c>
      <c r="K1762" s="38" t="s">
        <v>480</v>
      </c>
      <c r="L1762" s="49" t="s">
        <v>213</v>
      </c>
      <c r="M1762" s="54" t="s">
        <v>213</v>
      </c>
    </row>
    <row r="1763" spans="1:13" x14ac:dyDescent="0.3">
      <c r="A1763" s="37">
        <v>24</v>
      </c>
      <c r="B1763" s="38" t="s">
        <v>1264</v>
      </c>
      <c r="C1763" s="51">
        <v>7891045013611</v>
      </c>
      <c r="D1763" s="40" t="s">
        <v>74</v>
      </c>
      <c r="E1763" s="40"/>
      <c r="F1763" s="40">
        <v>463</v>
      </c>
      <c r="G1763" s="38"/>
      <c r="H1763" s="38" t="s">
        <v>1265</v>
      </c>
      <c r="I1763" s="38" t="s">
        <v>424</v>
      </c>
      <c r="J1763" s="38" t="s">
        <v>947</v>
      </c>
      <c r="K1763" s="56">
        <v>0.2</v>
      </c>
      <c r="L1763" s="52" t="s">
        <v>213</v>
      </c>
      <c r="M1763" s="53" t="s">
        <v>213</v>
      </c>
    </row>
    <row r="1764" spans="1:13" x14ac:dyDescent="0.3">
      <c r="A1764" s="37">
        <v>24</v>
      </c>
      <c r="B1764" s="38" t="s">
        <v>1266</v>
      </c>
      <c r="C1764" s="51">
        <v>7891045013611</v>
      </c>
      <c r="D1764" s="40" t="s">
        <v>74</v>
      </c>
      <c r="E1764" s="40"/>
      <c r="F1764" s="40">
        <v>463</v>
      </c>
      <c r="G1764" s="38"/>
      <c r="H1764" s="38" t="s">
        <v>1265</v>
      </c>
      <c r="I1764" s="38" t="s">
        <v>424</v>
      </c>
      <c r="J1764" s="38" t="s">
        <v>947</v>
      </c>
      <c r="K1764" s="56">
        <v>0.2</v>
      </c>
      <c r="L1764" s="52" t="s">
        <v>213</v>
      </c>
      <c r="M1764" s="53" t="s">
        <v>213</v>
      </c>
    </row>
    <row r="1765" spans="1:13" x14ac:dyDescent="0.3">
      <c r="A1765" s="37">
        <v>24</v>
      </c>
      <c r="B1765" s="38" t="s">
        <v>1264</v>
      </c>
      <c r="C1765" s="51">
        <v>7891045013611</v>
      </c>
      <c r="D1765" s="40" t="s">
        <v>74</v>
      </c>
      <c r="E1765" s="40"/>
      <c r="F1765" s="40">
        <v>693</v>
      </c>
      <c r="G1765" s="38"/>
      <c r="H1765" s="38" t="s">
        <v>1267</v>
      </c>
      <c r="I1765" s="38" t="s">
        <v>424</v>
      </c>
      <c r="J1765" s="38" t="s">
        <v>947</v>
      </c>
      <c r="K1765" s="56">
        <v>0.44</v>
      </c>
      <c r="L1765" s="52" t="s">
        <v>213</v>
      </c>
      <c r="M1765" s="53" t="s">
        <v>213</v>
      </c>
    </row>
    <row r="1766" spans="1:13" x14ac:dyDescent="0.3">
      <c r="A1766" s="37">
        <v>24</v>
      </c>
      <c r="B1766" s="38" t="s">
        <v>1266</v>
      </c>
      <c r="C1766" s="51">
        <v>7891045013611</v>
      </c>
      <c r="D1766" s="40" t="s">
        <v>74</v>
      </c>
      <c r="E1766" s="40"/>
      <c r="F1766" s="40">
        <v>693</v>
      </c>
      <c r="G1766" s="38"/>
      <c r="H1766" s="38" t="s">
        <v>1267</v>
      </c>
      <c r="I1766" s="38" t="s">
        <v>424</v>
      </c>
      <c r="J1766" s="38" t="s">
        <v>947</v>
      </c>
      <c r="K1766" s="56">
        <v>0.44</v>
      </c>
      <c r="L1766" s="52" t="s">
        <v>213</v>
      </c>
      <c r="M1766" s="53" t="s">
        <v>213</v>
      </c>
    </row>
    <row r="1767" spans="1:13" x14ac:dyDescent="0.3">
      <c r="A1767" s="37">
        <v>24</v>
      </c>
      <c r="B1767" s="38" t="s">
        <v>1268</v>
      </c>
      <c r="C1767" s="51">
        <v>7891045013628</v>
      </c>
      <c r="D1767" s="40" t="s">
        <v>74</v>
      </c>
      <c r="E1767" s="40"/>
      <c r="F1767" s="40">
        <v>257</v>
      </c>
      <c r="G1767" s="38"/>
      <c r="H1767" s="38" t="s">
        <v>1269</v>
      </c>
      <c r="I1767" s="38" t="s">
        <v>1186</v>
      </c>
      <c r="J1767" s="38" t="s">
        <v>947</v>
      </c>
      <c r="K1767" s="38" t="s">
        <v>1270</v>
      </c>
      <c r="L1767" s="52" t="s">
        <v>213</v>
      </c>
      <c r="M1767" s="53" t="s">
        <v>213</v>
      </c>
    </row>
    <row r="1768" spans="1:13" x14ac:dyDescent="0.3">
      <c r="A1768" s="37">
        <v>24</v>
      </c>
      <c r="B1768" s="38" t="s">
        <v>1271</v>
      </c>
      <c r="C1768" s="51">
        <v>7891045013628</v>
      </c>
      <c r="D1768" s="40" t="s">
        <v>74</v>
      </c>
      <c r="E1768" s="40"/>
      <c r="F1768" s="40">
        <v>257</v>
      </c>
      <c r="G1768" s="38"/>
      <c r="H1768" s="38" t="s">
        <v>1269</v>
      </c>
      <c r="I1768" s="38" t="s">
        <v>1186</v>
      </c>
      <c r="J1768" s="38" t="s">
        <v>947</v>
      </c>
      <c r="K1768" s="38" t="s">
        <v>1270</v>
      </c>
      <c r="L1768" s="52" t="s">
        <v>213</v>
      </c>
      <c r="M1768" s="53" t="s">
        <v>213</v>
      </c>
    </row>
    <row r="1769" spans="1:13" x14ac:dyDescent="0.3">
      <c r="A1769" s="37">
        <v>24</v>
      </c>
      <c r="B1769" s="38" t="s">
        <v>1268</v>
      </c>
      <c r="C1769" s="51">
        <v>7891045013628</v>
      </c>
      <c r="D1769" s="40" t="s">
        <v>74</v>
      </c>
      <c r="E1769" s="40"/>
      <c r="F1769" s="40">
        <v>463</v>
      </c>
      <c r="G1769" s="38"/>
      <c r="H1769" s="38" t="s">
        <v>1265</v>
      </c>
      <c r="I1769" s="38" t="s">
        <v>424</v>
      </c>
      <c r="J1769" s="38" t="s">
        <v>947</v>
      </c>
      <c r="K1769" s="56">
        <v>0.56000000000000005</v>
      </c>
      <c r="L1769" s="52" t="s">
        <v>213</v>
      </c>
      <c r="M1769" s="53" t="s">
        <v>213</v>
      </c>
    </row>
    <row r="1770" spans="1:13" x14ac:dyDescent="0.3">
      <c r="A1770" s="37">
        <v>24</v>
      </c>
      <c r="B1770" s="38" t="s">
        <v>1271</v>
      </c>
      <c r="C1770" s="51">
        <v>7891045013628</v>
      </c>
      <c r="D1770" s="40" t="s">
        <v>74</v>
      </c>
      <c r="E1770" s="40"/>
      <c r="F1770" s="40">
        <v>463</v>
      </c>
      <c r="G1770" s="38"/>
      <c r="H1770" s="38" t="s">
        <v>1265</v>
      </c>
      <c r="I1770" s="38" t="s">
        <v>424</v>
      </c>
      <c r="J1770" s="38" t="s">
        <v>947</v>
      </c>
      <c r="K1770" s="56">
        <v>0.56000000000000005</v>
      </c>
      <c r="L1770" s="52" t="s">
        <v>213</v>
      </c>
      <c r="M1770" s="53" t="s">
        <v>213</v>
      </c>
    </row>
    <row r="1771" spans="1:13" x14ac:dyDescent="0.3">
      <c r="A1771" s="37">
        <v>24</v>
      </c>
      <c r="B1771" s="38" t="s">
        <v>1272</v>
      </c>
      <c r="C1771" s="51">
        <v>7891045013635</v>
      </c>
      <c r="D1771" s="40" t="s">
        <v>74</v>
      </c>
      <c r="E1771" s="40"/>
      <c r="F1771" s="40">
        <v>257</v>
      </c>
      <c r="G1771" s="38"/>
      <c r="H1771" s="38" t="s">
        <v>1269</v>
      </c>
      <c r="I1771" s="38" t="s">
        <v>1186</v>
      </c>
      <c r="J1771" s="38" t="s">
        <v>1133</v>
      </c>
      <c r="K1771" s="38" t="s">
        <v>1270</v>
      </c>
      <c r="L1771" s="52" t="s">
        <v>213</v>
      </c>
      <c r="M1771" s="53" t="s">
        <v>213</v>
      </c>
    </row>
    <row r="1772" spans="1:13" x14ac:dyDescent="0.3">
      <c r="A1772" s="37">
        <v>24</v>
      </c>
      <c r="B1772" s="38" t="s">
        <v>1273</v>
      </c>
      <c r="C1772" s="51">
        <v>7891045013635</v>
      </c>
      <c r="D1772" s="40" t="s">
        <v>74</v>
      </c>
      <c r="E1772" s="40"/>
      <c r="F1772" s="40">
        <v>257</v>
      </c>
      <c r="G1772" s="38"/>
      <c r="H1772" s="38" t="s">
        <v>1269</v>
      </c>
      <c r="I1772" s="38" t="s">
        <v>1186</v>
      </c>
      <c r="J1772" s="38" t="s">
        <v>1133</v>
      </c>
      <c r="K1772" s="38" t="s">
        <v>1270</v>
      </c>
      <c r="L1772" s="52" t="s">
        <v>213</v>
      </c>
      <c r="M1772" s="53" t="s">
        <v>213</v>
      </c>
    </row>
    <row r="1773" spans="1:13" x14ac:dyDescent="0.3">
      <c r="A1773" s="37">
        <v>24</v>
      </c>
      <c r="B1773" s="38" t="s">
        <v>1272</v>
      </c>
      <c r="C1773" s="51">
        <v>7891045013635</v>
      </c>
      <c r="D1773" s="40" t="s">
        <v>74</v>
      </c>
      <c r="E1773" s="40"/>
      <c r="F1773" s="40">
        <v>463</v>
      </c>
      <c r="G1773" s="38"/>
      <c r="H1773" s="38" t="s">
        <v>1265</v>
      </c>
      <c r="I1773" s="38" t="s">
        <v>424</v>
      </c>
      <c r="J1773" s="38" t="s">
        <v>947</v>
      </c>
      <c r="K1773" s="56">
        <v>0.44</v>
      </c>
      <c r="L1773" s="52" t="s">
        <v>213</v>
      </c>
      <c r="M1773" s="53" t="s">
        <v>213</v>
      </c>
    </row>
    <row r="1774" spans="1:13" x14ac:dyDescent="0.3">
      <c r="A1774" s="37">
        <v>24</v>
      </c>
      <c r="B1774" s="38" t="s">
        <v>1273</v>
      </c>
      <c r="C1774" s="51">
        <v>7891045013635</v>
      </c>
      <c r="D1774" s="40" t="s">
        <v>74</v>
      </c>
      <c r="E1774" s="40"/>
      <c r="F1774" s="40">
        <v>463</v>
      </c>
      <c r="G1774" s="38"/>
      <c r="H1774" s="38" t="s">
        <v>1265</v>
      </c>
      <c r="I1774" s="38" t="s">
        <v>424</v>
      </c>
      <c r="J1774" s="38" t="s">
        <v>947</v>
      </c>
      <c r="K1774" s="56">
        <v>0.44</v>
      </c>
      <c r="L1774" s="52" t="s">
        <v>213</v>
      </c>
      <c r="M1774" s="53" t="s">
        <v>213</v>
      </c>
    </row>
    <row r="1775" spans="1:13" x14ac:dyDescent="0.3">
      <c r="A1775" s="37">
        <v>24</v>
      </c>
      <c r="B1775" s="38" t="s">
        <v>1274</v>
      </c>
      <c r="C1775" s="51">
        <v>7891268102048</v>
      </c>
      <c r="D1775" s="40" t="s">
        <v>74</v>
      </c>
      <c r="E1775" s="40"/>
      <c r="F1775" s="40">
        <v>257</v>
      </c>
      <c r="G1775" s="38"/>
      <c r="H1775" s="38" t="s">
        <v>1269</v>
      </c>
      <c r="I1775" s="38" t="s">
        <v>1186</v>
      </c>
      <c r="J1775" s="38" t="s">
        <v>1133</v>
      </c>
      <c r="K1775" s="38" t="s">
        <v>1270</v>
      </c>
      <c r="L1775" s="52" t="s">
        <v>213</v>
      </c>
      <c r="M1775" s="53" t="s">
        <v>213</v>
      </c>
    </row>
    <row r="1776" spans="1:13" x14ac:dyDescent="0.3">
      <c r="A1776" s="37">
        <v>24</v>
      </c>
      <c r="B1776" s="38" t="s">
        <v>1275</v>
      </c>
      <c r="C1776" s="51">
        <v>7891268102048</v>
      </c>
      <c r="D1776" s="40" t="s">
        <v>74</v>
      </c>
      <c r="E1776" s="40"/>
      <c r="F1776" s="40">
        <v>257</v>
      </c>
      <c r="G1776" s="38"/>
      <c r="H1776" s="38" t="s">
        <v>1269</v>
      </c>
      <c r="I1776" s="38" t="s">
        <v>1186</v>
      </c>
      <c r="J1776" s="38" t="s">
        <v>1133</v>
      </c>
      <c r="K1776" s="38" t="s">
        <v>1270</v>
      </c>
      <c r="L1776" s="52" t="s">
        <v>213</v>
      </c>
      <c r="M1776" s="53" t="s">
        <v>213</v>
      </c>
    </row>
    <row r="1777" spans="1:13" x14ac:dyDescent="0.3">
      <c r="A1777" s="37">
        <v>24</v>
      </c>
      <c r="B1777" s="38" t="s">
        <v>1274</v>
      </c>
      <c r="C1777" s="51">
        <v>7891268102048</v>
      </c>
      <c r="D1777" s="40" t="s">
        <v>74</v>
      </c>
      <c r="E1777" s="40"/>
      <c r="F1777" s="40">
        <v>461</v>
      </c>
      <c r="G1777" s="38"/>
      <c r="H1777" s="38" t="s">
        <v>1276</v>
      </c>
      <c r="I1777" s="38" t="s">
        <v>424</v>
      </c>
      <c r="J1777" s="38" t="s">
        <v>947</v>
      </c>
      <c r="K1777" s="56">
        <v>0.39</v>
      </c>
      <c r="L1777" s="52" t="s">
        <v>213</v>
      </c>
      <c r="M1777" s="53" t="s">
        <v>213</v>
      </c>
    </row>
    <row r="1778" spans="1:13" x14ac:dyDescent="0.3">
      <c r="A1778" s="37">
        <v>24</v>
      </c>
      <c r="B1778" s="38" t="s">
        <v>1275</v>
      </c>
      <c r="C1778" s="51">
        <v>7891268102048</v>
      </c>
      <c r="D1778" s="40" t="s">
        <v>74</v>
      </c>
      <c r="E1778" s="40"/>
      <c r="F1778" s="40">
        <v>461</v>
      </c>
      <c r="G1778" s="38"/>
      <c r="H1778" s="38" t="s">
        <v>1276</v>
      </c>
      <c r="I1778" s="38" t="s">
        <v>424</v>
      </c>
      <c r="J1778" s="38" t="s">
        <v>947</v>
      </c>
      <c r="K1778" s="56">
        <v>0.39</v>
      </c>
      <c r="L1778" s="52" t="s">
        <v>213</v>
      </c>
      <c r="M1778" s="53" t="s">
        <v>213</v>
      </c>
    </row>
    <row r="1779" spans="1:13" x14ac:dyDescent="0.3">
      <c r="A1779" s="37">
        <v>24</v>
      </c>
      <c r="B1779" s="38" t="s">
        <v>1277</v>
      </c>
      <c r="C1779" s="51">
        <v>7891268107500</v>
      </c>
      <c r="D1779" s="40" t="s">
        <v>74</v>
      </c>
      <c r="E1779" s="40"/>
      <c r="F1779" s="40">
        <v>478</v>
      </c>
      <c r="G1779" s="38"/>
      <c r="H1779" s="38" t="s">
        <v>1278</v>
      </c>
      <c r="I1779" s="38" t="s">
        <v>311</v>
      </c>
      <c r="J1779" s="38" t="s">
        <v>947</v>
      </c>
      <c r="K1779" s="38" t="s">
        <v>1279</v>
      </c>
      <c r="L1779" s="52" t="s">
        <v>213</v>
      </c>
      <c r="M1779" s="53" t="s">
        <v>213</v>
      </c>
    </row>
    <row r="1780" spans="1:13" x14ac:dyDescent="0.3">
      <c r="A1780" s="37">
        <v>24</v>
      </c>
      <c r="B1780" s="38" t="s">
        <v>1280</v>
      </c>
      <c r="C1780" s="51">
        <v>7891268107500</v>
      </c>
      <c r="D1780" s="40" t="s">
        <v>74</v>
      </c>
      <c r="E1780" s="40"/>
      <c r="F1780" s="40">
        <v>478</v>
      </c>
      <c r="G1780" s="38"/>
      <c r="H1780" s="38" t="s">
        <v>1278</v>
      </c>
      <c r="I1780" s="38" t="s">
        <v>311</v>
      </c>
      <c r="J1780" s="38" t="s">
        <v>947</v>
      </c>
      <c r="K1780" s="38" t="s">
        <v>1279</v>
      </c>
      <c r="L1780" s="52" t="s">
        <v>213</v>
      </c>
      <c r="M1780" s="53" t="s">
        <v>213</v>
      </c>
    </row>
    <row r="1781" spans="1:13" x14ac:dyDescent="0.3">
      <c r="A1781" s="37">
        <v>24</v>
      </c>
      <c r="B1781" s="38" t="s">
        <v>1281</v>
      </c>
      <c r="C1781" s="51">
        <v>7891268107609</v>
      </c>
      <c r="D1781" s="40" t="s">
        <v>74</v>
      </c>
      <c r="E1781" s="40" t="str">
        <f>B1781&amp;H1781</f>
        <v>XALATAN 0,005% 0,005% CPSXALATAN 2016</v>
      </c>
      <c r="F1781" s="40">
        <v>477</v>
      </c>
      <c r="G1781" s="38"/>
      <c r="H1781" s="38" t="s">
        <v>1282</v>
      </c>
      <c r="I1781" s="38" t="s">
        <v>311</v>
      </c>
      <c r="J1781" s="38" t="s">
        <v>947</v>
      </c>
      <c r="K1781" s="38" t="s">
        <v>1283</v>
      </c>
      <c r="L1781" s="52" t="s">
        <v>213</v>
      </c>
      <c r="M1781" s="53" t="s">
        <v>213</v>
      </c>
    </row>
    <row r="1782" spans="1:13" x14ac:dyDescent="0.3">
      <c r="A1782" s="37">
        <v>24</v>
      </c>
      <c r="B1782" s="38" t="s">
        <v>48</v>
      </c>
      <c r="C1782" s="51">
        <v>7891268107609</v>
      </c>
      <c r="D1782" s="40" t="s">
        <v>74</v>
      </c>
      <c r="E1782" s="40" t="str">
        <f t="shared" ref="E1782:E1786" si="0">B1782&amp;H1782</f>
        <v>Xalatan Sol. Oftalmica 2.5 ml 1 frascoXALATAN 2016</v>
      </c>
      <c r="F1782" s="40">
        <v>477</v>
      </c>
      <c r="G1782" s="38"/>
      <c r="H1782" s="38" t="s">
        <v>1282</v>
      </c>
      <c r="I1782" s="38" t="s">
        <v>311</v>
      </c>
      <c r="J1782" s="38" t="s">
        <v>947</v>
      </c>
      <c r="K1782" s="38" t="s">
        <v>1283</v>
      </c>
      <c r="L1782" s="52" t="s">
        <v>213</v>
      </c>
      <c r="M1782" s="53" t="s">
        <v>213</v>
      </c>
    </row>
    <row r="1783" spans="1:13" x14ac:dyDescent="0.3">
      <c r="A1783" s="37">
        <v>24</v>
      </c>
      <c r="B1783" s="38" t="s">
        <v>1281</v>
      </c>
      <c r="C1783" s="51">
        <v>7891268107609</v>
      </c>
      <c r="D1783" s="40" t="s">
        <v>74</v>
      </c>
      <c r="E1783" s="40" t="str">
        <f t="shared" si="0"/>
        <v>XALATAN 0,005% 0,005% CPSXALATAN 2020</v>
      </c>
      <c r="F1783" s="40">
        <v>969</v>
      </c>
      <c r="G1783" s="38"/>
      <c r="H1783" s="38" t="s">
        <v>1284</v>
      </c>
      <c r="I1783" s="38" t="s">
        <v>31</v>
      </c>
      <c r="J1783" s="38" t="s">
        <v>1166</v>
      </c>
      <c r="K1783" s="56">
        <v>0.5</v>
      </c>
      <c r="L1783" s="52" t="s">
        <v>213</v>
      </c>
      <c r="M1783" s="53" t="s">
        <v>213</v>
      </c>
    </row>
    <row r="1784" spans="1:13" x14ac:dyDescent="0.3">
      <c r="A1784" s="37">
        <v>24</v>
      </c>
      <c r="B1784" s="38" t="s">
        <v>48</v>
      </c>
      <c r="C1784" s="51">
        <v>7891268107609</v>
      </c>
      <c r="D1784" s="40" t="s">
        <v>74</v>
      </c>
      <c r="E1784" s="40" t="str">
        <f t="shared" si="0"/>
        <v>Xalatan Sol. Oftalmica 2.5 ml 1 frascoXALATAN 2020</v>
      </c>
      <c r="F1784" s="40">
        <v>969</v>
      </c>
      <c r="G1784" s="38"/>
      <c r="H1784" s="38" t="s">
        <v>1284</v>
      </c>
      <c r="I1784" s="38" t="s">
        <v>31</v>
      </c>
      <c r="J1784" s="38" t="s">
        <v>1166</v>
      </c>
      <c r="K1784" s="56">
        <v>0.5</v>
      </c>
      <c r="L1784" s="52" t="s">
        <v>213</v>
      </c>
      <c r="M1784" s="53" t="s">
        <v>213</v>
      </c>
    </row>
    <row r="1785" spans="1:13" x14ac:dyDescent="0.3">
      <c r="A1785" s="37">
        <v>24</v>
      </c>
      <c r="B1785" s="38" t="s">
        <v>1281</v>
      </c>
      <c r="C1785" s="51">
        <v>7891268107609</v>
      </c>
      <c r="D1785" s="40" t="s">
        <v>74</v>
      </c>
      <c r="E1785" s="40" t="str">
        <f t="shared" si="0"/>
        <v>XALATAN 0,005% 0,005% CPSXALATAN</v>
      </c>
      <c r="F1785" s="40">
        <v>970</v>
      </c>
      <c r="G1785" s="38"/>
      <c r="H1785" s="38" t="s">
        <v>1285</v>
      </c>
      <c r="I1785" s="38" t="s">
        <v>311</v>
      </c>
      <c r="J1785" s="38" t="s">
        <v>1014</v>
      </c>
      <c r="K1785" s="38" t="s">
        <v>1279</v>
      </c>
      <c r="L1785" s="52" t="s">
        <v>213</v>
      </c>
      <c r="M1785" s="53" t="s">
        <v>213</v>
      </c>
    </row>
    <row r="1786" spans="1:13" x14ac:dyDescent="0.3">
      <c r="A1786" s="37">
        <v>24</v>
      </c>
      <c r="B1786" s="38" t="s">
        <v>48</v>
      </c>
      <c r="C1786" s="51">
        <v>7891268107609</v>
      </c>
      <c r="D1786" s="40" t="s">
        <v>74</v>
      </c>
      <c r="E1786" s="40" t="str">
        <f t="shared" si="0"/>
        <v>Xalatan Sol. Oftalmica 2.5 ml 1 frascoXALATAN</v>
      </c>
      <c r="F1786" s="40">
        <v>970</v>
      </c>
      <c r="G1786" s="38"/>
      <c r="H1786" s="38" t="s">
        <v>1285</v>
      </c>
      <c r="I1786" s="38" t="s">
        <v>311</v>
      </c>
      <c r="J1786" s="38" t="s">
        <v>1014</v>
      </c>
      <c r="K1786" s="38" t="s">
        <v>1279</v>
      </c>
      <c r="L1786" s="52" t="s">
        <v>213</v>
      </c>
      <c r="M1786" s="53" t="s">
        <v>213</v>
      </c>
    </row>
    <row r="1787" spans="1:13" x14ac:dyDescent="0.3">
      <c r="A1787" s="37">
        <v>24</v>
      </c>
      <c r="B1787" s="38" t="s">
        <v>1286</v>
      </c>
      <c r="C1787" s="51">
        <v>7891268109122</v>
      </c>
      <c r="D1787" s="40" t="s">
        <v>74</v>
      </c>
      <c r="E1787" s="40"/>
      <c r="F1787" s="40">
        <v>257</v>
      </c>
      <c r="G1787" s="38"/>
      <c r="H1787" s="38" t="s">
        <v>1269</v>
      </c>
      <c r="I1787" s="38" t="s">
        <v>1186</v>
      </c>
      <c r="J1787" s="38" t="s">
        <v>947</v>
      </c>
      <c r="K1787" s="38" t="s">
        <v>1270</v>
      </c>
      <c r="L1787" s="52" t="s">
        <v>213</v>
      </c>
      <c r="M1787" s="53" t="s">
        <v>213</v>
      </c>
    </row>
    <row r="1788" spans="1:13" x14ac:dyDescent="0.3">
      <c r="A1788" s="37">
        <v>24</v>
      </c>
      <c r="B1788" s="38" t="s">
        <v>1287</v>
      </c>
      <c r="C1788" s="51">
        <v>7891268109122</v>
      </c>
      <c r="D1788" s="40" t="s">
        <v>74</v>
      </c>
      <c r="E1788" s="40"/>
      <c r="F1788" s="40">
        <v>257</v>
      </c>
      <c r="G1788" s="38"/>
      <c r="H1788" s="38" t="s">
        <v>1269</v>
      </c>
      <c r="I1788" s="38" t="s">
        <v>1186</v>
      </c>
      <c r="J1788" s="38" t="s">
        <v>947</v>
      </c>
      <c r="K1788" s="38" t="s">
        <v>1270</v>
      </c>
      <c r="L1788" s="52" t="s">
        <v>213</v>
      </c>
      <c r="M1788" s="53" t="s">
        <v>213</v>
      </c>
    </row>
    <row r="1789" spans="1:13" x14ac:dyDescent="0.3">
      <c r="A1789" s="37">
        <v>24</v>
      </c>
      <c r="B1789" s="38" t="s">
        <v>1286</v>
      </c>
      <c r="C1789" s="51">
        <v>7891268109122</v>
      </c>
      <c r="D1789" s="40" t="s">
        <v>74</v>
      </c>
      <c r="E1789" s="40"/>
      <c r="F1789" s="40">
        <v>466</v>
      </c>
      <c r="G1789" s="38"/>
      <c r="H1789" s="38" t="s">
        <v>1288</v>
      </c>
      <c r="I1789" s="38" t="s">
        <v>424</v>
      </c>
      <c r="J1789" s="38" t="s">
        <v>1036</v>
      </c>
      <c r="K1789" s="56">
        <v>0.55000000000000004</v>
      </c>
      <c r="L1789" s="52" t="s">
        <v>213</v>
      </c>
      <c r="M1789" s="53" t="s">
        <v>213</v>
      </c>
    </row>
    <row r="1790" spans="1:13" x14ac:dyDescent="0.3">
      <c r="A1790" s="37">
        <v>24</v>
      </c>
      <c r="B1790" s="38" t="s">
        <v>1287</v>
      </c>
      <c r="C1790" s="51">
        <v>7891268109122</v>
      </c>
      <c r="D1790" s="40" t="s">
        <v>74</v>
      </c>
      <c r="E1790" s="40"/>
      <c r="F1790" s="40">
        <v>466</v>
      </c>
      <c r="G1790" s="38"/>
      <c r="H1790" s="38" t="s">
        <v>1288</v>
      </c>
      <c r="I1790" s="38" t="s">
        <v>424</v>
      </c>
      <c r="J1790" s="38" t="s">
        <v>1036</v>
      </c>
      <c r="K1790" s="56">
        <v>0.55000000000000004</v>
      </c>
      <c r="L1790" s="52" t="s">
        <v>213</v>
      </c>
      <c r="M1790" s="53" t="s">
        <v>213</v>
      </c>
    </row>
    <row r="1791" spans="1:13" x14ac:dyDescent="0.3">
      <c r="A1791" s="37">
        <v>24</v>
      </c>
      <c r="B1791" s="38" t="s">
        <v>1289</v>
      </c>
      <c r="C1791" s="51">
        <v>7891268114713</v>
      </c>
      <c r="D1791" s="40" t="s">
        <v>74</v>
      </c>
      <c r="E1791" s="40"/>
      <c r="F1791" s="40">
        <v>146</v>
      </c>
      <c r="G1791" s="38"/>
      <c r="H1791" s="38" t="s">
        <v>1290</v>
      </c>
      <c r="I1791" s="38" t="s">
        <v>424</v>
      </c>
      <c r="J1791" s="38" t="s">
        <v>947</v>
      </c>
      <c r="K1791" s="56">
        <v>0.3</v>
      </c>
      <c r="L1791" s="52" t="s">
        <v>213</v>
      </c>
      <c r="M1791" s="53" t="s">
        <v>213</v>
      </c>
    </row>
    <row r="1792" spans="1:13" x14ac:dyDescent="0.3">
      <c r="A1792" s="37">
        <v>24</v>
      </c>
      <c r="B1792" s="38" t="s">
        <v>1291</v>
      </c>
      <c r="C1792" s="51">
        <v>7891268114713</v>
      </c>
      <c r="D1792" s="40" t="s">
        <v>74</v>
      </c>
      <c r="E1792" s="40"/>
      <c r="F1792" s="40">
        <v>146</v>
      </c>
      <c r="G1792" s="38"/>
      <c r="H1792" s="38" t="s">
        <v>1290</v>
      </c>
      <c r="I1792" s="38" t="s">
        <v>424</v>
      </c>
      <c r="J1792" s="38" t="s">
        <v>947</v>
      </c>
      <c r="K1792" s="56">
        <v>0.3</v>
      </c>
      <c r="L1792" s="52" t="s">
        <v>213</v>
      </c>
      <c r="M1792" s="53" t="s">
        <v>213</v>
      </c>
    </row>
    <row r="1793" spans="1:13" x14ac:dyDescent="0.3">
      <c r="A1793" s="37">
        <v>24</v>
      </c>
      <c r="B1793" s="38" t="s">
        <v>1292</v>
      </c>
      <c r="C1793" s="51">
        <v>7891268114737</v>
      </c>
      <c r="D1793" s="40" t="s">
        <v>74</v>
      </c>
      <c r="E1793" s="40"/>
      <c r="F1793" s="40">
        <v>146</v>
      </c>
      <c r="G1793" s="38"/>
      <c r="H1793" s="38" t="s">
        <v>1290</v>
      </c>
      <c r="I1793" s="38" t="s">
        <v>424</v>
      </c>
      <c r="J1793" s="38" t="s">
        <v>947</v>
      </c>
      <c r="K1793" s="56">
        <v>0.3</v>
      </c>
      <c r="L1793" s="52" t="s">
        <v>213</v>
      </c>
      <c r="M1793" s="53" t="s">
        <v>213</v>
      </c>
    </row>
    <row r="1794" spans="1:13" x14ac:dyDescent="0.3">
      <c r="A1794" s="37">
        <v>24</v>
      </c>
      <c r="B1794" s="38" t="s">
        <v>1293</v>
      </c>
      <c r="C1794" s="51">
        <v>7891268114737</v>
      </c>
      <c r="D1794" s="40" t="s">
        <v>74</v>
      </c>
      <c r="E1794" s="40"/>
      <c r="F1794" s="40">
        <v>146</v>
      </c>
      <c r="G1794" s="38"/>
      <c r="H1794" s="38" t="s">
        <v>1290</v>
      </c>
      <c r="I1794" s="38" t="s">
        <v>424</v>
      </c>
      <c r="J1794" s="38" t="s">
        <v>947</v>
      </c>
      <c r="K1794" s="56">
        <v>0.3</v>
      </c>
      <c r="L1794" s="52" t="s">
        <v>213</v>
      </c>
      <c r="M1794" s="53" t="s">
        <v>213</v>
      </c>
    </row>
    <row r="1795" spans="1:13" x14ac:dyDescent="0.3">
      <c r="A1795" s="37">
        <v>24</v>
      </c>
      <c r="B1795" s="38" t="s">
        <v>1294</v>
      </c>
      <c r="C1795" s="51">
        <v>7891268116250</v>
      </c>
      <c r="D1795" s="40" t="s">
        <v>74</v>
      </c>
      <c r="E1795" s="40"/>
      <c r="F1795" s="40">
        <v>184</v>
      </c>
      <c r="G1795" s="38"/>
      <c r="H1795" s="38" t="s">
        <v>1295</v>
      </c>
      <c r="I1795" s="38" t="s">
        <v>424</v>
      </c>
      <c r="J1795" s="38" t="s">
        <v>1296</v>
      </c>
      <c r="K1795" s="56">
        <v>0.31</v>
      </c>
      <c r="L1795" s="52" t="s">
        <v>213</v>
      </c>
      <c r="M1795" s="53" t="s">
        <v>213</v>
      </c>
    </row>
    <row r="1796" spans="1:13" x14ac:dyDescent="0.3">
      <c r="A1796" s="37">
        <v>24</v>
      </c>
      <c r="B1796" s="38" t="s">
        <v>1297</v>
      </c>
      <c r="C1796" s="51">
        <v>7891268116250</v>
      </c>
      <c r="D1796" s="40" t="s">
        <v>74</v>
      </c>
      <c r="E1796" s="40"/>
      <c r="F1796" s="40">
        <v>184</v>
      </c>
      <c r="G1796" s="38"/>
      <c r="H1796" s="38" t="s">
        <v>1295</v>
      </c>
      <c r="I1796" s="38" t="s">
        <v>424</v>
      </c>
      <c r="J1796" s="38" t="s">
        <v>1296</v>
      </c>
      <c r="K1796" s="56">
        <v>0.31</v>
      </c>
      <c r="L1796" s="52" t="s">
        <v>213</v>
      </c>
      <c r="M1796" s="53" t="s">
        <v>213</v>
      </c>
    </row>
    <row r="1797" spans="1:13" x14ac:dyDescent="0.3">
      <c r="A1797" s="37">
        <v>24</v>
      </c>
      <c r="B1797" s="38" t="s">
        <v>1294</v>
      </c>
      <c r="C1797" s="51">
        <v>7891268116250</v>
      </c>
      <c r="D1797" s="40" t="s">
        <v>74</v>
      </c>
      <c r="E1797" s="40"/>
      <c r="F1797" s="40">
        <v>257</v>
      </c>
      <c r="G1797" s="38"/>
      <c r="H1797" s="38" t="s">
        <v>1269</v>
      </c>
      <c r="I1797" s="38" t="s">
        <v>1186</v>
      </c>
      <c r="J1797" s="38" t="s">
        <v>1036</v>
      </c>
      <c r="K1797" s="38" t="s">
        <v>1270</v>
      </c>
      <c r="L1797" s="52" t="s">
        <v>213</v>
      </c>
      <c r="M1797" s="53" t="s">
        <v>213</v>
      </c>
    </row>
    <row r="1798" spans="1:13" x14ac:dyDescent="0.3">
      <c r="A1798" s="37">
        <v>24</v>
      </c>
      <c r="B1798" s="38" t="s">
        <v>1297</v>
      </c>
      <c r="C1798" s="51">
        <v>7891268116250</v>
      </c>
      <c r="D1798" s="40" t="s">
        <v>74</v>
      </c>
      <c r="E1798" s="40"/>
      <c r="F1798" s="40">
        <v>257</v>
      </c>
      <c r="G1798" s="38"/>
      <c r="H1798" s="38" t="s">
        <v>1269</v>
      </c>
      <c r="I1798" s="38" t="s">
        <v>1186</v>
      </c>
      <c r="J1798" s="38" t="s">
        <v>1036</v>
      </c>
      <c r="K1798" s="38" t="s">
        <v>1270</v>
      </c>
      <c r="L1798" s="52" t="s">
        <v>213</v>
      </c>
      <c r="M1798" s="53" t="s">
        <v>213</v>
      </c>
    </row>
    <row r="1799" spans="1:13" x14ac:dyDescent="0.3">
      <c r="A1799" s="37">
        <v>24</v>
      </c>
      <c r="B1799" s="38" t="s">
        <v>1298</v>
      </c>
      <c r="C1799" s="51">
        <v>7891268116359</v>
      </c>
      <c r="D1799" s="40" t="s">
        <v>74</v>
      </c>
      <c r="E1799" s="40"/>
      <c r="F1799" s="40">
        <v>184</v>
      </c>
      <c r="G1799" s="38"/>
      <c r="H1799" s="38" t="s">
        <v>1295</v>
      </c>
      <c r="I1799" s="38" t="s">
        <v>424</v>
      </c>
      <c r="J1799" s="38" t="s">
        <v>1296</v>
      </c>
      <c r="K1799" s="56">
        <v>0.31</v>
      </c>
      <c r="L1799" s="52" t="s">
        <v>213</v>
      </c>
      <c r="M1799" s="53" t="s">
        <v>213</v>
      </c>
    </row>
    <row r="1800" spans="1:13" x14ac:dyDescent="0.3">
      <c r="A1800" s="37">
        <v>24</v>
      </c>
      <c r="B1800" s="38" t="s">
        <v>1299</v>
      </c>
      <c r="C1800" s="51">
        <v>7891268116359</v>
      </c>
      <c r="D1800" s="40" t="s">
        <v>74</v>
      </c>
      <c r="E1800" s="40"/>
      <c r="F1800" s="40">
        <v>184</v>
      </c>
      <c r="G1800" s="38"/>
      <c r="H1800" s="38" t="s">
        <v>1295</v>
      </c>
      <c r="I1800" s="38" t="s">
        <v>424</v>
      </c>
      <c r="J1800" s="38" t="s">
        <v>1296</v>
      </c>
      <c r="K1800" s="56">
        <v>0.31</v>
      </c>
      <c r="L1800" s="52" t="s">
        <v>213</v>
      </c>
      <c r="M1800" s="53" t="s">
        <v>213</v>
      </c>
    </row>
    <row r="1801" spans="1:13" x14ac:dyDescent="0.3">
      <c r="A1801" s="37">
        <v>24</v>
      </c>
      <c r="B1801" s="38" t="s">
        <v>1298</v>
      </c>
      <c r="C1801" s="51">
        <v>7891268116359</v>
      </c>
      <c r="D1801" s="40" t="s">
        <v>74</v>
      </c>
      <c r="E1801" s="40"/>
      <c r="F1801" s="40">
        <v>257</v>
      </c>
      <c r="G1801" s="38"/>
      <c r="H1801" s="38" t="s">
        <v>1269</v>
      </c>
      <c r="I1801" s="38" t="s">
        <v>1186</v>
      </c>
      <c r="J1801" s="38" t="s">
        <v>1036</v>
      </c>
      <c r="K1801" s="38" t="s">
        <v>1270</v>
      </c>
      <c r="L1801" s="52" t="s">
        <v>213</v>
      </c>
      <c r="M1801" s="53" t="s">
        <v>213</v>
      </c>
    </row>
    <row r="1802" spans="1:13" x14ac:dyDescent="0.3">
      <c r="A1802" s="37">
        <v>24</v>
      </c>
      <c r="B1802" s="38" t="s">
        <v>1299</v>
      </c>
      <c r="C1802" s="51">
        <v>7891268116359</v>
      </c>
      <c r="D1802" s="40" t="s">
        <v>74</v>
      </c>
      <c r="E1802" s="40"/>
      <c r="F1802" s="40">
        <v>257</v>
      </c>
      <c r="G1802" s="38"/>
      <c r="H1802" s="38" t="s">
        <v>1269</v>
      </c>
      <c r="I1802" s="38" t="s">
        <v>1186</v>
      </c>
      <c r="J1802" s="38" t="s">
        <v>1036</v>
      </c>
      <c r="K1802" s="38" t="s">
        <v>1270</v>
      </c>
      <c r="L1802" s="52" t="s">
        <v>213</v>
      </c>
      <c r="M1802" s="53" t="s">
        <v>213</v>
      </c>
    </row>
    <row r="1803" spans="1:13" x14ac:dyDescent="0.3">
      <c r="A1803" s="37">
        <v>24</v>
      </c>
      <c r="B1803" s="38" t="s">
        <v>1300</v>
      </c>
      <c r="C1803" s="51">
        <v>7891268117110</v>
      </c>
      <c r="D1803" s="40" t="s">
        <v>74</v>
      </c>
      <c r="E1803" s="40"/>
      <c r="F1803" s="40">
        <v>628</v>
      </c>
      <c r="G1803" s="38"/>
      <c r="H1803" s="38" t="s">
        <v>1301</v>
      </c>
      <c r="I1803" s="38" t="s">
        <v>311</v>
      </c>
      <c r="J1803" s="38" t="s">
        <v>1302</v>
      </c>
      <c r="K1803" s="38" t="s">
        <v>1303</v>
      </c>
      <c r="L1803" s="52" t="s">
        <v>213</v>
      </c>
      <c r="M1803" s="53" t="s">
        <v>213</v>
      </c>
    </row>
    <row r="1804" spans="1:13" x14ac:dyDescent="0.3">
      <c r="A1804" s="37">
        <v>24</v>
      </c>
      <c r="B1804" s="38" t="s">
        <v>1304</v>
      </c>
      <c r="C1804" s="51">
        <v>7891268117110</v>
      </c>
      <c r="D1804" s="40" t="s">
        <v>74</v>
      </c>
      <c r="E1804" s="40"/>
      <c r="F1804" s="40">
        <v>628</v>
      </c>
      <c r="G1804" s="38"/>
      <c r="H1804" s="38" t="s">
        <v>1301</v>
      </c>
      <c r="I1804" s="38" t="s">
        <v>311</v>
      </c>
      <c r="J1804" s="38" t="s">
        <v>1302</v>
      </c>
      <c r="K1804" s="38" t="s">
        <v>1303</v>
      </c>
      <c r="L1804" s="52" t="s">
        <v>213</v>
      </c>
      <c r="M1804" s="53" t="s">
        <v>213</v>
      </c>
    </row>
    <row r="1805" spans="1:13" x14ac:dyDescent="0.3">
      <c r="A1805" s="37">
        <v>24</v>
      </c>
      <c r="B1805" s="38" t="s">
        <v>1305</v>
      </c>
      <c r="C1805" s="51">
        <v>7891268117127</v>
      </c>
      <c r="D1805" s="40" t="s">
        <v>74</v>
      </c>
      <c r="E1805" s="40"/>
      <c r="F1805" s="40">
        <v>628</v>
      </c>
      <c r="G1805" s="38"/>
      <c r="H1805" s="38" t="s">
        <v>1301</v>
      </c>
      <c r="I1805" s="38" t="s">
        <v>311</v>
      </c>
      <c r="J1805" s="38" t="s">
        <v>1302</v>
      </c>
      <c r="K1805" s="38" t="s">
        <v>1303</v>
      </c>
      <c r="L1805" s="52" t="s">
        <v>213</v>
      </c>
      <c r="M1805" s="53" t="s">
        <v>213</v>
      </c>
    </row>
    <row r="1806" spans="1:13" x14ac:dyDescent="0.3">
      <c r="A1806" s="37">
        <v>24</v>
      </c>
      <c r="B1806" s="38" t="s">
        <v>1306</v>
      </c>
      <c r="C1806" s="51">
        <v>7891268117127</v>
      </c>
      <c r="D1806" s="40" t="s">
        <v>74</v>
      </c>
      <c r="E1806" s="40"/>
      <c r="F1806" s="40">
        <v>628</v>
      </c>
      <c r="G1806" s="38"/>
      <c r="H1806" s="38" t="s">
        <v>1301</v>
      </c>
      <c r="I1806" s="38" t="s">
        <v>311</v>
      </c>
      <c r="J1806" s="38" t="s">
        <v>1302</v>
      </c>
      <c r="K1806" s="38" t="s">
        <v>1303</v>
      </c>
      <c r="L1806" s="52" t="s">
        <v>213</v>
      </c>
      <c r="M1806" s="53" t="s">
        <v>213</v>
      </c>
    </row>
    <row r="1807" spans="1:13" x14ac:dyDescent="0.3">
      <c r="A1807" s="37">
        <v>24</v>
      </c>
      <c r="B1807" s="38" t="s">
        <v>1307</v>
      </c>
      <c r="C1807" s="51">
        <v>7891268117127</v>
      </c>
      <c r="D1807" s="40" t="s">
        <v>74</v>
      </c>
      <c r="E1807" s="40"/>
      <c r="F1807" s="40">
        <v>628</v>
      </c>
      <c r="G1807" s="38"/>
      <c r="H1807" s="38" t="s">
        <v>1301</v>
      </c>
      <c r="I1807" s="38" t="s">
        <v>311</v>
      </c>
      <c r="J1807" s="38" t="s">
        <v>1302</v>
      </c>
      <c r="K1807" s="38" t="s">
        <v>1303</v>
      </c>
      <c r="L1807" s="52" t="s">
        <v>213</v>
      </c>
      <c r="M1807" s="53" t="s">
        <v>213</v>
      </c>
    </row>
    <row r="1808" spans="1:13" x14ac:dyDescent="0.3">
      <c r="A1808" s="37">
        <v>24</v>
      </c>
      <c r="B1808" s="38" t="s">
        <v>1308</v>
      </c>
      <c r="C1808" s="51">
        <v>7891268117165</v>
      </c>
      <c r="D1808" s="40" t="s">
        <v>74</v>
      </c>
      <c r="E1808" s="40"/>
      <c r="F1808" s="40">
        <v>628</v>
      </c>
      <c r="G1808" s="38"/>
      <c r="H1808" s="38" t="s">
        <v>1301</v>
      </c>
      <c r="I1808" s="38" t="s">
        <v>311</v>
      </c>
      <c r="J1808" s="38" t="s">
        <v>1302</v>
      </c>
      <c r="K1808" s="38" t="s">
        <v>1303</v>
      </c>
      <c r="L1808" s="52" t="s">
        <v>213</v>
      </c>
      <c r="M1808" s="53" t="s">
        <v>213</v>
      </c>
    </row>
    <row r="1809" spans="1:13" x14ac:dyDescent="0.3">
      <c r="A1809" s="37">
        <v>24</v>
      </c>
      <c r="B1809" s="38" t="s">
        <v>1309</v>
      </c>
      <c r="C1809" s="51">
        <v>7891268117165</v>
      </c>
      <c r="D1809" s="40" t="s">
        <v>74</v>
      </c>
      <c r="E1809" s="40"/>
      <c r="F1809" s="40">
        <v>628</v>
      </c>
      <c r="G1809" s="38"/>
      <c r="H1809" s="38" t="s">
        <v>1301</v>
      </c>
      <c r="I1809" s="38" t="s">
        <v>311</v>
      </c>
      <c r="J1809" s="38" t="s">
        <v>1302</v>
      </c>
      <c r="K1809" s="38" t="s">
        <v>1303</v>
      </c>
      <c r="L1809" s="52" t="s">
        <v>213</v>
      </c>
      <c r="M1809" s="53" t="s">
        <v>213</v>
      </c>
    </row>
    <row r="1810" spans="1:13" x14ac:dyDescent="0.3">
      <c r="A1810" s="37">
        <v>24</v>
      </c>
      <c r="B1810" s="38" t="s">
        <v>1310</v>
      </c>
      <c r="C1810" s="51">
        <v>7891268117172</v>
      </c>
      <c r="D1810" s="40" t="s">
        <v>74</v>
      </c>
      <c r="E1810" s="40"/>
      <c r="F1810" s="40">
        <v>628</v>
      </c>
      <c r="G1810" s="38"/>
      <c r="H1810" s="38" t="s">
        <v>1301</v>
      </c>
      <c r="I1810" s="38" t="s">
        <v>311</v>
      </c>
      <c r="J1810" s="38" t="s">
        <v>1302</v>
      </c>
      <c r="K1810" s="38" t="s">
        <v>1303</v>
      </c>
      <c r="L1810" s="52" t="s">
        <v>213</v>
      </c>
      <c r="M1810" s="53" t="s">
        <v>213</v>
      </c>
    </row>
    <row r="1811" spans="1:13" x14ac:dyDescent="0.3">
      <c r="A1811" s="37">
        <v>24</v>
      </c>
      <c r="B1811" s="38" t="s">
        <v>1311</v>
      </c>
      <c r="C1811" s="51">
        <v>7891268117172</v>
      </c>
      <c r="D1811" s="40" t="s">
        <v>74</v>
      </c>
      <c r="E1811" s="40"/>
      <c r="F1811" s="40">
        <v>628</v>
      </c>
      <c r="G1811" s="38"/>
      <c r="H1811" s="38" t="s">
        <v>1301</v>
      </c>
      <c r="I1811" s="38" t="s">
        <v>311</v>
      </c>
      <c r="J1811" s="38" t="s">
        <v>1302</v>
      </c>
      <c r="K1811" s="38" t="s">
        <v>1303</v>
      </c>
      <c r="L1811" s="52" t="s">
        <v>213</v>
      </c>
      <c r="M1811" s="53" t="s">
        <v>213</v>
      </c>
    </row>
    <row r="1812" spans="1:13" x14ac:dyDescent="0.3">
      <c r="A1812" s="37">
        <v>24</v>
      </c>
      <c r="B1812" s="38" t="s">
        <v>1312</v>
      </c>
      <c r="C1812" s="51">
        <v>7891268148350</v>
      </c>
      <c r="D1812" s="40" t="s">
        <v>74</v>
      </c>
      <c r="E1812" s="40"/>
      <c r="F1812" s="40">
        <v>692</v>
      </c>
      <c r="G1812" s="38"/>
      <c r="H1812" s="38" t="s">
        <v>1313</v>
      </c>
      <c r="I1812" s="38" t="s">
        <v>424</v>
      </c>
      <c r="J1812" s="38" t="s">
        <v>947</v>
      </c>
      <c r="K1812" s="56">
        <v>0.25</v>
      </c>
      <c r="L1812" s="52" t="s">
        <v>213</v>
      </c>
      <c r="M1812" s="53" t="s">
        <v>213</v>
      </c>
    </row>
    <row r="1813" spans="1:13" x14ac:dyDescent="0.3">
      <c r="A1813" s="37">
        <v>24</v>
      </c>
      <c r="B1813" s="38" t="s">
        <v>1314</v>
      </c>
      <c r="C1813" s="51">
        <v>7891268148350</v>
      </c>
      <c r="D1813" s="40" t="s">
        <v>74</v>
      </c>
      <c r="E1813" s="40"/>
      <c r="F1813" s="40">
        <v>692</v>
      </c>
      <c r="G1813" s="38"/>
      <c r="H1813" s="38" t="s">
        <v>1313</v>
      </c>
      <c r="I1813" s="38" t="s">
        <v>424</v>
      </c>
      <c r="J1813" s="38" t="s">
        <v>947</v>
      </c>
      <c r="K1813" s="56">
        <v>0.25</v>
      </c>
      <c r="L1813" s="52" t="s">
        <v>213</v>
      </c>
      <c r="M1813" s="53" t="s">
        <v>213</v>
      </c>
    </row>
    <row r="1814" spans="1:13" x14ac:dyDescent="0.3">
      <c r="A1814" s="37">
        <v>24</v>
      </c>
      <c r="B1814" s="38" t="s">
        <v>1315</v>
      </c>
      <c r="C1814" s="51">
        <v>7891268148367</v>
      </c>
      <c r="D1814" s="40" t="s">
        <v>74</v>
      </c>
      <c r="E1814" s="40"/>
      <c r="F1814" s="40">
        <v>692</v>
      </c>
      <c r="G1814" s="38"/>
      <c r="H1814" s="38" t="s">
        <v>1313</v>
      </c>
      <c r="I1814" s="38" t="s">
        <v>424</v>
      </c>
      <c r="J1814" s="38" t="s">
        <v>947</v>
      </c>
      <c r="K1814" s="56">
        <v>0.25</v>
      </c>
      <c r="L1814" s="52" t="s">
        <v>213</v>
      </c>
      <c r="M1814" s="53" t="s">
        <v>213</v>
      </c>
    </row>
    <row r="1815" spans="1:13" x14ac:dyDescent="0.3">
      <c r="A1815" s="37">
        <v>24</v>
      </c>
      <c r="B1815" s="38" t="s">
        <v>1316</v>
      </c>
      <c r="C1815" s="51">
        <v>7891268148367</v>
      </c>
      <c r="D1815" s="40" t="s">
        <v>74</v>
      </c>
      <c r="E1815" s="40"/>
      <c r="F1815" s="40">
        <v>692</v>
      </c>
      <c r="G1815" s="38"/>
      <c r="H1815" s="38" t="s">
        <v>1313</v>
      </c>
      <c r="I1815" s="38" t="s">
        <v>424</v>
      </c>
      <c r="J1815" s="38" t="s">
        <v>947</v>
      </c>
      <c r="K1815" s="56">
        <v>0.25</v>
      </c>
      <c r="L1815" s="52" t="s">
        <v>213</v>
      </c>
      <c r="M1815" s="53" t="s">
        <v>213</v>
      </c>
    </row>
    <row r="1816" spans="1:13" x14ac:dyDescent="0.3">
      <c r="A1816" s="37">
        <v>24</v>
      </c>
      <c r="B1816" s="38" t="s">
        <v>1312</v>
      </c>
      <c r="C1816" s="51">
        <v>7908236800322</v>
      </c>
      <c r="D1816" s="40" t="s">
        <v>74</v>
      </c>
      <c r="E1816" s="40"/>
      <c r="F1816" s="40">
        <v>692</v>
      </c>
      <c r="G1816" s="38"/>
      <c r="H1816" s="38" t="s">
        <v>1313</v>
      </c>
      <c r="I1816" s="38" t="s">
        <v>424</v>
      </c>
      <c r="J1816" s="38" t="s">
        <v>947</v>
      </c>
      <c r="K1816" s="56">
        <v>0.25</v>
      </c>
      <c r="L1816" s="52" t="s">
        <v>213</v>
      </c>
      <c r="M1816" s="53" t="s">
        <v>213</v>
      </c>
    </row>
    <row r="1817" spans="1:13" x14ac:dyDescent="0.3">
      <c r="A1817" s="37">
        <v>24</v>
      </c>
      <c r="B1817" s="38" t="s">
        <v>1317</v>
      </c>
      <c r="C1817" s="51">
        <v>7908236800322</v>
      </c>
      <c r="D1817" s="40" t="s">
        <v>74</v>
      </c>
      <c r="E1817" s="40"/>
      <c r="F1817" s="40">
        <v>692</v>
      </c>
      <c r="G1817" s="38"/>
      <c r="H1817" s="38" t="s">
        <v>1313</v>
      </c>
      <c r="I1817" s="38" t="s">
        <v>424</v>
      </c>
      <c r="J1817" s="38" t="s">
        <v>947</v>
      </c>
      <c r="K1817" s="56">
        <v>0.25</v>
      </c>
      <c r="L1817" s="52" t="s">
        <v>213</v>
      </c>
      <c r="M1817" s="53" t="s">
        <v>213</v>
      </c>
    </row>
    <row r="1818" spans="1:13" x14ac:dyDescent="0.3">
      <c r="A1818" s="37">
        <v>24</v>
      </c>
      <c r="B1818" s="38" t="s">
        <v>1318</v>
      </c>
      <c r="C1818" s="51">
        <v>7908236800353</v>
      </c>
      <c r="D1818" s="40" t="s">
        <v>74</v>
      </c>
      <c r="E1818" s="40"/>
      <c r="F1818" s="40">
        <v>692</v>
      </c>
      <c r="G1818" s="38"/>
      <c r="H1818" s="38" t="s">
        <v>1313</v>
      </c>
      <c r="I1818" s="38" t="s">
        <v>424</v>
      </c>
      <c r="J1818" s="38" t="s">
        <v>947</v>
      </c>
      <c r="K1818" s="56">
        <v>0.25</v>
      </c>
      <c r="L1818" s="52" t="s">
        <v>213</v>
      </c>
      <c r="M1818" s="53" t="s">
        <v>213</v>
      </c>
    </row>
    <row r="1819" spans="1:13" x14ac:dyDescent="0.3">
      <c r="A1819" s="37">
        <v>24</v>
      </c>
      <c r="B1819" s="38" t="s">
        <v>1316</v>
      </c>
      <c r="C1819" s="51">
        <v>7908236800353</v>
      </c>
      <c r="D1819" s="40" t="s">
        <v>74</v>
      </c>
      <c r="E1819" s="40"/>
      <c r="F1819" s="40">
        <v>692</v>
      </c>
      <c r="G1819" s="38"/>
      <c r="H1819" s="38" t="s">
        <v>1313</v>
      </c>
      <c r="I1819" s="38" t="s">
        <v>424</v>
      </c>
      <c r="J1819" s="38" t="s">
        <v>947</v>
      </c>
      <c r="K1819" s="56">
        <v>0.25</v>
      </c>
      <c r="L1819" s="52" t="s">
        <v>213</v>
      </c>
      <c r="M1819" s="53" t="s">
        <v>213</v>
      </c>
    </row>
    <row r="1820" spans="1:13" x14ac:dyDescent="0.3">
      <c r="A1820" s="37">
        <v>24</v>
      </c>
      <c r="B1820" s="38" t="s">
        <v>1319</v>
      </c>
      <c r="C1820" s="51">
        <v>7908236800483</v>
      </c>
      <c r="D1820" s="40" t="s">
        <v>74</v>
      </c>
      <c r="E1820" s="40"/>
      <c r="F1820" s="40">
        <v>628</v>
      </c>
      <c r="G1820" s="38"/>
      <c r="H1820" s="38" t="s">
        <v>1301</v>
      </c>
      <c r="I1820" s="38" t="s">
        <v>311</v>
      </c>
      <c r="J1820" s="38" t="s">
        <v>1302</v>
      </c>
      <c r="K1820" s="38" t="s">
        <v>1303</v>
      </c>
      <c r="L1820" s="52" t="s">
        <v>213</v>
      </c>
      <c r="M1820" s="53" t="s">
        <v>213</v>
      </c>
    </row>
    <row r="1821" spans="1:13" x14ac:dyDescent="0.3">
      <c r="A1821" s="37">
        <v>24</v>
      </c>
      <c r="B1821" s="38" t="s">
        <v>1306</v>
      </c>
      <c r="C1821" s="51">
        <v>7908236800483</v>
      </c>
      <c r="D1821" s="40" t="s">
        <v>74</v>
      </c>
      <c r="E1821" s="40"/>
      <c r="F1821" s="40">
        <v>628</v>
      </c>
      <c r="G1821" s="38"/>
      <c r="H1821" s="38" t="s">
        <v>1301</v>
      </c>
      <c r="I1821" s="38" t="s">
        <v>311</v>
      </c>
      <c r="J1821" s="38" t="s">
        <v>1302</v>
      </c>
      <c r="K1821" s="38" t="s">
        <v>1303</v>
      </c>
      <c r="L1821" s="52" t="s">
        <v>213</v>
      </c>
      <c r="M1821" s="53" t="s">
        <v>213</v>
      </c>
    </row>
    <row r="1822" spans="1:13" x14ac:dyDescent="0.3">
      <c r="A1822" s="37">
        <v>24</v>
      </c>
      <c r="B1822" s="38" t="s">
        <v>1320</v>
      </c>
      <c r="C1822" s="51">
        <v>7908236800544</v>
      </c>
      <c r="D1822" s="40" t="s">
        <v>74</v>
      </c>
      <c r="E1822" s="40"/>
      <c r="F1822" s="40">
        <v>628</v>
      </c>
      <c r="G1822" s="38"/>
      <c r="H1822" s="38" t="s">
        <v>1301</v>
      </c>
      <c r="I1822" s="38" t="s">
        <v>311</v>
      </c>
      <c r="J1822" s="38" t="s">
        <v>1302</v>
      </c>
      <c r="K1822" s="38" t="s">
        <v>1303</v>
      </c>
      <c r="L1822" s="52" t="s">
        <v>213</v>
      </c>
      <c r="M1822" s="53" t="s">
        <v>213</v>
      </c>
    </row>
    <row r="1823" spans="1:13" x14ac:dyDescent="0.3">
      <c r="A1823" s="37">
        <v>24</v>
      </c>
      <c r="B1823" s="38" t="s">
        <v>1304</v>
      </c>
      <c r="C1823" s="51">
        <v>7908236800544</v>
      </c>
      <c r="D1823" s="40" t="s">
        <v>74</v>
      </c>
      <c r="E1823" s="40"/>
      <c r="F1823" s="40">
        <v>628</v>
      </c>
      <c r="G1823" s="38"/>
      <c r="H1823" s="38" t="s">
        <v>1301</v>
      </c>
      <c r="I1823" s="38" t="s">
        <v>311</v>
      </c>
      <c r="J1823" s="38" t="s">
        <v>1302</v>
      </c>
      <c r="K1823" s="38" t="s">
        <v>1303</v>
      </c>
      <c r="L1823" s="52" t="s">
        <v>213</v>
      </c>
      <c r="M1823" s="53" t="s">
        <v>213</v>
      </c>
    </row>
    <row r="1824" spans="1:13" x14ac:dyDescent="0.3">
      <c r="A1824" s="37">
        <v>24</v>
      </c>
      <c r="B1824" s="38" t="s">
        <v>1273</v>
      </c>
      <c r="C1824" s="51">
        <v>7908236800568</v>
      </c>
      <c r="D1824" s="40" t="s">
        <v>74</v>
      </c>
      <c r="E1824" s="40"/>
      <c r="F1824" s="40">
        <v>257</v>
      </c>
      <c r="G1824" s="38"/>
      <c r="H1824" s="38" t="s">
        <v>1269</v>
      </c>
      <c r="I1824" s="38" t="s">
        <v>1186</v>
      </c>
      <c r="J1824" s="38" t="s">
        <v>1133</v>
      </c>
      <c r="K1824" s="38" t="s">
        <v>1270</v>
      </c>
      <c r="L1824" s="52" t="s">
        <v>213</v>
      </c>
      <c r="M1824" s="53" t="s">
        <v>213</v>
      </c>
    </row>
    <row r="1825" spans="1:13" x14ac:dyDescent="0.3">
      <c r="A1825" s="37">
        <v>24</v>
      </c>
      <c r="B1825" s="38" t="s">
        <v>1273</v>
      </c>
      <c r="C1825" s="51">
        <v>7908236800568</v>
      </c>
      <c r="D1825" s="40" t="s">
        <v>74</v>
      </c>
      <c r="E1825" s="40"/>
      <c r="F1825" s="40">
        <v>463</v>
      </c>
      <c r="G1825" s="38"/>
      <c r="H1825" s="38" t="s">
        <v>1265</v>
      </c>
      <c r="I1825" s="38" t="s">
        <v>424</v>
      </c>
      <c r="J1825" s="38" t="s">
        <v>947</v>
      </c>
      <c r="K1825" s="56">
        <v>0.44</v>
      </c>
      <c r="L1825" s="52" t="s">
        <v>213</v>
      </c>
      <c r="M1825" s="53" t="s">
        <v>213</v>
      </c>
    </row>
    <row r="1826" spans="1:13" x14ac:dyDescent="0.3">
      <c r="A1826" s="37">
        <v>24</v>
      </c>
      <c r="B1826" s="38" t="s">
        <v>1266</v>
      </c>
      <c r="C1826" s="51">
        <v>7908236800605</v>
      </c>
      <c r="D1826" s="40" t="s">
        <v>74</v>
      </c>
      <c r="E1826" s="40"/>
      <c r="F1826" s="40">
        <v>257</v>
      </c>
      <c r="G1826" s="38"/>
      <c r="H1826" s="38" t="s">
        <v>1269</v>
      </c>
      <c r="I1826" s="38" t="s">
        <v>1186</v>
      </c>
      <c r="J1826" s="38" t="s">
        <v>1321</v>
      </c>
      <c r="K1826" s="38" t="s">
        <v>1270</v>
      </c>
      <c r="L1826" s="52" t="s">
        <v>213</v>
      </c>
      <c r="M1826" s="53" t="s">
        <v>213</v>
      </c>
    </row>
    <row r="1827" spans="1:13" x14ac:dyDescent="0.3">
      <c r="A1827" s="37">
        <v>24</v>
      </c>
      <c r="B1827" s="38" t="s">
        <v>1266</v>
      </c>
      <c r="C1827" s="51">
        <v>7908236800605</v>
      </c>
      <c r="D1827" s="40" t="s">
        <v>74</v>
      </c>
      <c r="E1827" s="40"/>
      <c r="F1827" s="40">
        <v>463</v>
      </c>
      <c r="G1827" s="38"/>
      <c r="H1827" s="38" t="s">
        <v>1265</v>
      </c>
      <c r="I1827" s="38" t="s">
        <v>424</v>
      </c>
      <c r="J1827" s="38" t="s">
        <v>947</v>
      </c>
      <c r="K1827" s="56">
        <v>0.2</v>
      </c>
      <c r="L1827" s="52" t="s">
        <v>213</v>
      </c>
      <c r="M1827" s="53" t="s">
        <v>213</v>
      </c>
    </row>
    <row r="1828" spans="1:13" x14ac:dyDescent="0.3">
      <c r="A1828" s="37">
        <v>24</v>
      </c>
      <c r="B1828" s="38" t="s">
        <v>1266</v>
      </c>
      <c r="C1828" s="51">
        <v>7908236800605</v>
      </c>
      <c r="D1828" s="40" t="s">
        <v>74</v>
      </c>
      <c r="E1828" s="40"/>
      <c r="F1828" s="40">
        <v>693</v>
      </c>
      <c r="G1828" s="38"/>
      <c r="H1828" s="38" t="s">
        <v>1267</v>
      </c>
      <c r="I1828" s="38" t="s">
        <v>424</v>
      </c>
      <c r="J1828" s="38" t="s">
        <v>947</v>
      </c>
      <c r="K1828" s="56">
        <v>0.44</v>
      </c>
      <c r="L1828" s="52" t="s">
        <v>213</v>
      </c>
      <c r="M1828" s="53" t="s">
        <v>213</v>
      </c>
    </row>
    <row r="1829" spans="1:13" x14ac:dyDescent="0.3">
      <c r="A1829" s="37">
        <v>24</v>
      </c>
      <c r="B1829" s="38" t="s">
        <v>1271</v>
      </c>
      <c r="C1829" s="51">
        <v>7908236800629</v>
      </c>
      <c r="D1829" s="40" t="s">
        <v>74</v>
      </c>
      <c r="E1829" s="40"/>
      <c r="F1829" s="40">
        <v>257</v>
      </c>
      <c r="G1829" s="38"/>
      <c r="H1829" s="38" t="s">
        <v>1269</v>
      </c>
      <c r="I1829" s="38" t="s">
        <v>1186</v>
      </c>
      <c r="J1829" s="38" t="s">
        <v>947</v>
      </c>
      <c r="K1829" s="38" t="s">
        <v>1270</v>
      </c>
      <c r="L1829" s="52" t="s">
        <v>213</v>
      </c>
      <c r="M1829" s="53" t="s">
        <v>213</v>
      </c>
    </row>
    <row r="1830" spans="1:13" x14ac:dyDescent="0.3">
      <c r="A1830" s="37">
        <v>24</v>
      </c>
      <c r="B1830" s="38" t="s">
        <v>1271</v>
      </c>
      <c r="C1830" s="51">
        <v>7908236800629</v>
      </c>
      <c r="D1830" s="40" t="s">
        <v>74</v>
      </c>
      <c r="E1830" s="40"/>
      <c r="F1830" s="40">
        <v>463</v>
      </c>
      <c r="G1830" s="38"/>
      <c r="H1830" s="38" t="s">
        <v>1265</v>
      </c>
      <c r="I1830" s="38" t="s">
        <v>424</v>
      </c>
      <c r="J1830" s="38" t="s">
        <v>947</v>
      </c>
      <c r="K1830" s="56">
        <v>0.56000000000000005</v>
      </c>
      <c r="L1830" s="52" t="s">
        <v>213</v>
      </c>
      <c r="M1830" s="53" t="s">
        <v>213</v>
      </c>
    </row>
    <row r="1831" spans="1:13" x14ac:dyDescent="0.3">
      <c r="A1831" s="37">
        <v>24</v>
      </c>
      <c r="B1831" s="38" t="s">
        <v>1275</v>
      </c>
      <c r="C1831" s="51">
        <v>7908236800711</v>
      </c>
      <c r="D1831" s="40" t="s">
        <v>74</v>
      </c>
      <c r="E1831" s="40"/>
      <c r="F1831" s="40">
        <v>461</v>
      </c>
      <c r="G1831" s="38"/>
      <c r="H1831" s="38" t="s">
        <v>1276</v>
      </c>
      <c r="I1831" s="38" t="s">
        <v>424</v>
      </c>
      <c r="J1831" s="38" t="s">
        <v>1133</v>
      </c>
      <c r="K1831" s="56">
        <v>0.39</v>
      </c>
      <c r="L1831" s="52" t="s">
        <v>213</v>
      </c>
      <c r="M1831" s="53" t="s">
        <v>213</v>
      </c>
    </row>
    <row r="1832" spans="1:13" x14ac:dyDescent="0.3">
      <c r="A1832" s="37">
        <v>24</v>
      </c>
      <c r="B1832" s="38" t="s">
        <v>1289</v>
      </c>
      <c r="C1832" s="51">
        <v>7908236800759</v>
      </c>
      <c r="D1832" s="40" t="s">
        <v>74</v>
      </c>
      <c r="E1832" s="40"/>
      <c r="F1832" s="40">
        <v>146</v>
      </c>
      <c r="G1832" s="38"/>
      <c r="H1832" s="38" t="s">
        <v>1290</v>
      </c>
      <c r="I1832" s="38" t="s">
        <v>424</v>
      </c>
      <c r="J1832" s="38" t="s">
        <v>947</v>
      </c>
      <c r="K1832" s="56">
        <v>0.3</v>
      </c>
      <c r="L1832" s="52" t="s">
        <v>213</v>
      </c>
      <c r="M1832" s="53" t="s">
        <v>213</v>
      </c>
    </row>
    <row r="1833" spans="1:13" x14ac:dyDescent="0.3">
      <c r="A1833" s="37">
        <v>24</v>
      </c>
      <c r="B1833" s="38" t="s">
        <v>1292</v>
      </c>
      <c r="C1833" s="51">
        <v>7908236800766</v>
      </c>
      <c r="D1833" s="40" t="s">
        <v>74</v>
      </c>
      <c r="E1833" s="40"/>
      <c r="F1833" s="40">
        <v>146</v>
      </c>
      <c r="G1833" s="38"/>
      <c r="H1833" s="38" t="s">
        <v>1290</v>
      </c>
      <c r="I1833" s="38" t="s">
        <v>424</v>
      </c>
      <c r="J1833" s="38" t="s">
        <v>947</v>
      </c>
      <c r="K1833" s="56">
        <v>0.3</v>
      </c>
      <c r="L1833" s="52" t="s">
        <v>213</v>
      </c>
      <c r="M1833" s="53" t="s">
        <v>213</v>
      </c>
    </row>
    <row r="1834" spans="1:13" x14ac:dyDescent="0.3">
      <c r="A1834" s="37">
        <v>24</v>
      </c>
      <c r="B1834" s="38" t="s">
        <v>1309</v>
      </c>
      <c r="C1834" s="51">
        <v>7908236800773</v>
      </c>
      <c r="D1834" s="40" t="s">
        <v>74</v>
      </c>
      <c r="E1834" s="40"/>
      <c r="F1834" s="40">
        <v>628</v>
      </c>
      <c r="G1834" s="38"/>
      <c r="H1834" s="38" t="s">
        <v>1301</v>
      </c>
      <c r="I1834" s="38" t="s">
        <v>311</v>
      </c>
      <c r="J1834" s="38" t="s">
        <v>1302</v>
      </c>
      <c r="K1834" s="38" t="s">
        <v>1303</v>
      </c>
      <c r="L1834" s="52" t="s">
        <v>213</v>
      </c>
      <c r="M1834" s="53" t="s">
        <v>213</v>
      </c>
    </row>
    <row r="1835" spans="1:13" x14ac:dyDescent="0.3">
      <c r="A1835" s="37">
        <v>24</v>
      </c>
      <c r="B1835" s="38" t="s">
        <v>1311</v>
      </c>
      <c r="C1835" s="51">
        <v>7908236800797</v>
      </c>
      <c r="D1835" s="40" t="s">
        <v>74</v>
      </c>
      <c r="E1835" s="40"/>
      <c r="F1835" s="40">
        <v>628</v>
      </c>
      <c r="G1835" s="38"/>
      <c r="H1835" s="38" t="s">
        <v>1301</v>
      </c>
      <c r="I1835" s="38" t="s">
        <v>311</v>
      </c>
      <c r="J1835" s="38" t="s">
        <v>1302</v>
      </c>
      <c r="K1835" s="38" t="s">
        <v>1303</v>
      </c>
      <c r="L1835" s="52" t="s">
        <v>213</v>
      </c>
      <c r="M1835" s="53" t="s">
        <v>213</v>
      </c>
    </row>
    <row r="1836" spans="1:13" x14ac:dyDescent="0.3">
      <c r="A1836" s="37">
        <v>24</v>
      </c>
      <c r="B1836" s="38" t="s">
        <v>1280</v>
      </c>
      <c r="C1836" s="51">
        <v>7908236800841</v>
      </c>
      <c r="D1836" s="40" t="s">
        <v>74</v>
      </c>
      <c r="E1836" s="40" t="str">
        <f>B1836&amp;H1836</f>
        <v>Xalacom 2.5 ml 1 frascoXALACOM 2016</v>
      </c>
      <c r="F1836" s="40">
        <v>478</v>
      </c>
      <c r="G1836" s="38" t="str">
        <f>E1836&amp;F1836</f>
        <v>Xalacom 2.5 ml 1 frascoXALACOM 2016478</v>
      </c>
      <c r="H1836" s="38" t="s">
        <v>1278</v>
      </c>
      <c r="I1836" s="38" t="s">
        <v>311</v>
      </c>
      <c r="J1836" s="38" t="s">
        <v>947</v>
      </c>
      <c r="K1836" s="38" t="s">
        <v>1279</v>
      </c>
      <c r="L1836" s="52" t="s">
        <v>213</v>
      </c>
      <c r="M1836" s="53" t="s">
        <v>213</v>
      </c>
    </row>
    <row r="1837" spans="1:13" x14ac:dyDescent="0.3">
      <c r="A1837" s="37">
        <v>24</v>
      </c>
      <c r="B1837" s="38" t="s">
        <v>48</v>
      </c>
      <c r="C1837" s="51">
        <v>7908236800858</v>
      </c>
      <c r="D1837" s="40" t="s">
        <v>74</v>
      </c>
      <c r="E1837" s="40" t="str">
        <f>B1837&amp;H1837</f>
        <v>Xalatan Sol. Oftalmica 2.5 ml 1 frascoXALATAN 2016</v>
      </c>
      <c r="F1837" s="40">
        <v>477</v>
      </c>
      <c r="G1837" s="38" t="str">
        <f t="shared" ref="G1837:G1839" si="1">E1837&amp;F1837</f>
        <v>Xalatan Sol. Oftalmica 2.5 ml 1 frascoXALATAN 2016477</v>
      </c>
      <c r="H1837" s="38" t="s">
        <v>1282</v>
      </c>
      <c r="I1837" s="38" t="s">
        <v>311</v>
      </c>
      <c r="J1837" s="38" t="s">
        <v>1133</v>
      </c>
      <c r="K1837" s="38" t="s">
        <v>1283</v>
      </c>
      <c r="L1837" s="52" t="s">
        <v>213</v>
      </c>
      <c r="M1837" s="53" t="s">
        <v>213</v>
      </c>
    </row>
    <row r="1838" spans="1:13" x14ac:dyDescent="0.3">
      <c r="A1838" s="37">
        <v>24</v>
      </c>
      <c r="B1838" s="38" t="s">
        <v>48</v>
      </c>
      <c r="C1838" s="51">
        <v>7908236800858</v>
      </c>
      <c r="D1838" s="40" t="s">
        <v>74</v>
      </c>
      <c r="E1838" s="40" t="str">
        <f>B1838&amp;H1838</f>
        <v>Xalatan Sol. Oftalmica 2.5 ml 1 frascoXALATAN 2020</v>
      </c>
      <c r="F1838" s="40">
        <v>969</v>
      </c>
      <c r="G1838" s="38" t="str">
        <f t="shared" si="1"/>
        <v>Xalatan Sol. Oftalmica 2.5 ml 1 frascoXALATAN 2020969</v>
      </c>
      <c r="H1838" s="38" t="s">
        <v>1284</v>
      </c>
      <c r="I1838" s="38" t="s">
        <v>31</v>
      </c>
      <c r="J1838" s="38" t="s">
        <v>1166</v>
      </c>
      <c r="K1838" s="56">
        <v>0.5</v>
      </c>
      <c r="L1838" s="52" t="s">
        <v>213</v>
      </c>
      <c r="M1838" s="53" t="s">
        <v>213</v>
      </c>
    </row>
    <row r="1839" spans="1:13" x14ac:dyDescent="0.3">
      <c r="A1839" s="37">
        <v>24</v>
      </c>
      <c r="B1839" s="38" t="s">
        <v>48</v>
      </c>
      <c r="C1839" s="51">
        <v>7908236800858</v>
      </c>
      <c r="D1839" s="40" t="s">
        <v>74</v>
      </c>
      <c r="E1839" s="40" t="str">
        <f>B1839&amp;H1839</f>
        <v>Xalatan Sol. Oftalmica 2.5 ml 1 frascoXALATAN</v>
      </c>
      <c r="F1839" s="40">
        <v>970</v>
      </c>
      <c r="G1839" s="38" t="str">
        <f t="shared" si="1"/>
        <v>Xalatan Sol. Oftalmica 2.5 ml 1 frascoXALATAN970</v>
      </c>
      <c r="H1839" s="38" t="s">
        <v>1285</v>
      </c>
      <c r="I1839" s="38" t="s">
        <v>311</v>
      </c>
      <c r="J1839" s="38" t="s">
        <v>1014</v>
      </c>
      <c r="K1839" s="38" t="s">
        <v>1279</v>
      </c>
      <c r="L1839" s="52" t="s">
        <v>213</v>
      </c>
      <c r="M1839" s="53" t="s">
        <v>213</v>
      </c>
    </row>
    <row r="1840" spans="1:13" ht="15" thickBot="1" x14ac:dyDescent="0.35">
      <c r="A1840" s="57">
        <v>24</v>
      </c>
      <c r="B1840" s="58" t="s">
        <v>1286</v>
      </c>
      <c r="C1840" s="59">
        <v>7908236800988</v>
      </c>
      <c r="D1840" s="60" t="s">
        <v>74</v>
      </c>
      <c r="E1840" s="40" t="str">
        <f>B1840&amp;H1840</f>
        <v>Carduran 4 MG 30 CPRCARDURAN 2016</v>
      </c>
      <c r="F1840" s="60">
        <v>466</v>
      </c>
      <c r="G1840" s="58"/>
      <c r="H1840" s="58" t="s">
        <v>1288</v>
      </c>
      <c r="I1840" s="58" t="s">
        <v>424</v>
      </c>
      <c r="J1840" s="58" t="s">
        <v>947</v>
      </c>
      <c r="K1840" s="61">
        <v>0.55000000000000004</v>
      </c>
      <c r="L1840" s="62" t="s">
        <v>213</v>
      </c>
      <c r="M1840" s="63" t="s">
        <v>213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98FA8-E1FF-47A5-BB92-1C5D3BF1BCA4}">
  <sheetPr codeName="Planilha14"/>
  <dimension ref="A5:W79"/>
  <sheetViews>
    <sheetView showGridLines="0" topLeftCell="F17" zoomScale="70" zoomScaleNormal="70" workbookViewId="0">
      <selection activeCell="K44" sqref="K44"/>
    </sheetView>
  </sheetViews>
  <sheetFormatPr defaultRowHeight="14.4" x14ac:dyDescent="0.3"/>
  <cols>
    <col min="1" max="1" width="22.88671875" style="18" bestFit="1" customWidth="1"/>
    <col min="2" max="2" width="21.5546875" bestFit="1" customWidth="1"/>
    <col min="3" max="3" width="27.33203125" bestFit="1" customWidth="1"/>
    <col min="4" max="4" width="14.44140625" customWidth="1"/>
    <col min="5" max="5" width="59.33203125" style="18" bestFit="1" customWidth="1"/>
    <col min="6" max="6" width="18.109375" bestFit="1" customWidth="1"/>
    <col min="7" max="7" width="17.44140625" bestFit="1" customWidth="1"/>
    <col min="8" max="8" width="38.88671875" bestFit="1" customWidth="1"/>
    <col min="9" max="9" width="16" customWidth="1"/>
    <col min="10" max="10" width="15.33203125" bestFit="1" customWidth="1"/>
    <col min="11" max="11" width="21" bestFit="1" customWidth="1"/>
    <col min="12" max="12" width="11.5546875" bestFit="1" customWidth="1"/>
    <col min="13" max="13" width="13.44140625" bestFit="1" customWidth="1"/>
    <col min="14" max="14" width="13.44140625" customWidth="1"/>
    <col min="15" max="15" width="87.88671875" bestFit="1" customWidth="1"/>
    <col min="16" max="16" width="36.44140625" bestFit="1" customWidth="1"/>
    <col min="17" max="17" width="18.33203125" bestFit="1" customWidth="1"/>
    <col min="18" max="18" width="23" bestFit="1" customWidth="1"/>
    <col min="19" max="19" width="30" bestFit="1" customWidth="1"/>
    <col min="20" max="20" width="29.33203125" bestFit="1" customWidth="1"/>
    <col min="21" max="21" width="15" bestFit="1" customWidth="1"/>
    <col min="22" max="22" width="21.44140625" bestFit="1" customWidth="1"/>
    <col min="23" max="23" width="7.44140625" bestFit="1" customWidth="1"/>
  </cols>
  <sheetData>
    <row r="5" spans="1:23" x14ac:dyDescent="0.3">
      <c r="T5" s="66"/>
    </row>
    <row r="6" spans="1:23" x14ac:dyDescent="0.3">
      <c r="C6" s="17">
        <f ca="1">TODAY()</f>
        <v>44543</v>
      </c>
      <c r="U6" s="17">
        <f ca="1">TODAY()</f>
        <v>44543</v>
      </c>
    </row>
    <row r="7" spans="1:23" s="8" customFormat="1" ht="3.75" customHeight="1" thickBot="1" x14ac:dyDescent="0.35">
      <c r="A7" s="20"/>
      <c r="E7" s="20"/>
    </row>
    <row r="8" spans="1:23" ht="15" thickBot="1" x14ac:dyDescent="0.35">
      <c r="A8" s="123" t="s">
        <v>62</v>
      </c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4"/>
      <c r="Q8" s="125" t="s">
        <v>63</v>
      </c>
      <c r="R8" s="126"/>
      <c r="S8" s="126"/>
      <c r="T8" s="126"/>
      <c r="U8" s="126"/>
      <c r="V8" s="126"/>
      <c r="W8" s="126"/>
    </row>
    <row r="9" spans="1:23" ht="28.8" x14ac:dyDescent="0.3">
      <c r="A9" s="77" t="s">
        <v>1</v>
      </c>
      <c r="B9" s="78" t="s">
        <v>2</v>
      </c>
      <c r="C9" s="79" t="s">
        <v>3</v>
      </c>
      <c r="D9" s="79" t="s">
        <v>4</v>
      </c>
      <c r="E9" s="80" t="s">
        <v>5</v>
      </c>
      <c r="F9" s="81" t="s">
        <v>64</v>
      </c>
      <c r="G9" s="80" t="s">
        <v>6</v>
      </c>
      <c r="H9" s="82" t="s">
        <v>7</v>
      </c>
      <c r="I9" s="83" t="s">
        <v>8</v>
      </c>
      <c r="J9" s="84" t="s">
        <v>9</v>
      </c>
      <c r="K9" s="85" t="s">
        <v>10</v>
      </c>
      <c r="L9" s="79" t="s">
        <v>11</v>
      </c>
      <c r="M9" s="79" t="s">
        <v>12</v>
      </c>
      <c r="N9" s="79" t="s">
        <v>13</v>
      </c>
      <c r="O9" s="79" t="s">
        <v>14</v>
      </c>
      <c r="P9" s="79" t="s">
        <v>15</v>
      </c>
      <c r="Q9" s="79" t="s">
        <v>16</v>
      </c>
      <c r="R9" s="79" t="s">
        <v>17</v>
      </c>
      <c r="S9" s="79" t="s">
        <v>18</v>
      </c>
      <c r="T9" s="81" t="s">
        <v>19</v>
      </c>
      <c r="U9" s="86" t="s">
        <v>20</v>
      </c>
      <c r="V9" s="79" t="s">
        <v>21</v>
      </c>
      <c r="W9" s="77" t="s">
        <v>0</v>
      </c>
    </row>
    <row r="10" spans="1:23" x14ac:dyDescent="0.3">
      <c r="A10" s="75"/>
      <c r="B10" s="12"/>
      <c r="C10" s="75"/>
      <c r="D10" s="13"/>
      <c r="E10" s="38"/>
      <c r="F10" s="40"/>
      <c r="G10" s="51"/>
      <c r="H10" s="13"/>
      <c r="I10" s="15"/>
      <c r="J10" s="15"/>
      <c r="K10" s="13"/>
      <c r="L10" s="13"/>
      <c r="M10" s="13"/>
      <c r="N10" s="13"/>
      <c r="O10" s="13"/>
      <c r="P10" s="13"/>
      <c r="Q10" s="13"/>
      <c r="R10" s="13"/>
      <c r="S10" s="113"/>
      <c r="T10" s="64"/>
      <c r="U10" s="103"/>
      <c r="V10" s="13"/>
      <c r="W10" s="75" t="s">
        <v>50</v>
      </c>
    </row>
    <row r="11" spans="1:23" x14ac:dyDescent="0.3">
      <c r="A11" s="75"/>
      <c r="B11" s="12"/>
      <c r="C11" s="75"/>
      <c r="D11" s="13"/>
      <c r="E11" s="38"/>
      <c r="F11" s="40"/>
      <c r="G11" s="51"/>
      <c r="H11" s="13"/>
      <c r="I11" s="15"/>
      <c r="J11" s="15"/>
      <c r="K11" s="13"/>
      <c r="L11" s="13"/>
      <c r="M11" s="13"/>
      <c r="N11" s="13"/>
      <c r="O11" s="13"/>
      <c r="P11" s="13"/>
      <c r="Q11" s="13"/>
      <c r="R11" s="13"/>
      <c r="S11" s="113"/>
      <c r="T11" s="64"/>
      <c r="U11" s="103"/>
      <c r="V11" s="13"/>
      <c r="W11" s="75" t="s">
        <v>50</v>
      </c>
    </row>
    <row r="12" spans="1:23" x14ac:dyDescent="0.3">
      <c r="A12" s="75"/>
      <c r="B12" s="12"/>
      <c r="C12" s="75"/>
      <c r="D12" s="13"/>
      <c r="E12" s="38"/>
      <c r="F12" s="40"/>
      <c r="G12" s="51"/>
      <c r="H12" s="13"/>
      <c r="I12" s="15"/>
      <c r="J12" s="15"/>
      <c r="K12" s="13"/>
      <c r="L12" s="13"/>
      <c r="M12" s="13"/>
      <c r="N12" s="13"/>
      <c r="O12" s="13"/>
      <c r="P12" s="13"/>
      <c r="Q12" s="13"/>
      <c r="R12" s="13"/>
      <c r="S12" s="113"/>
      <c r="T12" s="64"/>
      <c r="U12" s="103"/>
      <c r="V12" s="13"/>
      <c r="W12" s="75" t="s">
        <v>50</v>
      </c>
    </row>
    <row r="13" spans="1:23" x14ac:dyDescent="0.3">
      <c r="A13" s="75"/>
      <c r="B13" s="12"/>
      <c r="C13" s="75"/>
      <c r="D13" s="13"/>
      <c r="E13" s="38"/>
      <c r="F13" s="40"/>
      <c r="G13" s="51"/>
      <c r="H13" s="13"/>
      <c r="I13" s="15"/>
      <c r="J13" s="15"/>
      <c r="K13" s="13"/>
      <c r="L13" s="13"/>
      <c r="M13" s="13"/>
      <c r="N13" s="13"/>
      <c r="O13" s="13"/>
      <c r="P13" s="13"/>
      <c r="Q13" s="13"/>
      <c r="R13" s="13"/>
      <c r="S13" s="113"/>
      <c r="T13" s="64"/>
      <c r="U13" s="103"/>
      <c r="V13" s="13"/>
      <c r="W13" s="75" t="s">
        <v>50</v>
      </c>
    </row>
    <row r="14" spans="1:23" x14ac:dyDescent="0.3">
      <c r="A14" s="75"/>
      <c r="B14" s="12"/>
      <c r="C14" s="75"/>
      <c r="D14" s="13"/>
      <c r="E14" s="38"/>
      <c r="F14" s="40"/>
      <c r="G14" s="51"/>
      <c r="H14" s="13"/>
      <c r="I14" s="15"/>
      <c r="J14" s="15"/>
      <c r="K14" s="13"/>
      <c r="L14" s="13"/>
      <c r="M14" s="13"/>
      <c r="N14" s="13"/>
      <c r="O14" s="13"/>
      <c r="P14" s="13"/>
      <c r="Q14" s="13"/>
      <c r="R14" s="13"/>
      <c r="S14" s="113"/>
      <c r="T14" s="64"/>
      <c r="U14" s="103"/>
      <c r="V14" s="13"/>
      <c r="W14" s="75" t="s">
        <v>50</v>
      </c>
    </row>
    <row r="15" spans="1:23" x14ac:dyDescent="0.3">
      <c r="A15" s="75"/>
      <c r="B15" s="12"/>
      <c r="C15" s="75"/>
      <c r="D15" s="13"/>
      <c r="E15" s="38"/>
      <c r="F15" s="40"/>
      <c r="G15" s="51"/>
      <c r="H15" s="13"/>
      <c r="I15" s="15"/>
      <c r="J15" s="15"/>
      <c r="K15" s="13"/>
      <c r="L15" s="13"/>
      <c r="M15" s="13"/>
      <c r="N15" s="13"/>
      <c r="O15" s="13"/>
      <c r="P15" s="13"/>
      <c r="Q15" s="13"/>
      <c r="R15" s="13"/>
      <c r="S15" s="113"/>
      <c r="T15" s="64"/>
      <c r="U15" s="103"/>
      <c r="V15" s="13"/>
      <c r="W15" s="75" t="s">
        <v>50</v>
      </c>
    </row>
    <row r="16" spans="1:23" x14ac:dyDescent="0.3">
      <c r="A16" s="75"/>
      <c r="B16" s="12"/>
      <c r="C16" s="75"/>
      <c r="D16" s="13"/>
      <c r="E16" s="38"/>
      <c r="F16" s="40"/>
      <c r="G16" s="51"/>
      <c r="H16" s="13"/>
      <c r="I16" s="15"/>
      <c r="J16" s="15"/>
      <c r="K16" s="13"/>
      <c r="L16" s="13"/>
      <c r="M16" s="13"/>
      <c r="N16" s="13"/>
      <c r="O16" s="13"/>
      <c r="P16" s="13"/>
      <c r="Q16" s="13"/>
      <c r="R16" s="13"/>
      <c r="S16" s="113"/>
      <c r="T16" s="64"/>
      <c r="U16" s="103"/>
      <c r="V16" s="13"/>
      <c r="W16" s="75" t="s">
        <v>50</v>
      </c>
    </row>
    <row r="17" spans="1:23" x14ac:dyDescent="0.3">
      <c r="A17" s="75"/>
      <c r="B17" s="12"/>
      <c r="C17" s="75"/>
      <c r="D17" s="13"/>
      <c r="E17" s="38"/>
      <c r="F17" s="40"/>
      <c r="G17" s="51"/>
      <c r="H17" s="13"/>
      <c r="I17" s="15"/>
      <c r="J17" s="15"/>
      <c r="K17" s="13"/>
      <c r="L17" s="13"/>
      <c r="M17" s="13"/>
      <c r="N17" s="13"/>
      <c r="O17" s="13"/>
      <c r="P17" s="13"/>
      <c r="Q17" s="13"/>
      <c r="R17" s="13"/>
      <c r="S17" s="113"/>
      <c r="T17" s="64"/>
      <c r="U17" s="103"/>
      <c r="V17" s="13"/>
      <c r="W17" s="75" t="s">
        <v>50</v>
      </c>
    </row>
    <row r="18" spans="1:23" x14ac:dyDescent="0.3">
      <c r="A18" s="75"/>
      <c r="B18" s="12"/>
      <c r="C18" s="75"/>
      <c r="D18" s="13"/>
      <c r="E18" s="38"/>
      <c r="F18" s="40"/>
      <c r="G18" s="51"/>
      <c r="H18" s="13"/>
      <c r="I18" s="15"/>
      <c r="J18" s="15"/>
      <c r="K18" s="13"/>
      <c r="L18" s="13"/>
      <c r="M18" s="13"/>
      <c r="N18" s="13"/>
      <c r="O18" s="13"/>
      <c r="P18" s="13"/>
      <c r="Q18" s="13"/>
      <c r="R18" s="13"/>
      <c r="S18" s="113"/>
      <c r="T18" s="64"/>
      <c r="U18" s="103"/>
      <c r="V18" s="13"/>
      <c r="W18" s="75" t="s">
        <v>50</v>
      </c>
    </row>
    <row r="19" spans="1:23" x14ac:dyDescent="0.3">
      <c r="A19" s="75"/>
      <c r="B19" s="12"/>
      <c r="C19" s="75"/>
      <c r="D19" s="13"/>
      <c r="E19" s="38"/>
      <c r="F19" s="40"/>
      <c r="G19" s="51"/>
      <c r="H19" s="13"/>
      <c r="I19" s="15"/>
      <c r="J19" s="15"/>
      <c r="K19" s="13"/>
      <c r="L19" s="13"/>
      <c r="M19" s="13"/>
      <c r="N19" s="13"/>
      <c r="O19" s="13"/>
      <c r="P19" s="13"/>
      <c r="Q19" s="13"/>
      <c r="R19" s="13"/>
      <c r="S19" s="113"/>
      <c r="T19" s="64"/>
      <c r="U19" s="103"/>
      <c r="V19" s="13"/>
      <c r="W19" s="75" t="s">
        <v>50</v>
      </c>
    </row>
    <row r="20" spans="1:23" x14ac:dyDescent="0.3">
      <c r="A20" s="75"/>
      <c r="B20" s="12"/>
      <c r="C20" s="75"/>
      <c r="D20" s="13"/>
      <c r="E20" s="38"/>
      <c r="F20" s="40"/>
      <c r="G20" s="51"/>
      <c r="H20" s="13"/>
      <c r="I20" s="15"/>
      <c r="J20" s="15"/>
      <c r="K20" s="13"/>
      <c r="L20" s="13"/>
      <c r="M20" s="13"/>
      <c r="N20" s="13"/>
      <c r="O20" s="13"/>
      <c r="P20" s="13"/>
      <c r="Q20" s="13"/>
      <c r="R20" s="13"/>
      <c r="S20" s="113"/>
      <c r="T20" s="64"/>
      <c r="U20" s="103"/>
      <c r="V20" s="13"/>
      <c r="W20" s="75" t="s">
        <v>50</v>
      </c>
    </row>
    <row r="21" spans="1:23" x14ac:dyDescent="0.3">
      <c r="A21" s="75"/>
      <c r="B21" s="12"/>
      <c r="C21" s="75"/>
      <c r="D21" s="13"/>
      <c r="E21" s="38"/>
      <c r="F21" s="40"/>
      <c r="G21" s="51"/>
      <c r="H21" s="13"/>
      <c r="I21" s="15"/>
      <c r="J21" s="15"/>
      <c r="K21" s="13"/>
      <c r="L21" s="13"/>
      <c r="M21" s="13"/>
      <c r="N21" s="13"/>
      <c r="O21" s="13"/>
      <c r="P21" s="13"/>
      <c r="Q21" s="13"/>
      <c r="R21" s="13"/>
      <c r="S21" s="113"/>
      <c r="T21" s="64"/>
      <c r="U21" s="103"/>
      <c r="V21" s="13"/>
      <c r="W21" s="75" t="s">
        <v>50</v>
      </c>
    </row>
    <row r="22" spans="1:23" x14ac:dyDescent="0.3">
      <c r="A22" s="75"/>
      <c r="B22" s="12"/>
      <c r="C22" s="75"/>
      <c r="D22" s="13"/>
      <c r="E22" s="38"/>
      <c r="F22" s="40"/>
      <c r="G22" s="51"/>
      <c r="H22" s="13"/>
      <c r="I22" s="15"/>
      <c r="J22" s="15"/>
      <c r="K22" s="13"/>
      <c r="L22" s="13"/>
      <c r="M22" s="13"/>
      <c r="N22" s="13"/>
      <c r="O22" s="13"/>
      <c r="P22" s="13"/>
      <c r="Q22" s="13"/>
      <c r="R22" s="13"/>
      <c r="S22" s="113"/>
      <c r="T22" s="64"/>
      <c r="U22" s="103"/>
      <c r="V22" s="13"/>
      <c r="W22" s="75" t="s">
        <v>50</v>
      </c>
    </row>
    <row r="23" spans="1:23" x14ac:dyDescent="0.3">
      <c r="A23" s="75"/>
      <c r="B23" s="12"/>
      <c r="C23" s="75"/>
      <c r="D23" s="13"/>
      <c r="E23" s="38"/>
      <c r="F23" s="40"/>
      <c r="G23" s="51"/>
      <c r="H23" s="13"/>
      <c r="I23" s="15"/>
      <c r="J23" s="15"/>
      <c r="K23" s="13"/>
      <c r="L23" s="13"/>
      <c r="M23" s="13"/>
      <c r="N23" s="13"/>
      <c r="O23" s="13"/>
      <c r="P23" s="13"/>
      <c r="Q23" s="13"/>
      <c r="R23" s="13"/>
      <c r="S23" s="113"/>
      <c r="T23" s="64"/>
      <c r="U23" s="103"/>
      <c r="V23" s="13"/>
      <c r="W23" s="75" t="s">
        <v>50</v>
      </c>
    </row>
    <row r="24" spans="1:23" x14ac:dyDescent="0.3">
      <c r="A24" s="75"/>
      <c r="B24" s="12"/>
      <c r="C24" s="75"/>
      <c r="D24" s="13"/>
      <c r="E24" s="38"/>
      <c r="F24" s="40"/>
      <c r="G24" s="51"/>
      <c r="H24" s="13"/>
      <c r="I24" s="15"/>
      <c r="J24" s="15"/>
      <c r="K24" s="13"/>
      <c r="L24" s="13"/>
      <c r="M24" s="13"/>
      <c r="N24" s="13"/>
      <c r="O24" s="13"/>
      <c r="P24" s="13"/>
      <c r="Q24" s="13"/>
      <c r="R24" s="13"/>
      <c r="S24" s="113"/>
      <c r="T24" s="64"/>
      <c r="U24" s="103"/>
      <c r="V24" s="13"/>
      <c r="W24" s="75" t="s">
        <v>50</v>
      </c>
    </row>
    <row r="25" spans="1:23" x14ac:dyDescent="0.3">
      <c r="A25" s="75"/>
      <c r="B25" s="12"/>
      <c r="C25" s="75"/>
      <c r="D25" s="13"/>
      <c r="E25" s="38"/>
      <c r="F25" s="40"/>
      <c r="G25" s="51"/>
      <c r="H25" s="13"/>
      <c r="I25" s="15"/>
      <c r="J25" s="15"/>
      <c r="K25" s="13"/>
      <c r="L25" s="13"/>
      <c r="M25" s="13"/>
      <c r="N25" s="13"/>
      <c r="O25" s="13"/>
      <c r="P25" s="13"/>
      <c r="Q25" s="13"/>
      <c r="R25" s="13"/>
      <c r="S25" s="113"/>
      <c r="T25" s="64"/>
      <c r="U25" s="103"/>
      <c r="V25" s="13"/>
      <c r="W25" s="75" t="s">
        <v>50</v>
      </c>
    </row>
    <row r="26" spans="1:23" x14ac:dyDescent="0.3">
      <c r="A26" s="75"/>
      <c r="B26" s="12"/>
      <c r="C26" s="75"/>
      <c r="D26" s="13"/>
      <c r="E26" s="38"/>
      <c r="F26" s="40"/>
      <c r="G26" s="51"/>
      <c r="H26" s="13"/>
      <c r="I26" s="15"/>
      <c r="J26" s="15"/>
      <c r="K26" s="13"/>
      <c r="L26" s="13"/>
      <c r="M26" s="13"/>
      <c r="N26" s="13"/>
      <c r="O26" s="13"/>
      <c r="P26" s="13"/>
      <c r="Q26" s="13"/>
      <c r="R26" s="13"/>
      <c r="S26" s="113"/>
      <c r="T26" s="64"/>
      <c r="U26" s="103"/>
      <c r="V26" s="13"/>
      <c r="W26" s="75" t="s">
        <v>50</v>
      </c>
    </row>
    <row r="27" spans="1:23" x14ac:dyDescent="0.3">
      <c r="A27" s="75"/>
      <c r="B27" s="12"/>
      <c r="C27" s="75"/>
      <c r="D27" s="13"/>
      <c r="E27" s="38"/>
      <c r="F27" s="40"/>
      <c r="G27" s="51"/>
      <c r="H27" s="13"/>
      <c r="I27" s="15"/>
      <c r="J27" s="15"/>
      <c r="K27" s="13"/>
      <c r="L27" s="13"/>
      <c r="M27" s="13"/>
      <c r="N27" s="13"/>
      <c r="O27" s="13"/>
      <c r="P27" s="13"/>
      <c r="Q27" s="13"/>
      <c r="R27" s="13"/>
      <c r="S27" s="113"/>
      <c r="T27" s="64"/>
      <c r="U27" s="103"/>
      <c r="V27" s="13"/>
      <c r="W27" s="75" t="s">
        <v>50</v>
      </c>
    </row>
    <row r="28" spans="1:23" x14ac:dyDescent="0.3">
      <c r="A28" s="75"/>
      <c r="B28" s="12"/>
      <c r="C28" s="75"/>
      <c r="D28" s="13"/>
      <c r="E28" s="38"/>
      <c r="F28" s="40"/>
      <c r="G28" s="51"/>
      <c r="H28" s="13"/>
      <c r="I28" s="15"/>
      <c r="J28" s="15"/>
      <c r="K28" s="13"/>
      <c r="L28" s="13"/>
      <c r="M28" s="13"/>
      <c r="N28" s="13"/>
      <c r="O28" s="13"/>
      <c r="P28" s="13"/>
      <c r="Q28" s="13"/>
      <c r="R28" s="13"/>
      <c r="S28" s="113"/>
      <c r="T28" s="64"/>
      <c r="U28" s="103"/>
      <c r="V28" s="13"/>
      <c r="W28" s="75" t="s">
        <v>50</v>
      </c>
    </row>
    <row r="29" spans="1:23" x14ac:dyDescent="0.3">
      <c r="A29" s="75"/>
      <c r="B29" s="12"/>
      <c r="C29" s="75"/>
      <c r="D29" s="13"/>
      <c r="E29" s="38"/>
      <c r="F29" s="40"/>
      <c r="G29" s="51"/>
      <c r="H29" s="13"/>
      <c r="I29" s="15"/>
      <c r="J29" s="15"/>
      <c r="K29" s="13"/>
      <c r="L29" s="13"/>
      <c r="M29" s="13"/>
      <c r="N29" s="13"/>
      <c r="O29" s="13"/>
      <c r="P29" s="13"/>
      <c r="Q29" s="13"/>
      <c r="R29" s="13"/>
      <c r="S29" s="113"/>
      <c r="T29" s="64"/>
      <c r="U29" s="103"/>
      <c r="V29" s="13"/>
      <c r="W29" s="75" t="s">
        <v>50</v>
      </c>
    </row>
    <row r="30" spans="1:23" x14ac:dyDescent="0.3">
      <c r="A30" s="75"/>
      <c r="B30" s="12"/>
      <c r="C30" s="75"/>
      <c r="D30" s="13"/>
      <c r="E30" s="38"/>
      <c r="F30" s="40"/>
      <c r="G30" s="51"/>
      <c r="H30" s="13"/>
      <c r="I30" s="15"/>
      <c r="J30" s="15"/>
      <c r="K30" s="13"/>
      <c r="L30" s="13"/>
      <c r="M30" s="13"/>
      <c r="N30" s="13"/>
      <c r="O30" s="13"/>
      <c r="P30" s="13"/>
      <c r="Q30" s="13"/>
      <c r="R30" s="13"/>
      <c r="S30" s="113"/>
      <c r="T30" s="64"/>
      <c r="U30" s="103"/>
      <c r="V30" s="13"/>
      <c r="W30" s="75" t="s">
        <v>50</v>
      </c>
    </row>
    <row r="31" spans="1:23" x14ac:dyDescent="0.3">
      <c r="A31" s="75"/>
      <c r="B31" s="12"/>
      <c r="C31" s="75"/>
      <c r="D31" s="13"/>
      <c r="E31" s="38"/>
      <c r="F31" s="40"/>
      <c r="G31" s="51"/>
      <c r="H31" s="13"/>
      <c r="I31" s="15"/>
      <c r="J31" s="15"/>
      <c r="K31" s="13"/>
      <c r="L31" s="13"/>
      <c r="M31" s="13"/>
      <c r="N31" s="13"/>
      <c r="O31" s="13"/>
      <c r="P31" s="13"/>
      <c r="Q31" s="13"/>
      <c r="R31" s="13"/>
      <c r="S31" s="113"/>
      <c r="T31" s="64"/>
      <c r="U31" s="103"/>
      <c r="V31" s="13"/>
      <c r="W31" s="75" t="s">
        <v>50</v>
      </c>
    </row>
    <row r="32" spans="1:23" x14ac:dyDescent="0.3">
      <c r="A32" s="75"/>
      <c r="B32" s="12"/>
      <c r="C32" s="75"/>
      <c r="D32" s="13"/>
      <c r="E32" s="38"/>
      <c r="F32" s="40"/>
      <c r="G32" s="51"/>
      <c r="H32" s="13"/>
      <c r="I32" s="15"/>
      <c r="J32" s="15"/>
      <c r="K32" s="13"/>
      <c r="L32" s="13"/>
      <c r="M32" s="13"/>
      <c r="N32" s="13"/>
      <c r="O32" s="13"/>
      <c r="P32" s="13"/>
      <c r="Q32" s="13"/>
      <c r="R32" s="13"/>
      <c r="S32" s="113"/>
      <c r="T32" s="64"/>
      <c r="U32" s="103"/>
      <c r="V32" s="13"/>
      <c r="W32" s="75" t="s">
        <v>50</v>
      </c>
    </row>
    <row r="33" spans="1:23" x14ac:dyDescent="0.3">
      <c r="A33" s="75"/>
      <c r="B33" s="12"/>
      <c r="C33" s="75"/>
      <c r="D33" s="13"/>
      <c r="E33" s="38"/>
      <c r="F33" s="40"/>
      <c r="G33" s="51"/>
      <c r="H33" s="13"/>
      <c r="I33" s="15"/>
      <c r="J33" s="15"/>
      <c r="K33" s="13"/>
      <c r="L33" s="13"/>
      <c r="M33" s="13"/>
      <c r="N33" s="13"/>
      <c r="O33" s="13"/>
      <c r="P33" s="13"/>
      <c r="Q33" s="13"/>
      <c r="R33" s="13"/>
      <c r="S33" s="113"/>
      <c r="T33" s="64"/>
      <c r="U33" s="103"/>
      <c r="V33" s="13"/>
      <c r="W33" s="75" t="s">
        <v>50</v>
      </c>
    </row>
    <row r="34" spans="1:23" x14ac:dyDescent="0.3">
      <c r="A34" s="75"/>
      <c r="B34" s="12"/>
      <c r="C34" s="75"/>
      <c r="D34" s="13"/>
      <c r="E34" s="38"/>
      <c r="F34" s="40"/>
      <c r="G34" s="51"/>
      <c r="H34" s="13"/>
      <c r="I34" s="15"/>
      <c r="J34" s="15"/>
      <c r="K34" s="13"/>
      <c r="L34" s="13"/>
      <c r="M34" s="13"/>
      <c r="N34" s="13"/>
      <c r="O34" s="13"/>
      <c r="P34" s="13"/>
      <c r="Q34" s="13"/>
      <c r="R34" s="13"/>
      <c r="S34" s="113"/>
      <c r="T34" s="64"/>
      <c r="U34" s="103"/>
      <c r="V34" s="13"/>
      <c r="W34" s="75" t="s">
        <v>50</v>
      </c>
    </row>
    <row r="35" spans="1:23" x14ac:dyDescent="0.3">
      <c r="A35" s="75"/>
      <c r="B35" s="12"/>
      <c r="C35" s="75"/>
      <c r="D35" s="13"/>
      <c r="E35" s="38"/>
      <c r="F35" s="40"/>
      <c r="G35" s="51"/>
      <c r="H35" s="13"/>
      <c r="I35" s="15"/>
      <c r="J35" s="15"/>
      <c r="K35" s="13"/>
      <c r="L35" s="13"/>
      <c r="M35" s="13"/>
      <c r="N35" s="13"/>
      <c r="O35" s="13"/>
      <c r="P35" s="13"/>
      <c r="Q35" s="13"/>
      <c r="R35" s="13"/>
      <c r="S35" s="113"/>
      <c r="T35" s="64"/>
      <c r="U35" s="103"/>
      <c r="V35" s="13"/>
      <c r="W35" s="75" t="s">
        <v>50</v>
      </c>
    </row>
    <row r="36" spans="1:23" x14ac:dyDescent="0.3">
      <c r="A36" s="75"/>
      <c r="B36" s="12"/>
      <c r="C36" s="75"/>
      <c r="D36" s="13"/>
      <c r="E36" s="38"/>
      <c r="F36" s="40"/>
      <c r="G36" s="51"/>
      <c r="H36" s="13"/>
      <c r="I36" s="15"/>
      <c r="J36" s="15"/>
      <c r="K36" s="13"/>
      <c r="L36" s="13"/>
      <c r="M36" s="13"/>
      <c r="N36" s="13"/>
      <c r="O36" s="13"/>
      <c r="P36" s="13"/>
      <c r="Q36" s="13"/>
      <c r="R36" s="13"/>
      <c r="S36" s="113"/>
      <c r="T36" s="64"/>
      <c r="U36" s="103"/>
      <c r="V36" s="13"/>
      <c r="W36" s="75" t="s">
        <v>50</v>
      </c>
    </row>
    <row r="37" spans="1:23" x14ac:dyDescent="0.3">
      <c r="A37" s="75"/>
      <c r="B37" s="12"/>
      <c r="C37" s="75"/>
      <c r="D37" s="13"/>
      <c r="E37" s="38"/>
      <c r="F37" s="40"/>
      <c r="G37" s="51"/>
      <c r="H37" s="13"/>
      <c r="I37" s="15"/>
      <c r="J37" s="15"/>
      <c r="K37" s="13"/>
      <c r="L37" s="13"/>
      <c r="M37" s="13"/>
      <c r="N37" s="13"/>
      <c r="O37" s="13"/>
      <c r="P37" s="13"/>
      <c r="Q37" s="13"/>
      <c r="R37" s="13"/>
      <c r="S37" s="113"/>
      <c r="T37" s="64"/>
      <c r="U37" s="103"/>
      <c r="V37" s="13"/>
      <c r="W37" s="75" t="s">
        <v>50</v>
      </c>
    </row>
    <row r="38" spans="1:23" x14ac:dyDescent="0.3">
      <c r="A38" s="75"/>
      <c r="B38" s="12"/>
      <c r="C38" s="75"/>
      <c r="D38" s="13"/>
      <c r="E38" s="38"/>
      <c r="F38" s="40"/>
      <c r="G38" s="51"/>
      <c r="H38" s="13"/>
      <c r="I38" s="15"/>
      <c r="J38" s="15"/>
      <c r="K38" s="13"/>
      <c r="L38" s="13"/>
      <c r="M38" s="13"/>
      <c r="N38" s="13"/>
      <c r="O38" s="13"/>
      <c r="P38" s="13"/>
      <c r="Q38" s="13"/>
      <c r="R38" s="13"/>
      <c r="S38" s="113"/>
      <c r="T38" s="64"/>
      <c r="U38" s="103"/>
      <c r="V38" s="13"/>
      <c r="W38" s="75" t="s">
        <v>50</v>
      </c>
    </row>
    <row r="39" spans="1:23" x14ac:dyDescent="0.3">
      <c r="A39" s="75"/>
      <c r="B39" s="12"/>
      <c r="C39" s="75"/>
      <c r="D39" s="13"/>
      <c r="E39" s="38"/>
      <c r="F39" s="40"/>
      <c r="G39" s="51"/>
      <c r="H39" s="13"/>
      <c r="I39" s="15"/>
      <c r="J39" s="15"/>
      <c r="K39" s="13"/>
      <c r="L39" s="13"/>
      <c r="M39" s="13"/>
      <c r="N39" s="13"/>
      <c r="O39" s="13"/>
      <c r="P39" s="13"/>
      <c r="Q39" s="13"/>
      <c r="R39" s="13"/>
      <c r="S39" s="113"/>
      <c r="T39" s="64"/>
      <c r="U39" s="103"/>
      <c r="V39" s="13"/>
      <c r="W39" s="75" t="s">
        <v>50</v>
      </c>
    </row>
    <row r="40" spans="1:23" x14ac:dyDescent="0.3">
      <c r="A40" s="75"/>
      <c r="B40" s="12"/>
      <c r="C40" s="75"/>
      <c r="D40" s="13"/>
      <c r="E40" s="38"/>
      <c r="F40" s="40"/>
      <c r="G40" s="51"/>
      <c r="H40" s="13"/>
      <c r="I40" s="15"/>
      <c r="J40" s="15"/>
      <c r="K40" s="13"/>
      <c r="L40" s="13"/>
      <c r="M40" s="13"/>
      <c r="N40" s="13"/>
      <c r="O40" s="13"/>
      <c r="P40" s="13"/>
      <c r="Q40" s="13"/>
      <c r="R40" s="13"/>
      <c r="S40" s="113"/>
      <c r="T40" s="64"/>
      <c r="U40" s="103"/>
      <c r="V40" s="13"/>
      <c r="W40" s="75" t="s">
        <v>50</v>
      </c>
    </row>
    <row r="41" spans="1:23" x14ac:dyDescent="0.3">
      <c r="A41" s="75"/>
      <c r="B41" s="12"/>
      <c r="C41" s="75"/>
      <c r="D41" s="13"/>
      <c r="E41" s="38"/>
      <c r="F41" s="40"/>
      <c r="G41" s="51"/>
      <c r="H41" s="13"/>
      <c r="I41" s="15"/>
      <c r="J41" s="15"/>
      <c r="K41" s="13"/>
      <c r="L41" s="13"/>
      <c r="M41" s="13"/>
      <c r="N41" s="13"/>
      <c r="O41" s="13"/>
      <c r="P41" s="13"/>
      <c r="Q41" s="13"/>
      <c r="R41" s="13"/>
      <c r="S41" s="113"/>
      <c r="T41" s="64"/>
      <c r="U41" s="103"/>
      <c r="V41" s="13"/>
      <c r="W41" s="75" t="s">
        <v>50</v>
      </c>
    </row>
    <row r="42" spans="1:23" x14ac:dyDescent="0.3">
      <c r="A42" s="75"/>
      <c r="B42" s="12"/>
      <c r="C42" s="75"/>
      <c r="D42" s="13"/>
      <c r="E42" s="38"/>
      <c r="F42" s="40"/>
      <c r="G42" s="51"/>
      <c r="H42" s="13"/>
      <c r="I42" s="15"/>
      <c r="J42" s="15"/>
      <c r="K42" s="13"/>
      <c r="L42" s="13"/>
      <c r="M42" s="13"/>
      <c r="N42" s="13"/>
      <c r="O42" s="13"/>
      <c r="P42" s="13"/>
      <c r="Q42" s="13"/>
      <c r="R42" s="13"/>
      <c r="S42" s="113"/>
      <c r="T42" s="64"/>
      <c r="U42" s="103"/>
      <c r="V42" s="13"/>
      <c r="W42" s="75" t="s">
        <v>50</v>
      </c>
    </row>
    <row r="43" spans="1:23" x14ac:dyDescent="0.3">
      <c r="A43" s="75"/>
      <c r="B43" s="12"/>
      <c r="C43" s="75"/>
      <c r="D43" s="13"/>
      <c r="E43" s="38"/>
      <c r="F43" s="40"/>
      <c r="G43" s="51"/>
      <c r="H43" s="13"/>
      <c r="I43" s="15"/>
      <c r="J43" s="15"/>
      <c r="K43" s="13"/>
      <c r="L43" s="13"/>
      <c r="M43" s="13"/>
      <c r="N43" s="13"/>
      <c r="O43" s="13"/>
      <c r="P43" s="13"/>
      <c r="Q43" s="13"/>
      <c r="R43" s="13"/>
      <c r="S43" s="113"/>
      <c r="T43" s="64"/>
      <c r="U43" s="103"/>
      <c r="V43" s="13"/>
      <c r="W43" s="75" t="s">
        <v>50</v>
      </c>
    </row>
    <row r="44" spans="1:23" x14ac:dyDescent="0.3">
      <c r="A44" s="75"/>
      <c r="B44" s="12"/>
      <c r="C44" s="75"/>
      <c r="D44" s="13"/>
      <c r="E44" s="38"/>
      <c r="F44" s="40"/>
      <c r="G44" s="51"/>
      <c r="H44" s="13"/>
      <c r="I44" s="15"/>
      <c r="J44" s="15"/>
      <c r="K44" s="13"/>
      <c r="L44" s="13"/>
      <c r="M44" s="13"/>
      <c r="N44" s="13"/>
      <c r="O44" s="13"/>
      <c r="P44" s="13"/>
      <c r="Q44" s="13"/>
      <c r="R44" s="13"/>
      <c r="S44" s="113"/>
      <c r="T44" s="64"/>
      <c r="U44" s="103"/>
      <c r="V44" s="13"/>
      <c r="W44" s="75" t="s">
        <v>50</v>
      </c>
    </row>
    <row r="45" spans="1:23" x14ac:dyDescent="0.3">
      <c r="A45" s="75"/>
      <c r="B45" s="12"/>
      <c r="C45" s="75"/>
      <c r="D45" s="13"/>
      <c r="E45" s="38"/>
      <c r="F45" s="40"/>
      <c r="G45" s="51"/>
      <c r="H45" s="13"/>
      <c r="I45" s="15"/>
      <c r="J45" s="15"/>
      <c r="K45" s="13"/>
      <c r="L45" s="13"/>
      <c r="M45" s="13"/>
      <c r="N45" s="13"/>
      <c r="O45" s="13"/>
      <c r="P45" s="13"/>
      <c r="Q45" s="13"/>
      <c r="R45" s="13"/>
      <c r="S45" s="113"/>
      <c r="T45" s="64"/>
      <c r="U45" s="103"/>
      <c r="V45" s="13"/>
      <c r="W45" s="75" t="s">
        <v>50</v>
      </c>
    </row>
    <row r="46" spans="1:23" x14ac:dyDescent="0.3">
      <c r="A46" s="75"/>
      <c r="B46" s="12"/>
      <c r="C46" s="75"/>
      <c r="D46" s="13"/>
      <c r="E46" s="38"/>
      <c r="F46" s="40"/>
      <c r="G46" s="51"/>
      <c r="H46" s="13"/>
      <c r="I46" s="15"/>
      <c r="J46" s="15"/>
      <c r="K46" s="13"/>
      <c r="L46" s="13"/>
      <c r="M46" s="13"/>
      <c r="N46" s="13"/>
      <c r="O46" s="13"/>
      <c r="P46" s="13"/>
      <c r="Q46" s="13"/>
      <c r="R46" s="13"/>
      <c r="S46" s="113"/>
      <c r="T46" s="64"/>
      <c r="U46" s="103"/>
      <c r="V46" s="13"/>
      <c r="W46" s="75" t="s">
        <v>50</v>
      </c>
    </row>
    <row r="47" spans="1:23" x14ac:dyDescent="0.3">
      <c r="A47" s="75"/>
      <c r="B47" s="12"/>
      <c r="C47" s="75"/>
      <c r="D47" s="13"/>
      <c r="E47" s="38"/>
      <c r="F47" s="40"/>
      <c r="G47" s="51"/>
      <c r="H47" s="13"/>
      <c r="I47" s="15"/>
      <c r="J47" s="15"/>
      <c r="K47" s="13"/>
      <c r="L47" s="13"/>
      <c r="M47" s="13"/>
      <c r="N47" s="13"/>
      <c r="O47" s="13"/>
      <c r="P47" s="13"/>
      <c r="Q47" s="13"/>
      <c r="R47" s="13"/>
      <c r="S47" s="113"/>
      <c r="T47" s="64"/>
      <c r="U47" s="103"/>
      <c r="V47" s="13"/>
      <c r="W47" s="75" t="s">
        <v>50</v>
      </c>
    </row>
    <row r="48" spans="1:23" x14ac:dyDescent="0.3">
      <c r="A48" s="75"/>
      <c r="B48" s="12"/>
      <c r="C48" s="75"/>
      <c r="D48" s="13"/>
      <c r="E48" s="38"/>
      <c r="F48" s="40"/>
      <c r="G48" s="51"/>
      <c r="H48" s="13"/>
      <c r="I48" s="15"/>
      <c r="J48" s="15"/>
      <c r="K48" s="13"/>
      <c r="L48" s="13"/>
      <c r="M48" s="13"/>
      <c r="N48" s="13"/>
      <c r="O48" s="13"/>
      <c r="P48" s="13"/>
      <c r="Q48" s="13"/>
      <c r="R48" s="13"/>
      <c r="S48" s="113"/>
      <c r="T48" s="64"/>
      <c r="U48" s="103"/>
      <c r="V48" s="13"/>
      <c r="W48" s="75" t="s">
        <v>50</v>
      </c>
    </row>
    <row r="49" spans="1:23" x14ac:dyDescent="0.3">
      <c r="A49" s="75"/>
      <c r="B49" s="12"/>
      <c r="C49" s="75"/>
      <c r="D49" s="13"/>
      <c r="E49" s="38"/>
      <c r="F49" s="40"/>
      <c r="G49" s="51"/>
      <c r="H49" s="13"/>
      <c r="I49" s="15"/>
      <c r="J49" s="15"/>
      <c r="K49" s="13"/>
      <c r="L49" s="13"/>
      <c r="M49" s="13"/>
      <c r="N49" s="13"/>
      <c r="O49" s="13"/>
      <c r="P49" s="13"/>
      <c r="Q49" s="13"/>
      <c r="R49" s="13"/>
      <c r="S49" s="113"/>
      <c r="T49" s="64"/>
      <c r="U49" s="103"/>
      <c r="V49" s="13"/>
      <c r="W49" s="75" t="s">
        <v>50</v>
      </c>
    </row>
    <row r="50" spans="1:23" x14ac:dyDescent="0.3">
      <c r="A50" s="75"/>
      <c r="B50" s="12"/>
      <c r="C50" s="75"/>
      <c r="D50" s="13"/>
      <c r="E50" s="38"/>
      <c r="F50" s="40"/>
      <c r="G50" s="51"/>
      <c r="H50" s="13"/>
      <c r="I50" s="15"/>
      <c r="J50" s="15"/>
      <c r="K50" s="13"/>
      <c r="L50" s="13"/>
      <c r="M50" s="13"/>
      <c r="N50" s="13"/>
      <c r="O50" s="13"/>
      <c r="P50" s="13"/>
      <c r="Q50" s="13"/>
      <c r="R50" s="13"/>
      <c r="S50" s="113"/>
      <c r="T50" s="64"/>
      <c r="U50" s="103"/>
      <c r="V50" s="13"/>
      <c r="W50" s="75" t="s">
        <v>50</v>
      </c>
    </row>
    <row r="51" spans="1:23" x14ac:dyDescent="0.3">
      <c r="A51" s="75"/>
      <c r="B51" s="12"/>
      <c r="C51" s="75"/>
      <c r="D51" s="13"/>
      <c r="E51" s="38"/>
      <c r="F51" s="40"/>
      <c r="G51" s="51"/>
      <c r="H51" s="13"/>
      <c r="I51" s="15"/>
      <c r="J51" s="15"/>
      <c r="K51" s="13"/>
      <c r="L51" s="13"/>
      <c r="M51" s="13"/>
      <c r="N51" s="13"/>
      <c r="O51" s="13"/>
      <c r="P51" s="13"/>
      <c r="Q51" s="13"/>
      <c r="R51" s="13"/>
      <c r="S51" s="113"/>
      <c r="T51" s="64"/>
      <c r="U51" s="103"/>
      <c r="V51" s="13"/>
      <c r="W51" s="75" t="s">
        <v>50</v>
      </c>
    </row>
    <row r="52" spans="1:23" x14ac:dyDescent="0.3">
      <c r="A52" s="75"/>
      <c r="B52" s="12"/>
      <c r="C52" s="75"/>
      <c r="D52" s="13"/>
      <c r="E52" s="38"/>
      <c r="F52" s="40"/>
      <c r="G52" s="51"/>
      <c r="H52" s="13"/>
      <c r="I52" s="15"/>
      <c r="J52" s="15"/>
      <c r="K52" s="13"/>
      <c r="L52" s="13"/>
      <c r="M52" s="13"/>
      <c r="N52" s="13"/>
      <c r="O52" s="13"/>
      <c r="P52" s="13"/>
      <c r="Q52" s="13"/>
      <c r="R52" s="13"/>
      <c r="S52" s="113"/>
      <c r="T52" s="64"/>
      <c r="U52" s="103"/>
      <c r="V52" s="13"/>
      <c r="W52" s="75" t="s">
        <v>50</v>
      </c>
    </row>
    <row r="53" spans="1:23" x14ac:dyDescent="0.3">
      <c r="A53" s="75"/>
      <c r="B53" s="12"/>
      <c r="C53" s="75"/>
      <c r="D53" s="13"/>
      <c r="E53" s="38"/>
      <c r="F53" s="40"/>
      <c r="G53" s="51"/>
      <c r="H53" s="13"/>
      <c r="I53" s="15"/>
      <c r="J53" s="15"/>
      <c r="K53" s="13"/>
      <c r="L53" s="13"/>
      <c r="M53" s="13"/>
      <c r="N53" s="13"/>
      <c r="O53" s="13"/>
      <c r="P53" s="13"/>
      <c r="Q53" s="13"/>
      <c r="R53" s="13"/>
      <c r="S53" s="113"/>
      <c r="T53" s="64"/>
      <c r="U53" s="103"/>
      <c r="V53" s="13"/>
      <c r="W53" s="75" t="s">
        <v>50</v>
      </c>
    </row>
    <row r="54" spans="1:23" x14ac:dyDescent="0.3">
      <c r="A54" s="75"/>
      <c r="B54" s="12"/>
      <c r="C54" s="75"/>
      <c r="D54" s="13"/>
      <c r="E54" s="38"/>
      <c r="F54" s="40"/>
      <c r="G54" s="51"/>
      <c r="H54" s="13"/>
      <c r="I54" s="15"/>
      <c r="J54" s="15"/>
      <c r="K54" s="13"/>
      <c r="L54" s="13"/>
      <c r="M54" s="13"/>
      <c r="N54" s="13"/>
      <c r="O54" s="13"/>
      <c r="P54" s="13"/>
      <c r="Q54" s="13"/>
      <c r="R54" s="13"/>
      <c r="S54" s="113"/>
      <c r="T54" s="64"/>
      <c r="U54" s="103"/>
      <c r="V54" s="13"/>
      <c r="W54" s="75" t="s">
        <v>50</v>
      </c>
    </row>
    <row r="55" spans="1:23" x14ac:dyDescent="0.3">
      <c r="A55" s="75"/>
      <c r="B55" s="12"/>
      <c r="C55" s="75"/>
      <c r="D55" s="13"/>
      <c r="E55" s="38"/>
      <c r="F55" s="40"/>
      <c r="G55" s="51"/>
      <c r="H55" s="13"/>
      <c r="I55" s="15"/>
      <c r="J55" s="15"/>
      <c r="K55" s="13"/>
      <c r="L55" s="13"/>
      <c r="M55" s="13"/>
      <c r="N55" s="13"/>
      <c r="O55" s="13"/>
      <c r="P55" s="13"/>
      <c r="Q55" s="13"/>
      <c r="R55" s="13"/>
      <c r="S55" s="113"/>
      <c r="T55" s="64"/>
      <c r="U55" s="103"/>
      <c r="V55" s="13"/>
      <c r="W55" s="75" t="s">
        <v>50</v>
      </c>
    </row>
    <row r="56" spans="1:23" x14ac:dyDescent="0.3">
      <c r="A56" s="75"/>
      <c r="B56" s="12"/>
      <c r="C56" s="75"/>
      <c r="D56" s="13"/>
      <c r="E56" s="38"/>
      <c r="F56" s="40"/>
      <c r="G56" s="51"/>
      <c r="H56" s="13"/>
      <c r="I56" s="15"/>
      <c r="J56" s="15"/>
      <c r="K56" s="13"/>
      <c r="L56" s="13"/>
      <c r="M56" s="13"/>
      <c r="N56" s="13"/>
      <c r="O56" s="13"/>
      <c r="P56" s="13"/>
      <c r="Q56" s="13"/>
      <c r="R56" s="13"/>
      <c r="S56" s="113"/>
      <c r="T56" s="64"/>
      <c r="U56" s="103"/>
      <c r="V56" s="13"/>
      <c r="W56" s="75" t="s">
        <v>50</v>
      </c>
    </row>
    <row r="57" spans="1:23" x14ac:dyDescent="0.3">
      <c r="A57" s="75"/>
      <c r="B57" s="12"/>
      <c r="C57" s="75"/>
      <c r="D57" s="13"/>
      <c r="E57" s="38"/>
      <c r="F57" s="40"/>
      <c r="G57" s="51"/>
      <c r="H57" s="13"/>
      <c r="I57" s="15"/>
      <c r="J57" s="15"/>
      <c r="K57" s="13"/>
      <c r="L57" s="13"/>
      <c r="M57" s="13"/>
      <c r="N57" s="13"/>
      <c r="O57" s="13"/>
      <c r="P57" s="13"/>
      <c r="Q57" s="13"/>
      <c r="R57" s="13"/>
      <c r="S57" s="113"/>
      <c r="T57" s="64"/>
      <c r="U57" s="103"/>
      <c r="V57" s="13"/>
      <c r="W57" s="75" t="s">
        <v>50</v>
      </c>
    </row>
    <row r="58" spans="1:23" x14ac:dyDescent="0.3">
      <c r="A58" s="75"/>
      <c r="B58" s="12"/>
      <c r="C58" s="75"/>
      <c r="D58" s="13"/>
      <c r="E58" s="38"/>
      <c r="F58" s="40"/>
      <c r="G58" s="51"/>
      <c r="H58" s="13"/>
      <c r="I58" s="15"/>
      <c r="J58" s="15"/>
      <c r="K58" s="13"/>
      <c r="L58" s="13"/>
      <c r="M58" s="13"/>
      <c r="N58" s="13"/>
      <c r="O58" s="13"/>
      <c r="P58" s="13"/>
      <c r="Q58" s="13"/>
      <c r="R58" s="13"/>
      <c r="S58" s="113"/>
      <c r="T58" s="64"/>
      <c r="U58" s="103"/>
      <c r="V58" s="13"/>
      <c r="W58" s="75" t="s">
        <v>50</v>
      </c>
    </row>
    <row r="59" spans="1:23" x14ac:dyDescent="0.3">
      <c r="A59" s="75"/>
      <c r="B59" s="12"/>
      <c r="C59" s="75"/>
      <c r="D59" s="13"/>
      <c r="E59" s="38"/>
      <c r="F59" s="40"/>
      <c r="G59" s="51"/>
      <c r="H59" s="13"/>
      <c r="I59" s="15"/>
      <c r="J59" s="15"/>
      <c r="K59" s="13"/>
      <c r="L59" s="13"/>
      <c r="M59" s="13"/>
      <c r="N59" s="13"/>
      <c r="O59" s="13"/>
      <c r="P59" s="13"/>
      <c r="Q59" s="13"/>
      <c r="R59" s="13"/>
      <c r="S59" s="113"/>
      <c r="T59" s="64"/>
      <c r="U59" s="103"/>
      <c r="V59" s="13"/>
      <c r="W59" s="75" t="s">
        <v>50</v>
      </c>
    </row>
    <row r="60" spans="1:23" x14ac:dyDescent="0.3">
      <c r="A60" s="75"/>
      <c r="B60" s="12"/>
      <c r="C60" s="75"/>
      <c r="D60" s="13"/>
      <c r="E60" s="38"/>
      <c r="F60" s="40"/>
      <c r="G60" s="51"/>
      <c r="H60" s="13"/>
      <c r="I60" s="15"/>
      <c r="J60" s="15"/>
      <c r="K60" s="13"/>
      <c r="L60" s="13"/>
      <c r="M60" s="13"/>
      <c r="N60" s="13"/>
      <c r="O60" s="13"/>
      <c r="P60" s="13"/>
      <c r="Q60" s="13"/>
      <c r="R60" s="13"/>
      <c r="S60" s="113"/>
      <c r="T60" s="64"/>
      <c r="U60" s="103"/>
      <c r="V60" s="13"/>
      <c r="W60" s="75" t="s">
        <v>50</v>
      </c>
    </row>
    <row r="61" spans="1:23" x14ac:dyDescent="0.3">
      <c r="A61" s="75"/>
      <c r="B61" s="12"/>
      <c r="C61" s="75"/>
      <c r="D61" s="13"/>
      <c r="E61" s="38"/>
      <c r="F61" s="40"/>
      <c r="G61" s="51"/>
      <c r="H61" s="13"/>
      <c r="I61" s="15"/>
      <c r="J61" s="15"/>
      <c r="K61" s="13"/>
      <c r="L61" s="13"/>
      <c r="M61" s="13"/>
      <c r="N61" s="13"/>
      <c r="O61" s="13"/>
      <c r="P61" s="13"/>
      <c r="Q61" s="13"/>
      <c r="R61" s="13"/>
      <c r="S61" s="113"/>
      <c r="T61" s="64"/>
      <c r="U61" s="103"/>
      <c r="V61" s="13"/>
      <c r="W61" s="75" t="s">
        <v>50</v>
      </c>
    </row>
    <row r="62" spans="1:23" x14ac:dyDescent="0.3">
      <c r="A62" s="75"/>
      <c r="B62" s="12"/>
      <c r="C62" s="75"/>
      <c r="D62" s="13"/>
      <c r="E62" s="38"/>
      <c r="F62" s="40"/>
      <c r="G62" s="51"/>
      <c r="H62" s="13"/>
      <c r="I62" s="15"/>
      <c r="J62" s="15"/>
      <c r="K62" s="13"/>
      <c r="L62" s="13"/>
      <c r="M62" s="13"/>
      <c r="N62" s="13"/>
      <c r="O62" s="13"/>
      <c r="P62" s="13"/>
      <c r="Q62" s="13"/>
      <c r="R62" s="13"/>
      <c r="S62" s="113"/>
      <c r="T62" s="64"/>
      <c r="U62" s="103"/>
      <c r="V62" s="13"/>
      <c r="W62" s="75" t="s">
        <v>50</v>
      </c>
    </row>
    <row r="63" spans="1:23" x14ac:dyDescent="0.3">
      <c r="A63" s="75"/>
      <c r="B63" s="12"/>
      <c r="C63" s="75"/>
      <c r="D63" s="13"/>
      <c r="E63" s="38"/>
      <c r="F63" s="40"/>
      <c r="G63" s="51"/>
      <c r="H63" s="13"/>
      <c r="I63" s="15"/>
      <c r="J63" s="15"/>
      <c r="K63" s="13"/>
      <c r="L63" s="13"/>
      <c r="M63" s="13"/>
      <c r="N63" s="13"/>
      <c r="O63" s="13"/>
      <c r="P63" s="13"/>
      <c r="Q63" s="13"/>
      <c r="R63" s="13"/>
      <c r="S63" s="113"/>
      <c r="T63" s="64"/>
      <c r="U63" s="103"/>
      <c r="V63" s="13"/>
      <c r="W63" s="75" t="s">
        <v>50</v>
      </c>
    </row>
    <row r="64" spans="1:23" x14ac:dyDescent="0.3">
      <c r="A64" s="75"/>
      <c r="B64" s="12"/>
      <c r="C64" s="75"/>
      <c r="D64" s="13"/>
      <c r="E64" s="38"/>
      <c r="F64" s="40"/>
      <c r="G64" s="51"/>
      <c r="H64" s="13"/>
      <c r="I64" s="15"/>
      <c r="J64" s="15"/>
      <c r="K64" s="13"/>
      <c r="L64" s="13"/>
      <c r="M64" s="13"/>
      <c r="N64" s="13"/>
      <c r="O64" s="13"/>
      <c r="P64" s="13"/>
      <c r="Q64" s="13"/>
      <c r="R64" s="13"/>
      <c r="S64" s="113"/>
      <c r="T64" s="64"/>
      <c r="U64" s="103"/>
      <c r="V64" s="13"/>
      <c r="W64" s="75" t="s">
        <v>50</v>
      </c>
    </row>
    <row r="65" spans="1:23" x14ac:dyDescent="0.3">
      <c r="A65" s="75"/>
      <c r="B65" s="12"/>
      <c r="C65" s="75"/>
      <c r="D65" s="13"/>
      <c r="E65" s="38"/>
      <c r="F65" s="40"/>
      <c r="G65" s="51"/>
      <c r="H65" s="13"/>
      <c r="I65" s="15"/>
      <c r="J65" s="15"/>
      <c r="K65" s="13"/>
      <c r="L65" s="13"/>
      <c r="M65" s="13"/>
      <c r="N65" s="13"/>
      <c r="O65" s="13"/>
      <c r="P65" s="13"/>
      <c r="Q65" s="13"/>
      <c r="R65" s="13"/>
      <c r="S65" s="113"/>
      <c r="T65" s="64"/>
      <c r="U65" s="103"/>
      <c r="V65" s="13"/>
      <c r="W65" s="75" t="s">
        <v>50</v>
      </c>
    </row>
    <row r="66" spans="1:23" x14ac:dyDescent="0.3">
      <c r="A66" s="75"/>
      <c r="B66" s="12"/>
      <c r="C66" s="75"/>
      <c r="D66" s="13"/>
      <c r="E66" s="38"/>
      <c r="F66" s="40"/>
      <c r="G66" s="51"/>
      <c r="H66" s="13"/>
      <c r="I66" s="15"/>
      <c r="J66" s="15"/>
      <c r="K66" s="13"/>
      <c r="L66" s="13"/>
      <c r="M66" s="13"/>
      <c r="N66" s="13"/>
      <c r="O66" s="13"/>
      <c r="P66" s="13"/>
      <c r="Q66" s="13"/>
      <c r="R66" s="13"/>
      <c r="S66" s="113"/>
      <c r="T66" s="64"/>
      <c r="U66" s="103"/>
      <c r="V66" s="13"/>
      <c r="W66" s="75" t="s">
        <v>50</v>
      </c>
    </row>
    <row r="67" spans="1:23" x14ac:dyDescent="0.3">
      <c r="A67" s="75"/>
      <c r="B67" s="12"/>
      <c r="C67" s="75"/>
      <c r="D67" s="13"/>
      <c r="E67" s="38"/>
      <c r="F67" s="40"/>
      <c r="G67" s="51"/>
      <c r="H67" s="13"/>
      <c r="I67" s="15"/>
      <c r="J67" s="15"/>
      <c r="K67" s="13"/>
      <c r="L67" s="13"/>
      <c r="M67" s="13"/>
      <c r="N67" s="13"/>
      <c r="O67" s="13"/>
      <c r="P67" s="13"/>
      <c r="Q67" s="13"/>
      <c r="R67" s="13"/>
      <c r="S67" s="113"/>
      <c r="T67" s="64"/>
      <c r="U67" s="103"/>
      <c r="V67" s="13"/>
      <c r="W67" s="75" t="s">
        <v>50</v>
      </c>
    </row>
    <row r="68" spans="1:23" x14ac:dyDescent="0.3">
      <c r="A68" s="75"/>
      <c r="B68" s="12"/>
      <c r="C68" s="75"/>
      <c r="D68" s="13"/>
      <c r="E68" s="38"/>
      <c r="F68" s="40"/>
      <c r="G68" s="51"/>
      <c r="H68" s="13"/>
      <c r="I68" s="15"/>
      <c r="J68" s="15"/>
      <c r="K68" s="13"/>
      <c r="L68" s="13"/>
      <c r="M68" s="13"/>
      <c r="N68" s="13"/>
      <c r="O68" s="13"/>
      <c r="P68" s="13"/>
      <c r="Q68" s="13"/>
      <c r="R68" s="13"/>
      <c r="S68" s="113"/>
      <c r="T68" s="64"/>
      <c r="U68" s="103"/>
      <c r="V68" s="13"/>
      <c r="W68" s="75" t="s">
        <v>50</v>
      </c>
    </row>
    <row r="69" spans="1:23" x14ac:dyDescent="0.3">
      <c r="A69" s="75"/>
      <c r="B69" s="12"/>
      <c r="C69" s="75"/>
      <c r="D69" s="13"/>
      <c r="E69" s="38"/>
      <c r="F69" s="40"/>
      <c r="G69" s="51"/>
      <c r="H69" s="13"/>
      <c r="I69" s="15"/>
      <c r="J69" s="15"/>
      <c r="K69" s="13"/>
      <c r="L69" s="13"/>
      <c r="M69" s="13"/>
      <c r="N69" s="13"/>
      <c r="O69" s="13"/>
      <c r="P69" s="13"/>
      <c r="Q69" s="13"/>
      <c r="R69" s="13"/>
      <c r="S69" s="113"/>
      <c r="T69" s="64"/>
      <c r="U69" s="103"/>
      <c r="V69" s="13"/>
      <c r="W69" s="75" t="s">
        <v>50</v>
      </c>
    </row>
    <row r="70" spans="1:23" x14ac:dyDescent="0.3">
      <c r="A70" s="75"/>
      <c r="B70" s="12"/>
      <c r="C70" s="75"/>
      <c r="D70" s="13"/>
      <c r="E70" s="38"/>
      <c r="F70" s="40"/>
      <c r="G70" s="51"/>
      <c r="H70" s="13"/>
      <c r="I70" s="15"/>
      <c r="J70" s="15"/>
      <c r="K70" s="13"/>
      <c r="L70" s="13"/>
      <c r="M70" s="13"/>
      <c r="N70" s="13"/>
      <c r="O70" s="13"/>
      <c r="P70" s="13"/>
      <c r="Q70" s="13"/>
      <c r="R70" s="13"/>
      <c r="S70" s="113"/>
      <c r="T70" s="64"/>
      <c r="U70" s="103"/>
      <c r="V70" s="13"/>
      <c r="W70" s="75" t="s">
        <v>50</v>
      </c>
    </row>
    <row r="71" spans="1:23" x14ac:dyDescent="0.3">
      <c r="A71" s="75"/>
      <c r="B71" s="12"/>
      <c r="C71" s="75"/>
      <c r="D71" s="13"/>
      <c r="E71" s="38"/>
      <c r="F71" s="40"/>
      <c r="G71" s="51"/>
      <c r="H71" s="13"/>
      <c r="I71" s="15"/>
      <c r="J71" s="15"/>
      <c r="K71" s="13"/>
      <c r="L71" s="13"/>
      <c r="M71" s="13"/>
      <c r="N71" s="13"/>
      <c r="O71" s="13"/>
      <c r="P71" s="13"/>
      <c r="Q71" s="13"/>
      <c r="R71" s="13"/>
      <c r="S71" s="113"/>
      <c r="T71" s="64"/>
      <c r="U71" s="103"/>
      <c r="V71" s="13"/>
      <c r="W71" s="75" t="s">
        <v>50</v>
      </c>
    </row>
    <row r="72" spans="1:23" x14ac:dyDescent="0.3">
      <c r="A72" s="75"/>
      <c r="B72" s="12"/>
      <c r="C72" s="75"/>
      <c r="D72" s="13"/>
      <c r="E72" s="38"/>
      <c r="F72" s="40"/>
      <c r="G72" s="51"/>
      <c r="H72" s="13"/>
      <c r="I72" s="15"/>
      <c r="J72" s="15"/>
      <c r="K72" s="13"/>
      <c r="L72" s="13"/>
      <c r="M72" s="13"/>
      <c r="N72" s="13"/>
      <c r="O72" s="13"/>
      <c r="P72" s="13"/>
      <c r="Q72" s="13"/>
      <c r="R72" s="13"/>
      <c r="S72" s="113"/>
      <c r="T72" s="64"/>
      <c r="U72" s="103"/>
      <c r="V72" s="13"/>
      <c r="W72" s="75" t="s">
        <v>50</v>
      </c>
    </row>
    <row r="73" spans="1:23" x14ac:dyDescent="0.3">
      <c r="A73" s="75"/>
      <c r="B73" s="12"/>
      <c r="C73" s="75"/>
      <c r="D73" s="13"/>
      <c r="E73" s="38"/>
      <c r="F73" s="40"/>
      <c r="G73" s="51"/>
      <c r="H73" s="13"/>
      <c r="I73" s="15"/>
      <c r="J73" s="15"/>
      <c r="K73" s="13"/>
      <c r="L73" s="13"/>
      <c r="M73" s="13"/>
      <c r="N73" s="13"/>
      <c r="O73" s="13"/>
      <c r="P73" s="13"/>
      <c r="Q73" s="13"/>
      <c r="R73" s="13"/>
      <c r="S73" s="113"/>
      <c r="T73" s="64"/>
      <c r="U73" s="103"/>
      <c r="V73" s="13"/>
      <c r="W73" s="75" t="s">
        <v>50</v>
      </c>
    </row>
    <row r="74" spans="1:23" x14ac:dyDescent="0.3">
      <c r="A74" s="75"/>
      <c r="B74" s="12"/>
      <c r="C74" s="75"/>
      <c r="D74" s="13"/>
      <c r="E74" s="38"/>
      <c r="F74" s="40"/>
      <c r="G74" s="51"/>
      <c r="H74" s="13"/>
      <c r="I74" s="15"/>
      <c r="J74" s="15"/>
      <c r="K74" s="13"/>
      <c r="L74" s="13"/>
      <c r="M74" s="13"/>
      <c r="N74" s="13"/>
      <c r="O74" s="13"/>
      <c r="P74" s="13"/>
      <c r="Q74" s="13"/>
      <c r="R74" s="13"/>
      <c r="S74" s="113"/>
      <c r="T74" s="64"/>
      <c r="U74" s="103"/>
      <c r="V74" s="13"/>
      <c r="W74" s="22"/>
    </row>
    <row r="75" spans="1:23" x14ac:dyDescent="0.3">
      <c r="A75" s="75"/>
      <c r="B75" s="12"/>
      <c r="C75" s="75"/>
      <c r="D75" s="13"/>
      <c r="E75" s="38"/>
      <c r="F75" s="40"/>
      <c r="G75" s="51"/>
      <c r="H75" s="13"/>
      <c r="I75" s="15"/>
      <c r="J75" s="15"/>
      <c r="K75" s="13"/>
      <c r="L75" s="13"/>
      <c r="M75" s="13"/>
      <c r="N75" s="13"/>
      <c r="O75" s="13"/>
      <c r="P75" s="13"/>
      <c r="Q75" s="13"/>
      <c r="R75" s="13"/>
      <c r="S75" s="113"/>
      <c r="T75" s="64"/>
      <c r="U75" s="103"/>
      <c r="V75" s="13"/>
      <c r="W75" s="22"/>
    </row>
    <row r="76" spans="1:23" x14ac:dyDescent="0.3">
      <c r="A76" s="75"/>
      <c r="B76" s="12"/>
      <c r="C76" s="75"/>
      <c r="D76" s="13"/>
      <c r="E76" s="38"/>
      <c r="F76" s="40"/>
      <c r="G76" s="51"/>
      <c r="H76" s="13"/>
      <c r="I76" s="15"/>
      <c r="J76" s="15"/>
      <c r="K76" s="13"/>
      <c r="L76" s="13"/>
      <c r="M76" s="13"/>
      <c r="N76" s="13"/>
      <c r="O76" s="13"/>
      <c r="P76" s="13"/>
      <c r="Q76" s="13"/>
      <c r="R76" s="13"/>
      <c r="S76" s="113"/>
      <c r="T76" s="64"/>
      <c r="U76" s="103"/>
      <c r="V76" s="13"/>
      <c r="W76" s="22"/>
    </row>
    <row r="77" spans="1:23" x14ac:dyDescent="0.3">
      <c r="A77" s="75"/>
      <c r="B77" s="12"/>
      <c r="C77" s="75"/>
      <c r="D77" s="13"/>
      <c r="E77" s="38"/>
      <c r="F77" s="40"/>
      <c r="G77" s="51"/>
      <c r="H77" s="13"/>
      <c r="I77" s="15"/>
      <c r="J77" s="15"/>
      <c r="K77" s="13"/>
      <c r="L77" s="13"/>
      <c r="M77" s="13"/>
      <c r="N77" s="13"/>
      <c r="O77" s="13"/>
      <c r="P77" s="13"/>
      <c r="Q77" s="13"/>
      <c r="R77" s="13"/>
      <c r="S77" s="113"/>
      <c r="T77" s="64"/>
      <c r="U77" s="103"/>
      <c r="V77" s="13"/>
      <c r="W77" s="22"/>
    </row>
    <row r="78" spans="1:23" x14ac:dyDescent="0.3">
      <c r="A78" s="75"/>
      <c r="B78" s="12"/>
      <c r="C78" s="75"/>
      <c r="D78" s="13"/>
      <c r="E78" s="38"/>
      <c r="F78" s="40"/>
      <c r="G78" s="51"/>
      <c r="H78" s="13"/>
      <c r="I78" s="15"/>
      <c r="J78" s="15"/>
      <c r="K78" s="13"/>
      <c r="L78" s="13"/>
      <c r="M78" s="13"/>
      <c r="N78" s="13"/>
      <c r="O78" s="13"/>
      <c r="P78" s="13"/>
      <c r="Q78" s="13"/>
      <c r="R78" s="13"/>
      <c r="S78" s="113"/>
      <c r="T78" s="64"/>
      <c r="U78" s="103"/>
      <c r="V78" s="13"/>
      <c r="W78" s="13"/>
    </row>
    <row r="79" spans="1:23" x14ac:dyDescent="0.3">
      <c r="A79" s="75"/>
      <c r="B79" s="12"/>
      <c r="C79" s="75"/>
      <c r="D79" s="13"/>
      <c r="E79" s="38"/>
      <c r="F79" s="40"/>
      <c r="G79" s="51"/>
      <c r="H79" s="13"/>
      <c r="I79" s="15"/>
      <c r="J79" s="15"/>
      <c r="K79" s="13"/>
      <c r="L79" s="13"/>
      <c r="M79" s="13"/>
      <c r="N79" s="13"/>
      <c r="O79" s="13"/>
      <c r="P79" s="13"/>
      <c r="Q79" s="13"/>
      <c r="R79" s="13"/>
      <c r="S79" s="113"/>
      <c r="T79" s="64"/>
      <c r="U79" s="103"/>
      <c r="V79" s="13"/>
      <c r="W79" s="13"/>
    </row>
  </sheetData>
  <mergeCells count="2">
    <mergeCell ref="A8:P8"/>
    <mergeCell ref="Q8:W8"/>
  </mergeCells>
  <conditionalFormatting sqref="U9">
    <cfRule type="cellIs" dxfId="37" priority="17" operator="between">
      <formula>6</formula>
      <formula>10</formula>
    </cfRule>
    <cfRule type="cellIs" dxfId="36" priority="18" operator="between">
      <formula>1</formula>
      <formula>5</formula>
    </cfRule>
  </conditionalFormatting>
  <conditionalFormatting sqref="U9">
    <cfRule type="cellIs" dxfId="35" priority="16" operator="between">
      <formula>11</formula>
      <formula>30</formula>
    </cfRule>
  </conditionalFormatting>
  <dataValidations count="3">
    <dataValidation type="list" allowBlank="1" showInputMessage="1" showErrorMessage="1" sqref="L10:N79" xr:uid="{790FEA71-2E88-4FAB-A96C-477331E38D42}">
      <formula1>"Sim,Não"</formula1>
    </dataValidation>
    <dataValidation type="list" allowBlank="1" showInputMessage="1" showErrorMessage="1" sqref="K10:K79" xr:uid="{01F1EA1C-5683-42D4-B700-A9DA3BD37C0C}">
      <formula1>"Legado,Novo"</formula1>
    </dataValidation>
    <dataValidation type="list" allowBlank="1" showInputMessage="1" showErrorMessage="1" sqref="D10:D79" xr:uid="{32CD0E69-00CF-4164-A6D4-0DA5C8B1BF53}">
      <formula1>"Sim, 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AE30E-4066-4667-9369-89A91D0F7CE3}">
  <sheetPr codeName="Planilha15"/>
  <dimension ref="A5:W79"/>
  <sheetViews>
    <sheetView showGridLines="0" zoomScale="70" zoomScaleNormal="70" workbookViewId="0">
      <selection activeCell="A10" sqref="A10:V79"/>
    </sheetView>
  </sheetViews>
  <sheetFormatPr defaultRowHeight="14.4" x14ac:dyDescent="0.3"/>
  <cols>
    <col min="1" max="1" width="22.88671875" style="18" bestFit="1" customWidth="1"/>
    <col min="2" max="2" width="21.5546875" bestFit="1" customWidth="1"/>
    <col min="3" max="3" width="27.33203125" bestFit="1" customWidth="1"/>
    <col min="4" max="4" width="14.44140625" customWidth="1"/>
    <col min="5" max="5" width="59.33203125" style="18" bestFit="1" customWidth="1"/>
    <col min="6" max="6" width="18.109375" bestFit="1" customWidth="1"/>
    <col min="7" max="7" width="17.44140625" bestFit="1" customWidth="1"/>
    <col min="8" max="8" width="38.88671875" bestFit="1" customWidth="1"/>
    <col min="9" max="9" width="16" customWidth="1"/>
    <col min="10" max="10" width="15.33203125" bestFit="1" customWidth="1"/>
    <col min="11" max="11" width="21" bestFit="1" customWidth="1"/>
    <col min="12" max="12" width="11.5546875" bestFit="1" customWidth="1"/>
    <col min="13" max="13" width="13.44140625" bestFit="1" customWidth="1"/>
    <col min="14" max="14" width="13.44140625" customWidth="1"/>
    <col min="15" max="15" width="52.33203125" bestFit="1" customWidth="1"/>
    <col min="16" max="16" width="36.44140625" bestFit="1" customWidth="1"/>
    <col min="17" max="17" width="18.33203125" bestFit="1" customWidth="1"/>
    <col min="18" max="18" width="23" bestFit="1" customWidth="1"/>
    <col min="19" max="19" width="30" bestFit="1" customWidth="1"/>
    <col min="20" max="20" width="29.33203125" bestFit="1" customWidth="1"/>
    <col min="21" max="21" width="15" bestFit="1" customWidth="1"/>
    <col min="22" max="22" width="30" bestFit="1" customWidth="1"/>
    <col min="23" max="23" width="6.109375" customWidth="1"/>
  </cols>
  <sheetData>
    <row r="5" spans="1:23" x14ac:dyDescent="0.3">
      <c r="T5" s="66"/>
    </row>
    <row r="6" spans="1:23" x14ac:dyDescent="0.3">
      <c r="C6" s="17">
        <f ca="1">TODAY()</f>
        <v>44543</v>
      </c>
      <c r="U6" s="17">
        <f ca="1">TODAY()</f>
        <v>44543</v>
      </c>
    </row>
    <row r="7" spans="1:23" s="8" customFormat="1" ht="3.75" customHeight="1" thickBot="1" x14ac:dyDescent="0.35">
      <c r="A7" s="20"/>
      <c r="E7" s="20"/>
    </row>
    <row r="8" spans="1:23" ht="15" thickBot="1" x14ac:dyDescent="0.35">
      <c r="A8" s="123" t="s">
        <v>62</v>
      </c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4"/>
      <c r="Q8" s="125" t="s">
        <v>63</v>
      </c>
      <c r="R8" s="126"/>
      <c r="S8" s="126"/>
      <c r="T8" s="126"/>
      <c r="U8" s="126"/>
      <c r="V8" s="126"/>
      <c r="W8" s="126"/>
    </row>
    <row r="9" spans="1:23" ht="28.8" x14ac:dyDescent="0.3">
      <c r="A9" s="77" t="s">
        <v>1</v>
      </c>
      <c r="B9" s="78" t="s">
        <v>2</v>
      </c>
      <c r="C9" s="79" t="s">
        <v>3</v>
      </c>
      <c r="D9" s="79" t="s">
        <v>4</v>
      </c>
      <c r="E9" s="80" t="s">
        <v>5</v>
      </c>
      <c r="F9" s="81" t="s">
        <v>64</v>
      </c>
      <c r="G9" s="80" t="s">
        <v>6</v>
      </c>
      <c r="H9" s="82" t="s">
        <v>7</v>
      </c>
      <c r="I9" s="83" t="s">
        <v>8</v>
      </c>
      <c r="J9" s="84" t="s">
        <v>9</v>
      </c>
      <c r="K9" s="85" t="s">
        <v>10</v>
      </c>
      <c r="L9" s="79" t="s">
        <v>11</v>
      </c>
      <c r="M9" s="79" t="s">
        <v>12</v>
      </c>
      <c r="N9" s="79" t="s">
        <v>13</v>
      </c>
      <c r="O9" s="79" t="s">
        <v>14</v>
      </c>
      <c r="P9" s="79" t="s">
        <v>15</v>
      </c>
      <c r="Q9" s="79" t="s">
        <v>16</v>
      </c>
      <c r="R9" s="79" t="s">
        <v>17</v>
      </c>
      <c r="S9" s="79" t="s">
        <v>18</v>
      </c>
      <c r="T9" s="81" t="s">
        <v>19</v>
      </c>
      <c r="U9" s="86" t="s">
        <v>20</v>
      </c>
      <c r="V9" s="79" t="s">
        <v>21</v>
      </c>
      <c r="W9" s="77" t="s">
        <v>0</v>
      </c>
    </row>
    <row r="10" spans="1:23" x14ac:dyDescent="0.3">
      <c r="A10" s="75"/>
      <c r="B10" s="12"/>
      <c r="C10" s="75"/>
      <c r="D10" s="13"/>
      <c r="E10" s="38"/>
      <c r="F10" s="40"/>
      <c r="G10" s="51"/>
      <c r="H10" s="13"/>
      <c r="I10" s="15"/>
      <c r="J10" s="15"/>
      <c r="K10" s="13"/>
      <c r="L10" s="13"/>
      <c r="M10" s="13"/>
      <c r="N10" s="13"/>
      <c r="O10" s="13"/>
      <c r="P10" s="13"/>
      <c r="Q10" s="13"/>
      <c r="R10" s="13"/>
      <c r="S10" s="113"/>
      <c r="T10" s="64"/>
      <c r="U10" s="103"/>
      <c r="V10" s="13"/>
      <c r="W10" s="75" t="s">
        <v>51</v>
      </c>
    </row>
    <row r="11" spans="1:23" x14ac:dyDescent="0.3">
      <c r="A11" s="75"/>
      <c r="B11" s="12"/>
      <c r="C11" s="75"/>
      <c r="D11" s="13"/>
      <c r="E11" s="38"/>
      <c r="F11" s="40"/>
      <c r="G11" s="51"/>
      <c r="H11" s="13"/>
      <c r="I11" s="15"/>
      <c r="J11" s="15"/>
      <c r="K11" s="13"/>
      <c r="L11" s="13"/>
      <c r="M11" s="13"/>
      <c r="N11" s="13"/>
      <c r="O11" s="13"/>
      <c r="P11" s="13"/>
      <c r="Q11" s="13"/>
      <c r="R11" s="13"/>
      <c r="S11" s="113"/>
      <c r="T11" s="64"/>
      <c r="U11" s="103"/>
      <c r="V11" s="13"/>
      <c r="W11" s="75" t="s">
        <v>51</v>
      </c>
    </row>
    <row r="12" spans="1:23" x14ac:dyDescent="0.3">
      <c r="A12" s="75"/>
      <c r="B12" s="12"/>
      <c r="C12" s="75"/>
      <c r="D12" s="13"/>
      <c r="E12" s="38"/>
      <c r="F12" s="40"/>
      <c r="G12" s="51"/>
      <c r="H12" s="13"/>
      <c r="I12" s="15"/>
      <c r="J12" s="15"/>
      <c r="K12" s="13"/>
      <c r="L12" s="13"/>
      <c r="M12" s="13"/>
      <c r="N12" s="13"/>
      <c r="O12" s="13"/>
      <c r="P12" s="13"/>
      <c r="Q12" s="13"/>
      <c r="R12" s="13"/>
      <c r="S12" s="113"/>
      <c r="T12" s="64"/>
      <c r="U12" s="103"/>
      <c r="V12" s="13"/>
      <c r="W12" s="75" t="s">
        <v>51</v>
      </c>
    </row>
    <row r="13" spans="1:23" x14ac:dyDescent="0.3">
      <c r="A13" s="75"/>
      <c r="B13" s="12"/>
      <c r="C13" s="75"/>
      <c r="D13" s="13"/>
      <c r="E13" s="38"/>
      <c r="F13" s="40"/>
      <c r="G13" s="51"/>
      <c r="H13" s="13"/>
      <c r="I13" s="15"/>
      <c r="J13" s="15"/>
      <c r="K13" s="13"/>
      <c r="L13" s="13"/>
      <c r="M13" s="13"/>
      <c r="N13" s="13"/>
      <c r="O13" s="13"/>
      <c r="P13" s="13"/>
      <c r="Q13" s="13"/>
      <c r="R13" s="13"/>
      <c r="S13" s="113"/>
      <c r="T13" s="64"/>
      <c r="U13" s="103"/>
      <c r="V13" s="13"/>
      <c r="W13" s="75" t="s">
        <v>51</v>
      </c>
    </row>
    <row r="14" spans="1:23" x14ac:dyDescent="0.3">
      <c r="A14" s="75"/>
      <c r="B14" s="12"/>
      <c r="C14" s="75"/>
      <c r="D14" s="13"/>
      <c r="E14" s="38"/>
      <c r="F14" s="40"/>
      <c r="G14" s="51"/>
      <c r="H14" s="13"/>
      <c r="I14" s="15"/>
      <c r="J14" s="15"/>
      <c r="K14" s="13"/>
      <c r="L14" s="13"/>
      <c r="M14" s="13"/>
      <c r="N14" s="13"/>
      <c r="O14" s="13"/>
      <c r="P14" s="13"/>
      <c r="Q14" s="13"/>
      <c r="R14" s="13"/>
      <c r="S14" s="113"/>
      <c r="T14" s="64"/>
      <c r="U14" s="103"/>
      <c r="V14" s="13"/>
      <c r="W14" s="75" t="s">
        <v>51</v>
      </c>
    </row>
    <row r="15" spans="1:23" x14ac:dyDescent="0.3">
      <c r="A15" s="75"/>
      <c r="B15" s="12"/>
      <c r="C15" s="75"/>
      <c r="D15" s="13"/>
      <c r="E15" s="38"/>
      <c r="F15" s="40"/>
      <c r="G15" s="51"/>
      <c r="H15" s="13"/>
      <c r="I15" s="15"/>
      <c r="J15" s="15"/>
      <c r="K15" s="13"/>
      <c r="L15" s="13"/>
      <c r="M15" s="13"/>
      <c r="N15" s="13"/>
      <c r="O15" s="13"/>
      <c r="P15" s="13"/>
      <c r="Q15" s="13"/>
      <c r="R15" s="13"/>
      <c r="S15" s="113"/>
      <c r="T15" s="64"/>
      <c r="U15" s="103"/>
      <c r="V15" s="13"/>
      <c r="W15" s="75" t="s">
        <v>51</v>
      </c>
    </row>
    <row r="16" spans="1:23" x14ac:dyDescent="0.3">
      <c r="A16" s="75"/>
      <c r="B16" s="12"/>
      <c r="C16" s="75"/>
      <c r="D16" s="13"/>
      <c r="E16" s="38"/>
      <c r="F16" s="40"/>
      <c r="G16" s="51"/>
      <c r="H16" s="13"/>
      <c r="I16" s="15"/>
      <c r="J16" s="15"/>
      <c r="K16" s="13"/>
      <c r="L16" s="13"/>
      <c r="M16" s="13"/>
      <c r="N16" s="13"/>
      <c r="O16" s="13"/>
      <c r="P16" s="13"/>
      <c r="Q16" s="13"/>
      <c r="R16" s="13"/>
      <c r="S16" s="113"/>
      <c r="T16" s="64"/>
      <c r="U16" s="103"/>
      <c r="V16" s="13"/>
      <c r="W16" s="75" t="s">
        <v>51</v>
      </c>
    </row>
    <row r="17" spans="1:23" x14ac:dyDescent="0.3">
      <c r="A17" s="75"/>
      <c r="B17" s="12"/>
      <c r="C17" s="75"/>
      <c r="D17" s="13"/>
      <c r="E17" s="38"/>
      <c r="F17" s="40"/>
      <c r="G17" s="51"/>
      <c r="H17" s="13"/>
      <c r="I17" s="15"/>
      <c r="J17" s="15"/>
      <c r="K17" s="13"/>
      <c r="L17" s="13"/>
      <c r="M17" s="13"/>
      <c r="N17" s="13"/>
      <c r="O17" s="13"/>
      <c r="P17" s="13"/>
      <c r="Q17" s="13"/>
      <c r="R17" s="13"/>
      <c r="S17" s="113"/>
      <c r="T17" s="64"/>
      <c r="U17" s="103"/>
      <c r="V17" s="13"/>
      <c r="W17" s="75" t="s">
        <v>51</v>
      </c>
    </row>
    <row r="18" spans="1:23" x14ac:dyDescent="0.3">
      <c r="A18" s="75"/>
      <c r="B18" s="12"/>
      <c r="C18" s="75"/>
      <c r="D18" s="13"/>
      <c r="E18" s="38"/>
      <c r="F18" s="40"/>
      <c r="G18" s="51"/>
      <c r="H18" s="13"/>
      <c r="I18" s="15"/>
      <c r="J18" s="15"/>
      <c r="K18" s="13"/>
      <c r="L18" s="13"/>
      <c r="M18" s="13"/>
      <c r="N18" s="13"/>
      <c r="O18" s="13"/>
      <c r="P18" s="13"/>
      <c r="Q18" s="13"/>
      <c r="R18" s="13"/>
      <c r="S18" s="113"/>
      <c r="T18" s="64"/>
      <c r="U18" s="103"/>
      <c r="V18" s="13"/>
      <c r="W18" s="75" t="s">
        <v>51</v>
      </c>
    </row>
    <row r="19" spans="1:23" x14ac:dyDescent="0.3">
      <c r="A19" s="75"/>
      <c r="B19" s="12"/>
      <c r="C19" s="75"/>
      <c r="D19" s="13"/>
      <c r="E19" s="38"/>
      <c r="F19" s="40"/>
      <c r="G19" s="51"/>
      <c r="H19" s="13"/>
      <c r="I19" s="15"/>
      <c r="J19" s="15"/>
      <c r="K19" s="13"/>
      <c r="L19" s="13"/>
      <c r="M19" s="13"/>
      <c r="N19" s="13"/>
      <c r="O19" s="13"/>
      <c r="P19" s="13"/>
      <c r="Q19" s="13"/>
      <c r="R19" s="13"/>
      <c r="S19" s="113"/>
      <c r="T19" s="64"/>
      <c r="U19" s="103"/>
      <c r="V19" s="13"/>
      <c r="W19" s="75" t="s">
        <v>51</v>
      </c>
    </row>
    <row r="20" spans="1:23" x14ac:dyDescent="0.3">
      <c r="A20" s="75"/>
      <c r="B20" s="12"/>
      <c r="C20" s="75"/>
      <c r="D20" s="13"/>
      <c r="E20" s="38"/>
      <c r="F20" s="40"/>
      <c r="G20" s="51"/>
      <c r="H20" s="13"/>
      <c r="I20" s="15"/>
      <c r="J20" s="15"/>
      <c r="K20" s="13"/>
      <c r="L20" s="13"/>
      <c r="M20" s="13"/>
      <c r="N20" s="13"/>
      <c r="O20" s="13"/>
      <c r="P20" s="13"/>
      <c r="Q20" s="13"/>
      <c r="R20" s="13"/>
      <c r="S20" s="113"/>
      <c r="T20" s="64"/>
      <c r="U20" s="103"/>
      <c r="V20" s="13"/>
      <c r="W20" s="75" t="s">
        <v>51</v>
      </c>
    </row>
    <row r="21" spans="1:23" x14ac:dyDescent="0.3">
      <c r="A21" s="75"/>
      <c r="B21" s="12"/>
      <c r="C21" s="75"/>
      <c r="D21" s="13"/>
      <c r="E21" s="38"/>
      <c r="F21" s="40"/>
      <c r="G21" s="51"/>
      <c r="H21" s="13"/>
      <c r="I21" s="15"/>
      <c r="J21" s="15"/>
      <c r="K21" s="13"/>
      <c r="L21" s="13"/>
      <c r="M21" s="13"/>
      <c r="N21" s="13"/>
      <c r="O21" s="13"/>
      <c r="P21" s="13"/>
      <c r="Q21" s="13"/>
      <c r="R21" s="13"/>
      <c r="S21" s="113"/>
      <c r="T21" s="64"/>
      <c r="U21" s="103"/>
      <c r="V21" s="13"/>
      <c r="W21" s="75" t="s">
        <v>51</v>
      </c>
    </row>
    <row r="22" spans="1:23" x14ac:dyDescent="0.3">
      <c r="A22" s="75"/>
      <c r="B22" s="12"/>
      <c r="C22" s="75"/>
      <c r="D22" s="13"/>
      <c r="E22" s="38"/>
      <c r="F22" s="40"/>
      <c r="G22" s="51"/>
      <c r="H22" s="13"/>
      <c r="I22" s="15"/>
      <c r="J22" s="15"/>
      <c r="K22" s="13"/>
      <c r="L22" s="13"/>
      <c r="M22" s="13"/>
      <c r="N22" s="13"/>
      <c r="O22" s="13"/>
      <c r="P22" s="13"/>
      <c r="Q22" s="13"/>
      <c r="R22" s="13"/>
      <c r="S22" s="113"/>
      <c r="T22" s="64"/>
      <c r="U22" s="103"/>
      <c r="V22" s="13"/>
      <c r="W22" s="75" t="s">
        <v>51</v>
      </c>
    </row>
    <row r="23" spans="1:23" x14ac:dyDescent="0.3">
      <c r="A23" s="75"/>
      <c r="B23" s="12"/>
      <c r="C23" s="75"/>
      <c r="D23" s="13"/>
      <c r="E23" s="38"/>
      <c r="F23" s="40"/>
      <c r="G23" s="51"/>
      <c r="H23" s="13"/>
      <c r="I23" s="15"/>
      <c r="J23" s="15"/>
      <c r="K23" s="13"/>
      <c r="L23" s="13"/>
      <c r="M23" s="13"/>
      <c r="N23" s="13"/>
      <c r="O23" s="13"/>
      <c r="P23" s="13"/>
      <c r="Q23" s="13"/>
      <c r="R23" s="13"/>
      <c r="S23" s="113"/>
      <c r="T23" s="64"/>
      <c r="U23" s="103"/>
      <c r="V23" s="13"/>
      <c r="W23" s="75" t="s">
        <v>51</v>
      </c>
    </row>
    <row r="24" spans="1:23" x14ac:dyDescent="0.3">
      <c r="A24" s="75"/>
      <c r="B24" s="12"/>
      <c r="C24" s="75"/>
      <c r="D24" s="13"/>
      <c r="E24" s="38"/>
      <c r="F24" s="40"/>
      <c r="G24" s="51"/>
      <c r="H24" s="13"/>
      <c r="I24" s="15"/>
      <c r="J24" s="15"/>
      <c r="K24" s="13"/>
      <c r="L24" s="13"/>
      <c r="M24" s="13"/>
      <c r="N24" s="13"/>
      <c r="O24" s="13"/>
      <c r="P24" s="13"/>
      <c r="Q24" s="13"/>
      <c r="R24" s="13"/>
      <c r="S24" s="113"/>
      <c r="T24" s="64"/>
      <c r="U24" s="103"/>
      <c r="V24" s="13"/>
      <c r="W24" s="75" t="s">
        <v>51</v>
      </c>
    </row>
    <row r="25" spans="1:23" x14ac:dyDescent="0.3">
      <c r="A25" s="75"/>
      <c r="B25" s="12"/>
      <c r="C25" s="75"/>
      <c r="D25" s="13"/>
      <c r="E25" s="38"/>
      <c r="F25" s="40"/>
      <c r="G25" s="51"/>
      <c r="H25" s="13"/>
      <c r="I25" s="15"/>
      <c r="J25" s="15"/>
      <c r="K25" s="13"/>
      <c r="L25" s="13"/>
      <c r="M25" s="13"/>
      <c r="N25" s="13"/>
      <c r="O25" s="13"/>
      <c r="P25" s="13"/>
      <c r="Q25" s="13"/>
      <c r="R25" s="13"/>
      <c r="S25" s="113"/>
      <c r="T25" s="64"/>
      <c r="U25" s="103"/>
      <c r="V25" s="13"/>
      <c r="W25" s="75" t="s">
        <v>51</v>
      </c>
    </row>
    <row r="26" spans="1:23" x14ac:dyDescent="0.3">
      <c r="A26" s="75"/>
      <c r="B26" s="12"/>
      <c r="C26" s="75"/>
      <c r="D26" s="13"/>
      <c r="E26" s="38"/>
      <c r="F26" s="40"/>
      <c r="G26" s="51"/>
      <c r="H26" s="13"/>
      <c r="I26" s="15"/>
      <c r="J26" s="15"/>
      <c r="K26" s="13"/>
      <c r="L26" s="13"/>
      <c r="M26" s="13"/>
      <c r="N26" s="13"/>
      <c r="O26" s="13"/>
      <c r="P26" s="13"/>
      <c r="Q26" s="13"/>
      <c r="R26" s="13"/>
      <c r="S26" s="113"/>
      <c r="T26" s="64"/>
      <c r="U26" s="103"/>
      <c r="V26" s="13"/>
      <c r="W26" s="75" t="s">
        <v>51</v>
      </c>
    </row>
    <row r="27" spans="1:23" x14ac:dyDescent="0.3">
      <c r="A27" s="75"/>
      <c r="B27" s="12"/>
      <c r="C27" s="75"/>
      <c r="D27" s="13"/>
      <c r="E27" s="38"/>
      <c r="F27" s="40"/>
      <c r="G27" s="51"/>
      <c r="H27" s="13"/>
      <c r="I27" s="15"/>
      <c r="J27" s="15"/>
      <c r="K27" s="13"/>
      <c r="L27" s="13"/>
      <c r="M27" s="13"/>
      <c r="N27" s="13"/>
      <c r="O27" s="13"/>
      <c r="P27" s="13"/>
      <c r="Q27" s="13"/>
      <c r="R27" s="13"/>
      <c r="S27" s="113"/>
      <c r="T27" s="64"/>
      <c r="U27" s="103"/>
      <c r="V27" s="13"/>
      <c r="W27" s="75" t="s">
        <v>51</v>
      </c>
    </row>
    <row r="28" spans="1:23" x14ac:dyDescent="0.3">
      <c r="A28" s="75"/>
      <c r="B28" s="12"/>
      <c r="C28" s="75"/>
      <c r="D28" s="13"/>
      <c r="E28" s="38"/>
      <c r="F28" s="40"/>
      <c r="G28" s="51"/>
      <c r="H28" s="13"/>
      <c r="I28" s="15"/>
      <c r="J28" s="15"/>
      <c r="K28" s="13"/>
      <c r="L28" s="13"/>
      <c r="M28" s="13"/>
      <c r="N28" s="13"/>
      <c r="O28" s="13"/>
      <c r="P28" s="13"/>
      <c r="Q28" s="13"/>
      <c r="R28" s="13"/>
      <c r="S28" s="113"/>
      <c r="T28" s="64"/>
      <c r="U28" s="103"/>
      <c r="V28" s="13"/>
      <c r="W28" s="75" t="s">
        <v>51</v>
      </c>
    </row>
    <row r="29" spans="1:23" x14ac:dyDescent="0.3">
      <c r="A29" s="75"/>
      <c r="B29" s="12"/>
      <c r="C29" s="75"/>
      <c r="D29" s="13"/>
      <c r="E29" s="38"/>
      <c r="F29" s="40"/>
      <c r="G29" s="51"/>
      <c r="H29" s="13"/>
      <c r="I29" s="15"/>
      <c r="J29" s="15"/>
      <c r="K29" s="13"/>
      <c r="L29" s="13"/>
      <c r="M29" s="13"/>
      <c r="N29" s="13"/>
      <c r="O29" s="13"/>
      <c r="P29" s="13"/>
      <c r="Q29" s="13"/>
      <c r="R29" s="13"/>
      <c r="S29" s="113"/>
      <c r="T29" s="64"/>
      <c r="U29" s="103"/>
      <c r="V29" s="13"/>
      <c r="W29" s="75" t="s">
        <v>51</v>
      </c>
    </row>
    <row r="30" spans="1:23" x14ac:dyDescent="0.3">
      <c r="A30" s="75"/>
      <c r="B30" s="12"/>
      <c r="C30" s="75"/>
      <c r="D30" s="13"/>
      <c r="E30" s="38"/>
      <c r="F30" s="40"/>
      <c r="G30" s="51"/>
      <c r="H30" s="13"/>
      <c r="I30" s="15"/>
      <c r="J30" s="15"/>
      <c r="K30" s="13"/>
      <c r="L30" s="13"/>
      <c r="M30" s="13"/>
      <c r="N30" s="13"/>
      <c r="O30" s="13"/>
      <c r="P30" s="13"/>
      <c r="Q30" s="13"/>
      <c r="R30" s="13"/>
      <c r="S30" s="113"/>
      <c r="T30" s="64"/>
      <c r="U30" s="103"/>
      <c r="V30" s="13"/>
      <c r="W30" s="75" t="s">
        <v>51</v>
      </c>
    </row>
    <row r="31" spans="1:23" x14ac:dyDescent="0.3">
      <c r="A31" s="75"/>
      <c r="B31" s="12"/>
      <c r="C31" s="75"/>
      <c r="D31" s="13"/>
      <c r="E31" s="38"/>
      <c r="F31" s="40"/>
      <c r="G31" s="51"/>
      <c r="H31" s="13"/>
      <c r="I31" s="15"/>
      <c r="J31" s="15"/>
      <c r="K31" s="13"/>
      <c r="L31" s="13"/>
      <c r="M31" s="13"/>
      <c r="N31" s="13"/>
      <c r="O31" s="13"/>
      <c r="P31" s="13"/>
      <c r="Q31" s="13"/>
      <c r="R31" s="13"/>
      <c r="S31" s="113"/>
      <c r="T31" s="64"/>
      <c r="U31" s="103"/>
      <c r="V31" s="13"/>
      <c r="W31" s="75" t="s">
        <v>51</v>
      </c>
    </row>
    <row r="32" spans="1:23" x14ac:dyDescent="0.3">
      <c r="A32" s="75"/>
      <c r="B32" s="12"/>
      <c r="C32" s="75"/>
      <c r="D32" s="13"/>
      <c r="E32" s="38"/>
      <c r="F32" s="40"/>
      <c r="G32" s="51"/>
      <c r="H32" s="13"/>
      <c r="I32" s="15"/>
      <c r="J32" s="15"/>
      <c r="K32" s="13"/>
      <c r="L32" s="13"/>
      <c r="M32" s="13"/>
      <c r="N32" s="13"/>
      <c r="O32" s="13"/>
      <c r="P32" s="13"/>
      <c r="Q32" s="13"/>
      <c r="R32" s="13"/>
      <c r="S32" s="113"/>
      <c r="T32" s="64"/>
      <c r="U32" s="103"/>
      <c r="V32" s="13"/>
      <c r="W32" s="75" t="s">
        <v>51</v>
      </c>
    </row>
    <row r="33" spans="1:23" x14ac:dyDescent="0.3">
      <c r="A33" s="75"/>
      <c r="B33" s="12"/>
      <c r="C33" s="75"/>
      <c r="D33" s="13"/>
      <c r="E33" s="38"/>
      <c r="F33" s="40"/>
      <c r="G33" s="51"/>
      <c r="H33" s="13"/>
      <c r="I33" s="15"/>
      <c r="J33" s="15"/>
      <c r="K33" s="13"/>
      <c r="L33" s="13"/>
      <c r="M33" s="13"/>
      <c r="N33" s="13"/>
      <c r="O33" s="13"/>
      <c r="P33" s="13"/>
      <c r="Q33" s="13"/>
      <c r="R33" s="13"/>
      <c r="S33" s="113"/>
      <c r="T33" s="64"/>
      <c r="U33" s="103"/>
      <c r="V33" s="13"/>
      <c r="W33" s="75" t="s">
        <v>51</v>
      </c>
    </row>
    <row r="34" spans="1:23" x14ac:dyDescent="0.3">
      <c r="A34" s="75"/>
      <c r="B34" s="12"/>
      <c r="C34" s="75"/>
      <c r="D34" s="13"/>
      <c r="E34" s="38"/>
      <c r="F34" s="40"/>
      <c r="G34" s="51"/>
      <c r="H34" s="13"/>
      <c r="I34" s="15"/>
      <c r="J34" s="15"/>
      <c r="K34" s="13"/>
      <c r="L34" s="13"/>
      <c r="M34" s="13"/>
      <c r="N34" s="13"/>
      <c r="O34" s="13"/>
      <c r="P34" s="13"/>
      <c r="Q34" s="13"/>
      <c r="R34" s="13"/>
      <c r="S34" s="113"/>
      <c r="T34" s="64"/>
      <c r="U34" s="103"/>
      <c r="V34" s="13"/>
      <c r="W34" s="75" t="s">
        <v>51</v>
      </c>
    </row>
    <row r="35" spans="1:23" x14ac:dyDescent="0.3">
      <c r="A35" s="75"/>
      <c r="B35" s="12"/>
      <c r="C35" s="75"/>
      <c r="D35" s="13"/>
      <c r="E35" s="38"/>
      <c r="F35" s="40"/>
      <c r="G35" s="51"/>
      <c r="H35" s="13"/>
      <c r="I35" s="15"/>
      <c r="J35" s="15"/>
      <c r="K35" s="13"/>
      <c r="L35" s="13"/>
      <c r="M35" s="13"/>
      <c r="N35" s="13"/>
      <c r="O35" s="13"/>
      <c r="P35" s="13"/>
      <c r="Q35" s="13"/>
      <c r="R35" s="13"/>
      <c r="S35" s="113"/>
      <c r="T35" s="64"/>
      <c r="U35" s="103"/>
      <c r="V35" s="13"/>
      <c r="W35" s="75" t="s">
        <v>51</v>
      </c>
    </row>
    <row r="36" spans="1:23" x14ac:dyDescent="0.3">
      <c r="A36" s="75"/>
      <c r="B36" s="12"/>
      <c r="C36" s="75"/>
      <c r="D36" s="13"/>
      <c r="E36" s="38"/>
      <c r="F36" s="40"/>
      <c r="G36" s="51"/>
      <c r="H36" s="13"/>
      <c r="I36" s="15"/>
      <c r="J36" s="15"/>
      <c r="K36" s="13"/>
      <c r="L36" s="13"/>
      <c r="M36" s="13"/>
      <c r="N36" s="13"/>
      <c r="O36" s="13"/>
      <c r="P36" s="13"/>
      <c r="Q36" s="13"/>
      <c r="R36" s="13"/>
      <c r="S36" s="113"/>
      <c r="T36" s="64"/>
      <c r="U36" s="103"/>
      <c r="V36" s="13"/>
      <c r="W36" s="75" t="s">
        <v>51</v>
      </c>
    </row>
    <row r="37" spans="1:23" x14ac:dyDescent="0.3">
      <c r="A37" s="75"/>
      <c r="B37" s="12"/>
      <c r="C37" s="75"/>
      <c r="D37" s="13"/>
      <c r="E37" s="38"/>
      <c r="F37" s="40"/>
      <c r="G37" s="51"/>
      <c r="H37" s="13"/>
      <c r="I37" s="15"/>
      <c r="J37" s="15"/>
      <c r="K37" s="13"/>
      <c r="L37" s="13"/>
      <c r="M37" s="13"/>
      <c r="N37" s="13"/>
      <c r="O37" s="13"/>
      <c r="P37" s="13"/>
      <c r="Q37" s="13"/>
      <c r="R37" s="13"/>
      <c r="S37" s="113"/>
      <c r="T37" s="64"/>
      <c r="U37" s="103"/>
      <c r="V37" s="13"/>
      <c r="W37" s="75" t="s">
        <v>51</v>
      </c>
    </row>
    <row r="38" spans="1:23" x14ac:dyDescent="0.3">
      <c r="A38" s="75"/>
      <c r="B38" s="12"/>
      <c r="C38" s="75"/>
      <c r="D38" s="13"/>
      <c r="E38" s="38"/>
      <c r="F38" s="40"/>
      <c r="G38" s="51"/>
      <c r="H38" s="13"/>
      <c r="I38" s="15"/>
      <c r="J38" s="15"/>
      <c r="K38" s="13"/>
      <c r="L38" s="13"/>
      <c r="M38" s="13"/>
      <c r="N38" s="13"/>
      <c r="O38" s="13"/>
      <c r="P38" s="13"/>
      <c r="Q38" s="13"/>
      <c r="R38" s="13"/>
      <c r="S38" s="113"/>
      <c r="T38" s="64"/>
      <c r="U38" s="103"/>
      <c r="V38" s="13"/>
      <c r="W38" s="75" t="s">
        <v>51</v>
      </c>
    </row>
    <row r="39" spans="1:23" x14ac:dyDescent="0.3">
      <c r="A39" s="75"/>
      <c r="B39" s="12"/>
      <c r="C39" s="75"/>
      <c r="D39" s="13"/>
      <c r="E39" s="38"/>
      <c r="F39" s="40"/>
      <c r="G39" s="51"/>
      <c r="H39" s="13"/>
      <c r="I39" s="15"/>
      <c r="J39" s="15"/>
      <c r="K39" s="13"/>
      <c r="L39" s="13"/>
      <c r="M39" s="13"/>
      <c r="N39" s="13"/>
      <c r="O39" s="13"/>
      <c r="P39" s="13"/>
      <c r="Q39" s="13"/>
      <c r="R39" s="13"/>
      <c r="S39" s="113"/>
      <c r="T39" s="64"/>
      <c r="U39" s="103"/>
      <c r="V39" s="13"/>
      <c r="W39" s="75" t="s">
        <v>51</v>
      </c>
    </row>
    <row r="40" spans="1:23" x14ac:dyDescent="0.3">
      <c r="A40" s="75"/>
      <c r="B40" s="12"/>
      <c r="C40" s="75"/>
      <c r="D40" s="13"/>
      <c r="E40" s="38"/>
      <c r="F40" s="40"/>
      <c r="G40" s="51"/>
      <c r="H40" s="13"/>
      <c r="I40" s="15"/>
      <c r="J40" s="15"/>
      <c r="K40" s="13"/>
      <c r="L40" s="13"/>
      <c r="M40" s="13"/>
      <c r="N40" s="13"/>
      <c r="O40" s="13"/>
      <c r="P40" s="13"/>
      <c r="Q40" s="13"/>
      <c r="R40" s="13"/>
      <c r="S40" s="113"/>
      <c r="T40" s="64"/>
      <c r="U40" s="103"/>
      <c r="V40" s="13"/>
      <c r="W40" s="75" t="s">
        <v>51</v>
      </c>
    </row>
    <row r="41" spans="1:23" x14ac:dyDescent="0.3">
      <c r="A41" s="75"/>
      <c r="B41" s="12"/>
      <c r="C41" s="75"/>
      <c r="D41" s="13"/>
      <c r="E41" s="38"/>
      <c r="F41" s="40"/>
      <c r="G41" s="51"/>
      <c r="H41" s="13"/>
      <c r="I41" s="15"/>
      <c r="J41" s="15"/>
      <c r="K41" s="13"/>
      <c r="L41" s="13"/>
      <c r="M41" s="13"/>
      <c r="N41" s="13"/>
      <c r="O41" s="13"/>
      <c r="P41" s="13"/>
      <c r="Q41" s="13"/>
      <c r="R41" s="13"/>
      <c r="S41" s="113"/>
      <c r="T41" s="64"/>
      <c r="U41" s="103"/>
      <c r="V41" s="13"/>
      <c r="W41" s="75" t="s">
        <v>51</v>
      </c>
    </row>
    <row r="42" spans="1:23" x14ac:dyDescent="0.3">
      <c r="A42" s="75"/>
      <c r="B42" s="12"/>
      <c r="C42" s="75"/>
      <c r="D42" s="13"/>
      <c r="E42" s="38"/>
      <c r="F42" s="40"/>
      <c r="G42" s="51"/>
      <c r="H42" s="13"/>
      <c r="I42" s="15"/>
      <c r="J42" s="15"/>
      <c r="K42" s="13"/>
      <c r="L42" s="13"/>
      <c r="M42" s="13"/>
      <c r="N42" s="13"/>
      <c r="O42" s="13"/>
      <c r="P42" s="13"/>
      <c r="Q42" s="13"/>
      <c r="R42" s="13"/>
      <c r="S42" s="113"/>
      <c r="T42" s="64"/>
      <c r="U42" s="103"/>
      <c r="V42" s="13"/>
      <c r="W42" s="75" t="s">
        <v>51</v>
      </c>
    </row>
    <row r="43" spans="1:23" x14ac:dyDescent="0.3">
      <c r="A43" s="75"/>
      <c r="B43" s="12"/>
      <c r="C43" s="75"/>
      <c r="D43" s="13"/>
      <c r="E43" s="38"/>
      <c r="F43" s="40"/>
      <c r="G43" s="51"/>
      <c r="H43" s="13"/>
      <c r="I43" s="15"/>
      <c r="J43" s="15"/>
      <c r="K43" s="13"/>
      <c r="L43" s="13"/>
      <c r="M43" s="13"/>
      <c r="N43" s="13"/>
      <c r="O43" s="13"/>
      <c r="P43" s="13"/>
      <c r="Q43" s="13"/>
      <c r="R43" s="13"/>
      <c r="S43" s="113"/>
      <c r="T43" s="64"/>
      <c r="U43" s="103"/>
      <c r="V43" s="13"/>
      <c r="W43" s="75" t="s">
        <v>51</v>
      </c>
    </row>
    <row r="44" spans="1:23" x14ac:dyDescent="0.3">
      <c r="A44" s="75"/>
      <c r="B44" s="12"/>
      <c r="C44" s="75"/>
      <c r="D44" s="13"/>
      <c r="E44" s="38"/>
      <c r="F44" s="40"/>
      <c r="G44" s="51"/>
      <c r="H44" s="13"/>
      <c r="I44" s="15"/>
      <c r="J44" s="15"/>
      <c r="K44" s="13"/>
      <c r="L44" s="13"/>
      <c r="M44" s="13"/>
      <c r="N44" s="13"/>
      <c r="O44" s="13"/>
      <c r="P44" s="13"/>
      <c r="Q44" s="13"/>
      <c r="R44" s="13"/>
      <c r="S44" s="113"/>
      <c r="T44" s="64"/>
      <c r="U44" s="103"/>
      <c r="V44" s="13"/>
      <c r="W44" s="75" t="s">
        <v>51</v>
      </c>
    </row>
    <row r="45" spans="1:23" x14ac:dyDescent="0.3">
      <c r="A45" s="75"/>
      <c r="B45" s="12"/>
      <c r="C45" s="75"/>
      <c r="D45" s="13"/>
      <c r="E45" s="38"/>
      <c r="F45" s="40"/>
      <c r="G45" s="51"/>
      <c r="H45" s="13"/>
      <c r="I45" s="15"/>
      <c r="J45" s="15"/>
      <c r="K45" s="13"/>
      <c r="L45" s="13"/>
      <c r="M45" s="13"/>
      <c r="N45" s="13"/>
      <c r="O45" s="13"/>
      <c r="P45" s="13"/>
      <c r="Q45" s="13"/>
      <c r="R45" s="13"/>
      <c r="S45" s="113"/>
      <c r="T45" s="64"/>
      <c r="U45" s="103"/>
      <c r="V45" s="13"/>
      <c r="W45" s="75" t="s">
        <v>51</v>
      </c>
    </row>
    <row r="46" spans="1:23" x14ac:dyDescent="0.3">
      <c r="A46" s="75"/>
      <c r="B46" s="12"/>
      <c r="C46" s="75"/>
      <c r="D46" s="13"/>
      <c r="E46" s="38"/>
      <c r="F46" s="40"/>
      <c r="G46" s="51"/>
      <c r="H46" s="13"/>
      <c r="I46" s="15"/>
      <c r="J46" s="15"/>
      <c r="K46" s="13"/>
      <c r="L46" s="13"/>
      <c r="M46" s="13"/>
      <c r="N46" s="13"/>
      <c r="O46" s="13"/>
      <c r="P46" s="13"/>
      <c r="Q46" s="13"/>
      <c r="R46" s="13"/>
      <c r="S46" s="113"/>
      <c r="T46" s="64"/>
      <c r="U46" s="103"/>
      <c r="V46" s="13"/>
      <c r="W46" s="75" t="s">
        <v>51</v>
      </c>
    </row>
    <row r="47" spans="1:23" x14ac:dyDescent="0.3">
      <c r="A47" s="75"/>
      <c r="B47" s="12"/>
      <c r="C47" s="75"/>
      <c r="D47" s="13"/>
      <c r="E47" s="38"/>
      <c r="F47" s="40"/>
      <c r="G47" s="51"/>
      <c r="H47" s="13"/>
      <c r="I47" s="15"/>
      <c r="J47" s="15"/>
      <c r="K47" s="13"/>
      <c r="L47" s="13"/>
      <c r="M47" s="13"/>
      <c r="N47" s="13"/>
      <c r="O47" s="13"/>
      <c r="P47" s="13"/>
      <c r="Q47" s="13"/>
      <c r="R47" s="13"/>
      <c r="S47" s="113"/>
      <c r="T47" s="64"/>
      <c r="U47" s="103"/>
      <c r="V47" s="13"/>
      <c r="W47" s="75" t="s">
        <v>51</v>
      </c>
    </row>
    <row r="48" spans="1:23" x14ac:dyDescent="0.3">
      <c r="A48" s="75"/>
      <c r="B48" s="12"/>
      <c r="C48" s="75"/>
      <c r="D48" s="13"/>
      <c r="E48" s="38"/>
      <c r="F48" s="40"/>
      <c r="G48" s="51"/>
      <c r="H48" s="13"/>
      <c r="I48" s="15"/>
      <c r="J48" s="15"/>
      <c r="K48" s="13"/>
      <c r="L48" s="13"/>
      <c r="M48" s="13"/>
      <c r="N48" s="13"/>
      <c r="O48" s="13"/>
      <c r="P48" s="13"/>
      <c r="Q48" s="13"/>
      <c r="R48" s="13"/>
      <c r="S48" s="113"/>
      <c r="T48" s="64"/>
      <c r="U48" s="103"/>
      <c r="V48" s="13"/>
      <c r="W48" s="75" t="s">
        <v>51</v>
      </c>
    </row>
    <row r="49" spans="1:23" x14ac:dyDescent="0.3">
      <c r="A49" s="75"/>
      <c r="B49" s="12"/>
      <c r="C49" s="75"/>
      <c r="D49" s="13"/>
      <c r="E49" s="38"/>
      <c r="F49" s="40"/>
      <c r="G49" s="51"/>
      <c r="H49" s="13"/>
      <c r="I49" s="15"/>
      <c r="J49" s="15"/>
      <c r="K49" s="13"/>
      <c r="L49" s="13"/>
      <c r="M49" s="13"/>
      <c r="N49" s="13"/>
      <c r="O49" s="13"/>
      <c r="P49" s="13"/>
      <c r="Q49" s="13"/>
      <c r="R49" s="13"/>
      <c r="S49" s="113"/>
      <c r="T49" s="64"/>
      <c r="U49" s="103"/>
      <c r="V49" s="13"/>
      <c r="W49" s="75" t="s">
        <v>51</v>
      </c>
    </row>
    <row r="50" spans="1:23" x14ac:dyDescent="0.3">
      <c r="A50" s="75"/>
      <c r="B50" s="12"/>
      <c r="C50" s="75"/>
      <c r="D50" s="13"/>
      <c r="E50" s="38"/>
      <c r="F50" s="40"/>
      <c r="G50" s="51"/>
      <c r="H50" s="13"/>
      <c r="I50" s="15"/>
      <c r="J50" s="15"/>
      <c r="K50" s="13"/>
      <c r="L50" s="13"/>
      <c r="M50" s="13"/>
      <c r="N50" s="13"/>
      <c r="O50" s="13"/>
      <c r="P50" s="13"/>
      <c r="Q50" s="13"/>
      <c r="R50" s="13"/>
      <c r="S50" s="113"/>
      <c r="T50" s="64"/>
      <c r="U50" s="103"/>
      <c r="V50" s="13"/>
      <c r="W50" s="75" t="s">
        <v>51</v>
      </c>
    </row>
    <row r="51" spans="1:23" x14ac:dyDescent="0.3">
      <c r="A51" s="75"/>
      <c r="B51" s="12"/>
      <c r="C51" s="75"/>
      <c r="D51" s="13"/>
      <c r="E51" s="38"/>
      <c r="F51" s="40"/>
      <c r="G51" s="51"/>
      <c r="H51" s="13"/>
      <c r="I51" s="15"/>
      <c r="J51" s="15"/>
      <c r="K51" s="13"/>
      <c r="L51" s="13"/>
      <c r="M51" s="13"/>
      <c r="N51" s="13"/>
      <c r="O51" s="13"/>
      <c r="P51" s="13"/>
      <c r="Q51" s="13"/>
      <c r="R51" s="13"/>
      <c r="S51" s="113"/>
      <c r="T51" s="64"/>
      <c r="U51" s="103"/>
      <c r="V51" s="13"/>
      <c r="W51" s="75" t="s">
        <v>51</v>
      </c>
    </row>
    <row r="52" spans="1:23" x14ac:dyDescent="0.3">
      <c r="A52" s="75"/>
      <c r="B52" s="12"/>
      <c r="C52" s="75"/>
      <c r="D52" s="13"/>
      <c r="E52" s="38"/>
      <c r="F52" s="40"/>
      <c r="G52" s="51"/>
      <c r="H52" s="13"/>
      <c r="I52" s="15"/>
      <c r="J52" s="15"/>
      <c r="K52" s="13"/>
      <c r="L52" s="13"/>
      <c r="M52" s="13"/>
      <c r="N52" s="13"/>
      <c r="O52" s="13"/>
      <c r="P52" s="13"/>
      <c r="Q52" s="13"/>
      <c r="R52" s="13"/>
      <c r="S52" s="113"/>
      <c r="T52" s="64"/>
      <c r="U52" s="103"/>
      <c r="V52" s="13"/>
      <c r="W52" s="75" t="s">
        <v>51</v>
      </c>
    </row>
    <row r="53" spans="1:23" x14ac:dyDescent="0.3">
      <c r="A53" s="75"/>
      <c r="B53" s="12"/>
      <c r="C53" s="75"/>
      <c r="D53" s="13"/>
      <c r="E53" s="38"/>
      <c r="F53" s="40"/>
      <c r="G53" s="51"/>
      <c r="H53" s="13"/>
      <c r="I53" s="15"/>
      <c r="J53" s="15"/>
      <c r="K53" s="13"/>
      <c r="L53" s="13"/>
      <c r="M53" s="13"/>
      <c r="N53" s="13"/>
      <c r="O53" s="13"/>
      <c r="P53" s="13"/>
      <c r="Q53" s="13"/>
      <c r="R53" s="13"/>
      <c r="S53" s="113"/>
      <c r="T53" s="64"/>
      <c r="U53" s="103"/>
      <c r="V53" s="13"/>
      <c r="W53" s="75" t="s">
        <v>51</v>
      </c>
    </row>
    <row r="54" spans="1:23" x14ac:dyDescent="0.3">
      <c r="A54" s="75"/>
      <c r="B54" s="12"/>
      <c r="C54" s="75"/>
      <c r="D54" s="13"/>
      <c r="E54" s="38"/>
      <c r="F54" s="40"/>
      <c r="G54" s="51"/>
      <c r="H54" s="13"/>
      <c r="I54" s="15"/>
      <c r="J54" s="15"/>
      <c r="K54" s="13"/>
      <c r="L54" s="13"/>
      <c r="M54" s="13"/>
      <c r="N54" s="13"/>
      <c r="O54" s="13"/>
      <c r="P54" s="13"/>
      <c r="Q54" s="13"/>
      <c r="R54" s="13"/>
      <c r="S54" s="113"/>
      <c r="T54" s="64"/>
      <c r="U54" s="103"/>
      <c r="V54" s="13"/>
      <c r="W54" s="75" t="s">
        <v>51</v>
      </c>
    </row>
    <row r="55" spans="1:23" x14ac:dyDescent="0.3">
      <c r="A55" s="75"/>
      <c r="B55" s="12"/>
      <c r="C55" s="75"/>
      <c r="D55" s="13"/>
      <c r="E55" s="38"/>
      <c r="F55" s="40"/>
      <c r="G55" s="51"/>
      <c r="H55" s="13"/>
      <c r="I55" s="15"/>
      <c r="J55" s="15"/>
      <c r="K55" s="13"/>
      <c r="L55" s="13"/>
      <c r="M55" s="13"/>
      <c r="N55" s="13"/>
      <c r="O55" s="13"/>
      <c r="P55" s="13"/>
      <c r="Q55" s="13"/>
      <c r="R55" s="13"/>
      <c r="S55" s="113"/>
      <c r="T55" s="64"/>
      <c r="U55" s="103"/>
      <c r="V55" s="13"/>
      <c r="W55" s="75" t="s">
        <v>51</v>
      </c>
    </row>
    <row r="56" spans="1:23" x14ac:dyDescent="0.3">
      <c r="A56" s="75"/>
      <c r="B56" s="12"/>
      <c r="C56" s="75"/>
      <c r="D56" s="13"/>
      <c r="E56" s="38"/>
      <c r="F56" s="40"/>
      <c r="G56" s="51"/>
      <c r="H56" s="13"/>
      <c r="I56" s="15"/>
      <c r="J56" s="15"/>
      <c r="K56" s="13"/>
      <c r="L56" s="13"/>
      <c r="M56" s="13"/>
      <c r="N56" s="13"/>
      <c r="O56" s="13"/>
      <c r="P56" s="13"/>
      <c r="Q56" s="13"/>
      <c r="R56" s="13"/>
      <c r="S56" s="113"/>
      <c r="T56" s="64"/>
      <c r="U56" s="103"/>
      <c r="V56" s="13"/>
      <c r="W56" s="75" t="s">
        <v>51</v>
      </c>
    </row>
    <row r="57" spans="1:23" x14ac:dyDescent="0.3">
      <c r="A57" s="75"/>
      <c r="B57" s="12"/>
      <c r="C57" s="75"/>
      <c r="D57" s="13"/>
      <c r="E57" s="38"/>
      <c r="F57" s="40"/>
      <c r="G57" s="51"/>
      <c r="H57" s="13"/>
      <c r="I57" s="15"/>
      <c r="J57" s="15"/>
      <c r="K57" s="13"/>
      <c r="L57" s="13"/>
      <c r="M57" s="13"/>
      <c r="N57" s="13"/>
      <c r="O57" s="13"/>
      <c r="P57" s="13"/>
      <c r="Q57" s="13"/>
      <c r="R57" s="13"/>
      <c r="S57" s="113"/>
      <c r="T57" s="64"/>
      <c r="U57" s="103"/>
      <c r="V57" s="13"/>
      <c r="W57" s="75" t="s">
        <v>51</v>
      </c>
    </row>
    <row r="58" spans="1:23" x14ac:dyDescent="0.3">
      <c r="A58" s="75"/>
      <c r="B58" s="12"/>
      <c r="C58" s="75"/>
      <c r="D58" s="13"/>
      <c r="E58" s="38"/>
      <c r="F58" s="40"/>
      <c r="G58" s="51"/>
      <c r="H58" s="13"/>
      <c r="I58" s="15"/>
      <c r="J58" s="15"/>
      <c r="K58" s="13"/>
      <c r="L58" s="13"/>
      <c r="M58" s="13"/>
      <c r="N58" s="13"/>
      <c r="O58" s="13"/>
      <c r="P58" s="13"/>
      <c r="Q58" s="13"/>
      <c r="R58" s="13"/>
      <c r="S58" s="113"/>
      <c r="T58" s="64"/>
      <c r="U58" s="103"/>
      <c r="V58" s="13"/>
      <c r="W58" s="75" t="s">
        <v>51</v>
      </c>
    </row>
    <row r="59" spans="1:23" x14ac:dyDescent="0.3">
      <c r="A59" s="75"/>
      <c r="B59" s="12"/>
      <c r="C59" s="75"/>
      <c r="D59" s="13"/>
      <c r="E59" s="38"/>
      <c r="F59" s="40"/>
      <c r="G59" s="51"/>
      <c r="H59" s="13"/>
      <c r="I59" s="15"/>
      <c r="J59" s="15"/>
      <c r="K59" s="13"/>
      <c r="L59" s="13"/>
      <c r="M59" s="13"/>
      <c r="N59" s="13"/>
      <c r="O59" s="13"/>
      <c r="P59" s="13"/>
      <c r="Q59" s="13"/>
      <c r="R59" s="13"/>
      <c r="S59" s="113"/>
      <c r="T59" s="64"/>
      <c r="U59" s="103"/>
      <c r="V59" s="13"/>
      <c r="W59" s="75" t="s">
        <v>51</v>
      </c>
    </row>
    <row r="60" spans="1:23" x14ac:dyDescent="0.3">
      <c r="A60" s="75"/>
      <c r="B60" s="12"/>
      <c r="C60" s="75"/>
      <c r="D60" s="13"/>
      <c r="E60" s="38"/>
      <c r="F60" s="40"/>
      <c r="G60" s="51"/>
      <c r="H60" s="13"/>
      <c r="I60" s="15"/>
      <c r="J60" s="15"/>
      <c r="K60" s="13"/>
      <c r="L60" s="13"/>
      <c r="M60" s="13"/>
      <c r="N60" s="13"/>
      <c r="O60" s="13"/>
      <c r="P60" s="13"/>
      <c r="Q60" s="13"/>
      <c r="R60" s="13"/>
      <c r="S60" s="113"/>
      <c r="T60" s="64"/>
      <c r="U60" s="103"/>
      <c r="V60" s="13"/>
      <c r="W60" s="75" t="s">
        <v>51</v>
      </c>
    </row>
    <row r="61" spans="1:23" x14ac:dyDescent="0.3">
      <c r="A61" s="75"/>
      <c r="B61" s="12"/>
      <c r="C61" s="75"/>
      <c r="D61" s="13"/>
      <c r="E61" s="38"/>
      <c r="F61" s="40"/>
      <c r="G61" s="51"/>
      <c r="H61" s="13"/>
      <c r="I61" s="15"/>
      <c r="J61" s="15"/>
      <c r="K61" s="13"/>
      <c r="L61" s="13"/>
      <c r="M61" s="13"/>
      <c r="N61" s="13"/>
      <c r="O61" s="13"/>
      <c r="P61" s="13"/>
      <c r="Q61" s="13"/>
      <c r="R61" s="13"/>
      <c r="S61" s="113"/>
      <c r="T61" s="64"/>
      <c r="U61" s="103"/>
      <c r="V61" s="13"/>
      <c r="W61" s="75" t="s">
        <v>51</v>
      </c>
    </row>
    <row r="62" spans="1:23" x14ac:dyDescent="0.3">
      <c r="A62" s="75"/>
      <c r="B62" s="12"/>
      <c r="C62" s="75"/>
      <c r="D62" s="13"/>
      <c r="E62" s="38"/>
      <c r="F62" s="40"/>
      <c r="G62" s="51"/>
      <c r="H62" s="13"/>
      <c r="I62" s="15"/>
      <c r="J62" s="15"/>
      <c r="K62" s="13"/>
      <c r="L62" s="13"/>
      <c r="M62" s="13"/>
      <c r="N62" s="13"/>
      <c r="O62" s="13"/>
      <c r="P62" s="13"/>
      <c r="Q62" s="13"/>
      <c r="R62" s="13"/>
      <c r="S62" s="113"/>
      <c r="T62" s="64"/>
      <c r="U62" s="103"/>
      <c r="V62" s="13"/>
      <c r="W62" s="75" t="s">
        <v>51</v>
      </c>
    </row>
    <row r="63" spans="1:23" x14ac:dyDescent="0.3">
      <c r="A63" s="75"/>
      <c r="B63" s="12"/>
      <c r="C63" s="75"/>
      <c r="D63" s="13"/>
      <c r="E63" s="38"/>
      <c r="F63" s="40"/>
      <c r="G63" s="51"/>
      <c r="H63" s="13"/>
      <c r="I63" s="15"/>
      <c r="J63" s="15"/>
      <c r="K63" s="13"/>
      <c r="L63" s="13"/>
      <c r="M63" s="13"/>
      <c r="N63" s="13"/>
      <c r="O63" s="13"/>
      <c r="P63" s="13"/>
      <c r="Q63" s="13"/>
      <c r="R63" s="13"/>
      <c r="S63" s="113"/>
      <c r="T63" s="64"/>
      <c r="U63" s="103"/>
      <c r="V63" s="13"/>
      <c r="W63" s="75" t="s">
        <v>51</v>
      </c>
    </row>
    <row r="64" spans="1:23" x14ac:dyDescent="0.3">
      <c r="A64" s="75"/>
      <c r="B64" s="12"/>
      <c r="C64" s="75"/>
      <c r="D64" s="13"/>
      <c r="E64" s="38"/>
      <c r="F64" s="40"/>
      <c r="G64" s="51"/>
      <c r="H64" s="13"/>
      <c r="I64" s="15"/>
      <c r="J64" s="15"/>
      <c r="K64" s="13"/>
      <c r="L64" s="13"/>
      <c r="M64" s="13"/>
      <c r="N64" s="13"/>
      <c r="O64" s="13"/>
      <c r="P64" s="13"/>
      <c r="Q64" s="13"/>
      <c r="R64" s="13"/>
      <c r="S64" s="113"/>
      <c r="T64" s="64"/>
      <c r="U64" s="103"/>
      <c r="V64" s="13"/>
      <c r="W64" s="75" t="s">
        <v>51</v>
      </c>
    </row>
    <row r="65" spans="1:23" x14ac:dyDescent="0.3">
      <c r="A65" s="75"/>
      <c r="B65" s="12"/>
      <c r="C65" s="75"/>
      <c r="D65" s="13"/>
      <c r="E65" s="38"/>
      <c r="F65" s="40"/>
      <c r="G65" s="51"/>
      <c r="H65" s="13"/>
      <c r="I65" s="15"/>
      <c r="J65" s="15"/>
      <c r="K65" s="13"/>
      <c r="L65" s="13"/>
      <c r="M65" s="13"/>
      <c r="N65" s="13"/>
      <c r="O65" s="13"/>
      <c r="P65" s="13"/>
      <c r="Q65" s="13"/>
      <c r="R65" s="13"/>
      <c r="S65" s="113"/>
      <c r="T65" s="64"/>
      <c r="U65" s="103"/>
      <c r="V65" s="13"/>
      <c r="W65" s="75" t="s">
        <v>51</v>
      </c>
    </row>
    <row r="66" spans="1:23" x14ac:dyDescent="0.3">
      <c r="A66" s="75"/>
      <c r="B66" s="12"/>
      <c r="C66" s="75"/>
      <c r="D66" s="13"/>
      <c r="E66" s="38"/>
      <c r="F66" s="40"/>
      <c r="G66" s="51"/>
      <c r="H66" s="13"/>
      <c r="I66" s="15"/>
      <c r="J66" s="15"/>
      <c r="K66" s="13"/>
      <c r="L66" s="13"/>
      <c r="M66" s="13"/>
      <c r="N66" s="13"/>
      <c r="O66" s="13"/>
      <c r="P66" s="13"/>
      <c r="Q66" s="13"/>
      <c r="R66" s="13"/>
      <c r="S66" s="113"/>
      <c r="T66" s="64"/>
      <c r="U66" s="103"/>
      <c r="V66" s="13"/>
      <c r="W66" s="75" t="s">
        <v>51</v>
      </c>
    </row>
    <row r="67" spans="1:23" x14ac:dyDescent="0.3">
      <c r="A67" s="75"/>
      <c r="B67" s="12"/>
      <c r="C67" s="75"/>
      <c r="D67" s="13"/>
      <c r="E67" s="38"/>
      <c r="F67" s="40"/>
      <c r="G67" s="51"/>
      <c r="H67" s="13"/>
      <c r="I67" s="15"/>
      <c r="J67" s="15"/>
      <c r="K67" s="13"/>
      <c r="L67" s="13"/>
      <c r="M67" s="13"/>
      <c r="N67" s="13"/>
      <c r="O67" s="13"/>
      <c r="P67" s="13"/>
      <c r="Q67" s="13"/>
      <c r="R67" s="13"/>
      <c r="S67" s="113"/>
      <c r="T67" s="64"/>
      <c r="U67" s="103"/>
      <c r="V67" s="13"/>
      <c r="W67" s="75" t="s">
        <v>51</v>
      </c>
    </row>
    <row r="68" spans="1:23" x14ac:dyDescent="0.3">
      <c r="A68" s="75"/>
      <c r="B68" s="12"/>
      <c r="C68" s="75"/>
      <c r="D68" s="13"/>
      <c r="E68" s="38"/>
      <c r="F68" s="40"/>
      <c r="G68" s="51"/>
      <c r="H68" s="13"/>
      <c r="I68" s="15"/>
      <c r="J68" s="15"/>
      <c r="K68" s="13"/>
      <c r="L68" s="13"/>
      <c r="M68" s="13"/>
      <c r="N68" s="13"/>
      <c r="O68" s="13"/>
      <c r="P68" s="13"/>
      <c r="Q68" s="13"/>
      <c r="R68" s="13"/>
      <c r="S68" s="113"/>
      <c r="T68" s="64"/>
      <c r="U68" s="103"/>
      <c r="V68" s="13"/>
      <c r="W68" s="75" t="s">
        <v>51</v>
      </c>
    </row>
    <row r="69" spans="1:23" x14ac:dyDescent="0.3">
      <c r="A69" s="75"/>
      <c r="B69" s="12"/>
      <c r="C69" s="75"/>
      <c r="D69" s="13"/>
      <c r="E69" s="38"/>
      <c r="F69" s="40"/>
      <c r="G69" s="51"/>
      <c r="H69" s="13"/>
      <c r="I69" s="15"/>
      <c r="J69" s="15"/>
      <c r="K69" s="13"/>
      <c r="L69" s="13"/>
      <c r="M69" s="13"/>
      <c r="N69" s="13"/>
      <c r="O69" s="13"/>
      <c r="P69" s="13"/>
      <c r="Q69" s="13"/>
      <c r="R69" s="13"/>
      <c r="S69" s="113"/>
      <c r="T69" s="64"/>
      <c r="U69" s="103"/>
      <c r="V69" s="13"/>
      <c r="W69" s="75" t="s">
        <v>51</v>
      </c>
    </row>
    <row r="70" spans="1:23" x14ac:dyDescent="0.3">
      <c r="A70" s="75"/>
      <c r="B70" s="12"/>
      <c r="C70" s="75"/>
      <c r="D70" s="13"/>
      <c r="E70" s="38"/>
      <c r="F70" s="40"/>
      <c r="G70" s="51"/>
      <c r="H70" s="13"/>
      <c r="I70" s="15"/>
      <c r="J70" s="15"/>
      <c r="K70" s="13"/>
      <c r="L70" s="13"/>
      <c r="M70" s="13"/>
      <c r="N70" s="13"/>
      <c r="O70" s="13"/>
      <c r="P70" s="13"/>
      <c r="Q70" s="13"/>
      <c r="R70" s="13"/>
      <c r="S70" s="113"/>
      <c r="T70" s="64"/>
      <c r="U70" s="103"/>
      <c r="V70" s="13"/>
      <c r="W70" s="75" t="s">
        <v>51</v>
      </c>
    </row>
    <row r="71" spans="1:23" x14ac:dyDescent="0.3">
      <c r="A71" s="75"/>
      <c r="B71" s="12"/>
      <c r="C71" s="75"/>
      <c r="D71" s="13"/>
      <c r="E71" s="38"/>
      <c r="F71" s="40"/>
      <c r="G71" s="51"/>
      <c r="H71" s="13"/>
      <c r="I71" s="15"/>
      <c r="J71" s="15"/>
      <c r="K71" s="13"/>
      <c r="L71" s="13"/>
      <c r="M71" s="13"/>
      <c r="N71" s="13"/>
      <c r="O71" s="13"/>
      <c r="P71" s="13"/>
      <c r="Q71" s="13"/>
      <c r="R71" s="13"/>
      <c r="S71" s="113"/>
      <c r="T71" s="64"/>
      <c r="U71" s="103"/>
      <c r="V71" s="13"/>
      <c r="W71" s="75" t="s">
        <v>51</v>
      </c>
    </row>
    <row r="72" spans="1:23" x14ac:dyDescent="0.3">
      <c r="A72" s="75"/>
      <c r="B72" s="12"/>
      <c r="C72" s="75"/>
      <c r="D72" s="13"/>
      <c r="E72" s="38"/>
      <c r="F72" s="40"/>
      <c r="G72" s="51"/>
      <c r="H72" s="13"/>
      <c r="I72" s="15"/>
      <c r="J72" s="15"/>
      <c r="K72" s="13"/>
      <c r="L72" s="13"/>
      <c r="M72" s="13"/>
      <c r="N72" s="13"/>
      <c r="O72" s="13"/>
      <c r="P72" s="13"/>
      <c r="Q72" s="13"/>
      <c r="R72" s="13"/>
      <c r="S72" s="113"/>
      <c r="T72" s="64"/>
      <c r="U72" s="103"/>
      <c r="V72" s="13"/>
      <c r="W72" s="75" t="s">
        <v>51</v>
      </c>
    </row>
    <row r="73" spans="1:23" x14ac:dyDescent="0.3">
      <c r="A73" s="75"/>
      <c r="B73" s="12"/>
      <c r="C73" s="75"/>
      <c r="D73" s="13"/>
      <c r="E73" s="38"/>
      <c r="F73" s="40"/>
      <c r="G73" s="51"/>
      <c r="H73" s="13"/>
      <c r="I73" s="15"/>
      <c r="J73" s="15"/>
      <c r="K73" s="13"/>
      <c r="L73" s="13"/>
      <c r="M73" s="13"/>
      <c r="N73" s="13"/>
      <c r="O73" s="13"/>
      <c r="P73" s="13"/>
      <c r="Q73" s="13"/>
      <c r="R73" s="13"/>
      <c r="S73" s="113"/>
      <c r="T73" s="64"/>
      <c r="U73" s="103"/>
      <c r="V73" s="13"/>
      <c r="W73" s="75" t="s">
        <v>51</v>
      </c>
    </row>
    <row r="74" spans="1:23" x14ac:dyDescent="0.3">
      <c r="A74" s="75"/>
      <c r="B74" s="12"/>
      <c r="C74" s="75"/>
      <c r="D74" s="13"/>
      <c r="E74" s="38"/>
      <c r="F74" s="40"/>
      <c r="G74" s="51"/>
      <c r="H74" s="13"/>
      <c r="I74" s="15"/>
      <c r="J74" s="15"/>
      <c r="K74" s="13"/>
      <c r="L74" s="13"/>
      <c r="M74" s="13"/>
      <c r="N74" s="13"/>
      <c r="O74" s="13"/>
      <c r="P74" s="13"/>
      <c r="Q74" s="13"/>
      <c r="R74" s="13"/>
      <c r="S74" s="113"/>
      <c r="T74" s="64"/>
      <c r="U74" s="103"/>
      <c r="V74" s="13"/>
      <c r="W74" s="22"/>
    </row>
    <row r="75" spans="1:23" x14ac:dyDescent="0.3">
      <c r="A75" s="75"/>
      <c r="B75" s="12"/>
      <c r="C75" s="75"/>
      <c r="D75" s="13"/>
      <c r="E75" s="38"/>
      <c r="F75" s="40"/>
      <c r="G75" s="51"/>
      <c r="H75" s="13"/>
      <c r="I75" s="15"/>
      <c r="J75" s="15"/>
      <c r="K75" s="13"/>
      <c r="L75" s="13"/>
      <c r="M75" s="13"/>
      <c r="N75" s="13"/>
      <c r="O75" s="13"/>
      <c r="P75" s="13"/>
      <c r="Q75" s="13"/>
      <c r="R75" s="13"/>
      <c r="S75" s="113"/>
      <c r="T75" s="64"/>
      <c r="U75" s="103"/>
      <c r="V75" s="13"/>
      <c r="W75" s="22"/>
    </row>
    <row r="76" spans="1:23" x14ac:dyDescent="0.3">
      <c r="A76" s="75"/>
      <c r="B76" s="12"/>
      <c r="C76" s="75"/>
      <c r="D76" s="13"/>
      <c r="E76" s="38"/>
      <c r="F76" s="40"/>
      <c r="G76" s="51"/>
      <c r="H76" s="13"/>
      <c r="I76" s="15"/>
      <c r="J76" s="15"/>
      <c r="K76" s="13"/>
      <c r="L76" s="13"/>
      <c r="M76" s="13"/>
      <c r="N76" s="13"/>
      <c r="O76" s="13"/>
      <c r="P76" s="13"/>
      <c r="Q76" s="13"/>
      <c r="R76" s="13"/>
      <c r="S76" s="113"/>
      <c r="T76" s="64"/>
      <c r="U76" s="103"/>
      <c r="V76" s="13"/>
      <c r="W76" s="22"/>
    </row>
    <row r="77" spans="1:23" x14ac:dyDescent="0.3">
      <c r="A77" s="75"/>
      <c r="B77" s="12"/>
      <c r="C77" s="75"/>
      <c r="D77" s="13"/>
      <c r="E77" s="38"/>
      <c r="F77" s="40"/>
      <c r="G77" s="51"/>
      <c r="H77" s="13"/>
      <c r="I77" s="15"/>
      <c r="J77" s="15"/>
      <c r="K77" s="13"/>
      <c r="L77" s="13"/>
      <c r="M77" s="13"/>
      <c r="N77" s="13"/>
      <c r="O77" s="13"/>
      <c r="P77" s="13"/>
      <c r="Q77" s="13"/>
      <c r="R77" s="13"/>
      <c r="S77" s="113"/>
      <c r="T77" s="64"/>
      <c r="U77" s="103"/>
      <c r="V77" s="13"/>
      <c r="W77" s="22"/>
    </row>
    <row r="78" spans="1:23" x14ac:dyDescent="0.3">
      <c r="A78" s="75"/>
      <c r="B78" s="12"/>
      <c r="C78" s="75"/>
      <c r="D78" s="13"/>
      <c r="E78" s="38"/>
      <c r="F78" s="40"/>
      <c r="G78" s="51"/>
      <c r="H78" s="13"/>
      <c r="I78" s="15"/>
      <c r="J78" s="15"/>
      <c r="K78" s="13"/>
      <c r="L78" s="13"/>
      <c r="M78" s="13"/>
      <c r="N78" s="13"/>
      <c r="O78" s="13"/>
      <c r="P78" s="13"/>
      <c r="Q78" s="13"/>
      <c r="R78" s="13"/>
      <c r="S78" s="113"/>
      <c r="T78" s="64"/>
      <c r="U78" s="103"/>
      <c r="V78" s="13"/>
      <c r="W78" s="13"/>
    </row>
    <row r="79" spans="1:23" x14ac:dyDescent="0.3">
      <c r="A79" s="75"/>
      <c r="B79" s="12"/>
      <c r="C79" s="75"/>
      <c r="D79" s="13"/>
      <c r="E79" s="38"/>
      <c r="F79" s="40"/>
      <c r="G79" s="51"/>
      <c r="H79" s="13"/>
      <c r="I79" s="15"/>
      <c r="J79" s="15"/>
      <c r="K79" s="13"/>
      <c r="L79" s="13"/>
      <c r="M79" s="13"/>
      <c r="N79" s="13"/>
      <c r="O79" s="13"/>
      <c r="P79" s="13"/>
      <c r="Q79" s="13"/>
      <c r="R79" s="13"/>
      <c r="S79" s="113"/>
      <c r="T79" s="64"/>
      <c r="U79" s="103"/>
      <c r="V79" s="13"/>
      <c r="W79" s="13"/>
    </row>
  </sheetData>
  <mergeCells count="2">
    <mergeCell ref="A8:P8"/>
    <mergeCell ref="Q8:W8"/>
  </mergeCells>
  <conditionalFormatting sqref="U9">
    <cfRule type="cellIs" dxfId="31" priority="23" operator="between">
      <formula>6</formula>
      <formula>10</formula>
    </cfRule>
    <cfRule type="cellIs" dxfId="30" priority="24" operator="between">
      <formula>1</formula>
      <formula>5</formula>
    </cfRule>
  </conditionalFormatting>
  <conditionalFormatting sqref="U9">
    <cfRule type="cellIs" dxfId="29" priority="22" operator="between">
      <formula>11</formula>
      <formula>30</formula>
    </cfRule>
  </conditionalFormatting>
  <dataValidations count="3">
    <dataValidation type="list" allowBlank="1" showInputMessage="1" showErrorMessage="1" sqref="D10:D79" xr:uid="{C3E515A3-36FC-4E29-8BC2-822C9EC425E6}">
      <formula1>"Sim, Não"</formula1>
    </dataValidation>
    <dataValidation type="list" allowBlank="1" showInputMessage="1" showErrorMessage="1" sqref="K10:K79" xr:uid="{965239D7-0D63-46CD-83CB-538D045DBD0F}">
      <formula1>"Legado,Novo"</formula1>
    </dataValidation>
    <dataValidation type="list" allowBlank="1" showInputMessage="1" showErrorMessage="1" sqref="L10:N79" xr:uid="{08D8AC9F-0693-4A31-A1E6-78EB44F23C5E}">
      <formula1>"Sim,Não"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7AAED-B6F5-41B8-853F-9CD2443EE9BC}">
  <sheetPr codeName="Planilha9"/>
  <dimension ref="A5:W79"/>
  <sheetViews>
    <sheetView showGridLines="0" zoomScale="98" zoomScaleNormal="98" workbookViewId="0">
      <selection activeCell="A10" sqref="A10:V79"/>
    </sheetView>
  </sheetViews>
  <sheetFormatPr defaultRowHeight="14.4" x14ac:dyDescent="0.3"/>
  <cols>
    <col min="1" max="1" width="22.88671875" style="18" bestFit="1" customWidth="1"/>
    <col min="2" max="2" width="21.5546875" bestFit="1" customWidth="1"/>
    <col min="3" max="3" width="27.33203125" bestFit="1" customWidth="1"/>
    <col min="4" max="4" width="14.44140625" customWidth="1"/>
    <col min="5" max="5" width="59.33203125" style="18" bestFit="1" customWidth="1"/>
    <col min="6" max="6" width="18.109375" bestFit="1" customWidth="1"/>
    <col min="7" max="7" width="17.44140625" bestFit="1" customWidth="1"/>
    <col min="8" max="8" width="38.88671875" bestFit="1" customWidth="1"/>
    <col min="9" max="9" width="16" customWidth="1"/>
    <col min="10" max="10" width="15.33203125" bestFit="1" customWidth="1"/>
    <col min="11" max="11" width="21" bestFit="1" customWidth="1"/>
    <col min="12" max="12" width="11.5546875" bestFit="1" customWidth="1"/>
    <col min="13" max="13" width="13.44140625" bestFit="1" customWidth="1"/>
    <col min="14" max="14" width="13.44140625" customWidth="1"/>
    <col min="15" max="15" width="47.88671875" bestFit="1" customWidth="1"/>
    <col min="16" max="16" width="36.44140625" bestFit="1" customWidth="1"/>
    <col min="17" max="17" width="18.33203125" bestFit="1" customWidth="1"/>
    <col min="18" max="18" width="23" bestFit="1" customWidth="1"/>
    <col min="19" max="19" width="30" bestFit="1" customWidth="1"/>
    <col min="20" max="20" width="29.33203125" bestFit="1" customWidth="1"/>
    <col min="21" max="21" width="15" bestFit="1" customWidth="1"/>
    <col min="22" max="22" width="30" bestFit="1" customWidth="1"/>
    <col min="23" max="23" width="13.6640625" customWidth="1"/>
  </cols>
  <sheetData>
    <row r="5" spans="1:23" x14ac:dyDescent="0.3">
      <c r="T5" s="66"/>
    </row>
    <row r="6" spans="1:23" x14ac:dyDescent="0.3">
      <c r="C6" s="17">
        <f ca="1">TODAY()</f>
        <v>44543</v>
      </c>
      <c r="U6" s="17">
        <f ca="1">TODAY()</f>
        <v>44543</v>
      </c>
    </row>
    <row r="7" spans="1:23" s="8" customFormat="1" ht="3.75" customHeight="1" thickBot="1" x14ac:dyDescent="0.35">
      <c r="A7" s="20"/>
      <c r="E7" s="20"/>
    </row>
    <row r="8" spans="1:23" ht="15" thickBot="1" x14ac:dyDescent="0.35">
      <c r="A8" s="123" t="s">
        <v>62</v>
      </c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4"/>
      <c r="Q8" s="125" t="s">
        <v>63</v>
      </c>
      <c r="R8" s="126"/>
      <c r="S8" s="126"/>
      <c r="T8" s="126"/>
      <c r="U8" s="126"/>
      <c r="V8" s="126"/>
      <c r="W8" s="126"/>
    </row>
    <row r="9" spans="1:23" ht="28.8" x14ac:dyDescent="0.3">
      <c r="A9" s="77" t="s">
        <v>1</v>
      </c>
      <c r="B9" s="78" t="s">
        <v>2</v>
      </c>
      <c r="C9" s="79" t="s">
        <v>3</v>
      </c>
      <c r="D9" s="79" t="s">
        <v>4</v>
      </c>
      <c r="E9" s="80" t="s">
        <v>5</v>
      </c>
      <c r="F9" s="81" t="s">
        <v>64</v>
      </c>
      <c r="G9" s="80" t="s">
        <v>6</v>
      </c>
      <c r="H9" s="82" t="s">
        <v>7</v>
      </c>
      <c r="I9" s="83" t="s">
        <v>8</v>
      </c>
      <c r="J9" s="84" t="s">
        <v>9</v>
      </c>
      <c r="K9" s="85" t="s">
        <v>10</v>
      </c>
      <c r="L9" s="79" t="s">
        <v>11</v>
      </c>
      <c r="M9" s="79" t="s">
        <v>12</v>
      </c>
      <c r="N9" s="79" t="s">
        <v>13</v>
      </c>
      <c r="O9" s="79" t="s">
        <v>14</v>
      </c>
      <c r="P9" s="79" t="s">
        <v>15</v>
      </c>
      <c r="Q9" s="79" t="s">
        <v>16</v>
      </c>
      <c r="R9" s="79" t="s">
        <v>17</v>
      </c>
      <c r="S9" s="79" t="s">
        <v>18</v>
      </c>
      <c r="T9" s="81" t="s">
        <v>19</v>
      </c>
      <c r="U9" s="86" t="s">
        <v>20</v>
      </c>
      <c r="V9" s="79" t="s">
        <v>21</v>
      </c>
      <c r="W9" s="77" t="s">
        <v>0</v>
      </c>
    </row>
    <row r="10" spans="1:23" x14ac:dyDescent="0.3">
      <c r="A10" s="75"/>
      <c r="B10" s="12"/>
      <c r="C10" s="75"/>
      <c r="D10" s="13"/>
      <c r="E10" s="38"/>
      <c r="F10" s="40"/>
      <c r="G10" s="51"/>
      <c r="H10" s="13"/>
      <c r="I10" s="15"/>
      <c r="J10" s="15"/>
      <c r="K10" s="13"/>
      <c r="L10" s="13"/>
      <c r="M10" s="13"/>
      <c r="N10" s="13"/>
      <c r="O10" s="13"/>
      <c r="P10" s="13"/>
      <c r="Q10" s="13"/>
      <c r="R10" s="13"/>
      <c r="S10" s="113"/>
      <c r="T10" s="64"/>
      <c r="U10" s="103"/>
      <c r="V10" s="13"/>
      <c r="W10" s="75" t="s">
        <v>52</v>
      </c>
    </row>
    <row r="11" spans="1:23" x14ac:dyDescent="0.3">
      <c r="A11" s="75"/>
      <c r="B11" s="12"/>
      <c r="C11" s="75"/>
      <c r="D11" s="13"/>
      <c r="E11" s="38"/>
      <c r="F11" s="40"/>
      <c r="G11" s="51"/>
      <c r="H11" s="13"/>
      <c r="I11" s="15"/>
      <c r="J11" s="15"/>
      <c r="K11" s="13"/>
      <c r="L11" s="13"/>
      <c r="M11" s="13"/>
      <c r="N11" s="13"/>
      <c r="O11" s="13"/>
      <c r="P11" s="13"/>
      <c r="Q11" s="13"/>
      <c r="R11" s="13"/>
      <c r="S11" s="113"/>
      <c r="T11" s="64"/>
      <c r="U11" s="103"/>
      <c r="V11" s="13"/>
      <c r="W11" s="75" t="s">
        <v>52</v>
      </c>
    </row>
    <row r="12" spans="1:23" x14ac:dyDescent="0.3">
      <c r="A12" s="75"/>
      <c r="B12" s="12"/>
      <c r="C12" s="75"/>
      <c r="D12" s="13"/>
      <c r="E12" s="38"/>
      <c r="F12" s="40"/>
      <c r="G12" s="51"/>
      <c r="H12" s="13"/>
      <c r="I12" s="15"/>
      <c r="J12" s="15"/>
      <c r="K12" s="13"/>
      <c r="L12" s="13"/>
      <c r="M12" s="13"/>
      <c r="N12" s="13"/>
      <c r="O12" s="13"/>
      <c r="P12" s="13"/>
      <c r="Q12" s="13"/>
      <c r="R12" s="13"/>
      <c r="S12" s="113"/>
      <c r="T12" s="64"/>
      <c r="U12" s="103"/>
      <c r="V12" s="13"/>
      <c r="W12" s="75" t="s">
        <v>52</v>
      </c>
    </row>
    <row r="13" spans="1:23" x14ac:dyDescent="0.3">
      <c r="A13" s="75"/>
      <c r="B13" s="12"/>
      <c r="C13" s="75"/>
      <c r="D13" s="13"/>
      <c r="E13" s="38"/>
      <c r="F13" s="40"/>
      <c r="G13" s="51"/>
      <c r="H13" s="13"/>
      <c r="I13" s="15"/>
      <c r="J13" s="15"/>
      <c r="K13" s="13"/>
      <c r="L13" s="13"/>
      <c r="M13" s="13"/>
      <c r="N13" s="13"/>
      <c r="O13" s="13"/>
      <c r="P13" s="13"/>
      <c r="Q13" s="13"/>
      <c r="R13" s="13"/>
      <c r="S13" s="113"/>
      <c r="T13" s="64"/>
      <c r="U13" s="103"/>
      <c r="V13" s="13"/>
      <c r="W13" s="75" t="s">
        <v>52</v>
      </c>
    </row>
    <row r="14" spans="1:23" x14ac:dyDescent="0.3">
      <c r="A14" s="75"/>
      <c r="B14" s="12"/>
      <c r="C14" s="75"/>
      <c r="D14" s="13"/>
      <c r="E14" s="38"/>
      <c r="F14" s="40"/>
      <c r="G14" s="51"/>
      <c r="H14" s="13"/>
      <c r="I14" s="15"/>
      <c r="J14" s="15"/>
      <c r="K14" s="13"/>
      <c r="L14" s="13"/>
      <c r="M14" s="13"/>
      <c r="N14" s="13"/>
      <c r="O14" s="13"/>
      <c r="P14" s="13"/>
      <c r="Q14" s="13"/>
      <c r="R14" s="13"/>
      <c r="S14" s="113"/>
      <c r="T14" s="64"/>
      <c r="U14" s="103"/>
      <c r="V14" s="13"/>
      <c r="W14" s="75" t="s">
        <v>52</v>
      </c>
    </row>
    <row r="15" spans="1:23" x14ac:dyDescent="0.3">
      <c r="A15" s="75"/>
      <c r="B15" s="12"/>
      <c r="C15" s="75"/>
      <c r="D15" s="13"/>
      <c r="E15" s="38"/>
      <c r="F15" s="40"/>
      <c r="G15" s="51"/>
      <c r="H15" s="13"/>
      <c r="I15" s="15"/>
      <c r="J15" s="15"/>
      <c r="K15" s="13"/>
      <c r="L15" s="13"/>
      <c r="M15" s="13"/>
      <c r="N15" s="13"/>
      <c r="O15" s="13"/>
      <c r="P15" s="13"/>
      <c r="Q15" s="13"/>
      <c r="R15" s="13"/>
      <c r="S15" s="113"/>
      <c r="T15" s="64"/>
      <c r="U15" s="103"/>
      <c r="V15" s="13"/>
      <c r="W15" s="75" t="s">
        <v>52</v>
      </c>
    </row>
    <row r="16" spans="1:23" x14ac:dyDescent="0.3">
      <c r="A16" s="75"/>
      <c r="B16" s="12"/>
      <c r="C16" s="75"/>
      <c r="D16" s="13"/>
      <c r="E16" s="38"/>
      <c r="F16" s="40"/>
      <c r="G16" s="51"/>
      <c r="H16" s="13"/>
      <c r="I16" s="15"/>
      <c r="J16" s="15"/>
      <c r="K16" s="13"/>
      <c r="L16" s="13"/>
      <c r="M16" s="13"/>
      <c r="N16" s="13"/>
      <c r="O16" s="13"/>
      <c r="P16" s="13"/>
      <c r="Q16" s="13"/>
      <c r="R16" s="13"/>
      <c r="S16" s="113"/>
      <c r="T16" s="64"/>
      <c r="U16" s="103"/>
      <c r="V16" s="13"/>
      <c r="W16" s="75" t="s">
        <v>52</v>
      </c>
    </row>
    <row r="17" spans="1:23" x14ac:dyDescent="0.3">
      <c r="A17" s="75"/>
      <c r="B17" s="12"/>
      <c r="C17" s="75"/>
      <c r="D17" s="13"/>
      <c r="E17" s="38"/>
      <c r="F17" s="40"/>
      <c r="G17" s="51"/>
      <c r="H17" s="13"/>
      <c r="I17" s="15"/>
      <c r="J17" s="15"/>
      <c r="K17" s="13"/>
      <c r="L17" s="13"/>
      <c r="M17" s="13"/>
      <c r="N17" s="13"/>
      <c r="O17" s="13"/>
      <c r="P17" s="13"/>
      <c r="Q17" s="13"/>
      <c r="R17" s="13"/>
      <c r="S17" s="113"/>
      <c r="T17" s="64"/>
      <c r="U17" s="103"/>
      <c r="V17" s="13"/>
      <c r="W17" s="75" t="s">
        <v>52</v>
      </c>
    </row>
    <row r="18" spans="1:23" x14ac:dyDescent="0.3">
      <c r="A18" s="75"/>
      <c r="B18" s="12"/>
      <c r="C18" s="75"/>
      <c r="D18" s="13"/>
      <c r="E18" s="38"/>
      <c r="F18" s="40"/>
      <c r="G18" s="51"/>
      <c r="H18" s="13"/>
      <c r="I18" s="15"/>
      <c r="J18" s="15"/>
      <c r="K18" s="13"/>
      <c r="L18" s="13"/>
      <c r="M18" s="13"/>
      <c r="N18" s="13"/>
      <c r="O18" s="13"/>
      <c r="P18" s="13"/>
      <c r="Q18" s="13"/>
      <c r="R18" s="13"/>
      <c r="S18" s="113"/>
      <c r="T18" s="64"/>
      <c r="U18" s="103"/>
      <c r="V18" s="13"/>
      <c r="W18" s="75" t="s">
        <v>52</v>
      </c>
    </row>
    <row r="19" spans="1:23" x14ac:dyDescent="0.3">
      <c r="A19" s="75"/>
      <c r="B19" s="12"/>
      <c r="C19" s="75"/>
      <c r="D19" s="13"/>
      <c r="E19" s="38"/>
      <c r="F19" s="40"/>
      <c r="G19" s="51"/>
      <c r="H19" s="13"/>
      <c r="I19" s="15"/>
      <c r="J19" s="15"/>
      <c r="K19" s="13"/>
      <c r="L19" s="13"/>
      <c r="M19" s="13"/>
      <c r="N19" s="13"/>
      <c r="O19" s="13"/>
      <c r="P19" s="13"/>
      <c r="Q19" s="13"/>
      <c r="R19" s="13"/>
      <c r="S19" s="113"/>
      <c r="T19" s="64"/>
      <c r="U19" s="103"/>
      <c r="V19" s="13"/>
      <c r="W19" s="75" t="s">
        <v>52</v>
      </c>
    </row>
    <row r="20" spans="1:23" x14ac:dyDescent="0.3">
      <c r="A20" s="75"/>
      <c r="B20" s="12"/>
      <c r="C20" s="75"/>
      <c r="D20" s="13"/>
      <c r="E20" s="38"/>
      <c r="F20" s="40"/>
      <c r="G20" s="51"/>
      <c r="H20" s="13"/>
      <c r="I20" s="15"/>
      <c r="J20" s="15"/>
      <c r="K20" s="13"/>
      <c r="L20" s="13"/>
      <c r="M20" s="13"/>
      <c r="N20" s="13"/>
      <c r="O20" s="13"/>
      <c r="P20" s="13"/>
      <c r="Q20" s="13"/>
      <c r="R20" s="13"/>
      <c r="S20" s="113"/>
      <c r="T20" s="64"/>
      <c r="U20" s="103"/>
      <c r="V20" s="13"/>
      <c r="W20" s="75" t="s">
        <v>52</v>
      </c>
    </row>
    <row r="21" spans="1:23" x14ac:dyDescent="0.3">
      <c r="A21" s="75"/>
      <c r="B21" s="12"/>
      <c r="C21" s="75"/>
      <c r="D21" s="13"/>
      <c r="E21" s="38"/>
      <c r="F21" s="40"/>
      <c r="G21" s="51"/>
      <c r="H21" s="13"/>
      <c r="I21" s="15"/>
      <c r="J21" s="15"/>
      <c r="K21" s="13"/>
      <c r="L21" s="13"/>
      <c r="M21" s="13"/>
      <c r="N21" s="13"/>
      <c r="O21" s="13"/>
      <c r="P21" s="13"/>
      <c r="Q21" s="13"/>
      <c r="R21" s="13"/>
      <c r="S21" s="113"/>
      <c r="T21" s="64"/>
      <c r="U21" s="103"/>
      <c r="V21" s="13"/>
      <c r="W21" s="75" t="s">
        <v>52</v>
      </c>
    </row>
    <row r="22" spans="1:23" x14ac:dyDescent="0.3">
      <c r="A22" s="75"/>
      <c r="B22" s="12"/>
      <c r="C22" s="75"/>
      <c r="D22" s="13"/>
      <c r="E22" s="38"/>
      <c r="F22" s="40"/>
      <c r="G22" s="51"/>
      <c r="H22" s="13"/>
      <c r="I22" s="15"/>
      <c r="J22" s="15"/>
      <c r="K22" s="13"/>
      <c r="L22" s="13"/>
      <c r="M22" s="13"/>
      <c r="N22" s="13"/>
      <c r="O22" s="13"/>
      <c r="P22" s="13"/>
      <c r="Q22" s="13"/>
      <c r="R22" s="13"/>
      <c r="S22" s="113"/>
      <c r="T22" s="64"/>
      <c r="U22" s="103"/>
      <c r="V22" s="13"/>
      <c r="W22" s="75" t="s">
        <v>52</v>
      </c>
    </row>
    <row r="23" spans="1:23" x14ac:dyDescent="0.3">
      <c r="A23" s="75"/>
      <c r="B23" s="12"/>
      <c r="C23" s="75"/>
      <c r="D23" s="13"/>
      <c r="E23" s="38"/>
      <c r="F23" s="40"/>
      <c r="G23" s="51"/>
      <c r="H23" s="13"/>
      <c r="I23" s="15"/>
      <c r="J23" s="15"/>
      <c r="K23" s="13"/>
      <c r="L23" s="13"/>
      <c r="M23" s="13"/>
      <c r="N23" s="13"/>
      <c r="O23" s="13"/>
      <c r="P23" s="13"/>
      <c r="Q23" s="13"/>
      <c r="R23" s="13"/>
      <c r="S23" s="113"/>
      <c r="T23" s="64"/>
      <c r="U23" s="103"/>
      <c r="V23" s="13"/>
      <c r="W23" s="75" t="s">
        <v>52</v>
      </c>
    </row>
    <row r="24" spans="1:23" x14ac:dyDescent="0.3">
      <c r="A24" s="75"/>
      <c r="B24" s="12"/>
      <c r="C24" s="75"/>
      <c r="D24" s="13"/>
      <c r="E24" s="38"/>
      <c r="F24" s="40"/>
      <c r="G24" s="51"/>
      <c r="H24" s="13"/>
      <c r="I24" s="15"/>
      <c r="J24" s="15"/>
      <c r="K24" s="13"/>
      <c r="L24" s="13"/>
      <c r="M24" s="13"/>
      <c r="N24" s="13"/>
      <c r="O24" s="13"/>
      <c r="P24" s="13"/>
      <c r="Q24" s="13"/>
      <c r="R24" s="13"/>
      <c r="S24" s="113"/>
      <c r="T24" s="64"/>
      <c r="U24" s="103"/>
      <c r="V24" s="13"/>
      <c r="W24" s="75" t="s">
        <v>52</v>
      </c>
    </row>
    <row r="25" spans="1:23" x14ac:dyDescent="0.3">
      <c r="A25" s="75"/>
      <c r="B25" s="12"/>
      <c r="C25" s="75"/>
      <c r="D25" s="13"/>
      <c r="E25" s="38"/>
      <c r="F25" s="40"/>
      <c r="G25" s="51"/>
      <c r="H25" s="13"/>
      <c r="I25" s="15"/>
      <c r="J25" s="15"/>
      <c r="K25" s="13"/>
      <c r="L25" s="13"/>
      <c r="M25" s="13"/>
      <c r="N25" s="13"/>
      <c r="O25" s="13"/>
      <c r="P25" s="13"/>
      <c r="Q25" s="13"/>
      <c r="R25" s="13"/>
      <c r="S25" s="113"/>
      <c r="T25" s="64"/>
      <c r="U25" s="103"/>
      <c r="V25" s="13"/>
      <c r="W25" s="75" t="s">
        <v>52</v>
      </c>
    </row>
    <row r="26" spans="1:23" x14ac:dyDescent="0.3">
      <c r="A26" s="75"/>
      <c r="B26" s="12"/>
      <c r="C26" s="75"/>
      <c r="D26" s="13"/>
      <c r="E26" s="38"/>
      <c r="F26" s="40"/>
      <c r="G26" s="51"/>
      <c r="H26" s="13"/>
      <c r="I26" s="15"/>
      <c r="J26" s="15"/>
      <c r="K26" s="13"/>
      <c r="L26" s="13"/>
      <c r="M26" s="13"/>
      <c r="N26" s="13"/>
      <c r="O26" s="13"/>
      <c r="P26" s="13"/>
      <c r="Q26" s="13"/>
      <c r="R26" s="13"/>
      <c r="S26" s="113"/>
      <c r="T26" s="64"/>
      <c r="U26" s="103"/>
      <c r="V26" s="13"/>
      <c r="W26" s="75" t="s">
        <v>52</v>
      </c>
    </row>
    <row r="27" spans="1:23" x14ac:dyDescent="0.3">
      <c r="A27" s="75"/>
      <c r="B27" s="12"/>
      <c r="C27" s="75"/>
      <c r="D27" s="13"/>
      <c r="E27" s="38"/>
      <c r="F27" s="40"/>
      <c r="G27" s="51"/>
      <c r="H27" s="13"/>
      <c r="I27" s="15"/>
      <c r="J27" s="15"/>
      <c r="K27" s="13"/>
      <c r="L27" s="13"/>
      <c r="M27" s="13"/>
      <c r="N27" s="13"/>
      <c r="O27" s="13"/>
      <c r="P27" s="13"/>
      <c r="Q27" s="13"/>
      <c r="R27" s="13"/>
      <c r="S27" s="113"/>
      <c r="T27" s="64"/>
      <c r="U27" s="103"/>
      <c r="V27" s="13"/>
      <c r="W27" s="75" t="s">
        <v>52</v>
      </c>
    </row>
    <row r="28" spans="1:23" x14ac:dyDescent="0.3">
      <c r="A28" s="75"/>
      <c r="B28" s="12"/>
      <c r="C28" s="75"/>
      <c r="D28" s="13"/>
      <c r="E28" s="38"/>
      <c r="F28" s="40"/>
      <c r="G28" s="51"/>
      <c r="H28" s="13"/>
      <c r="I28" s="15"/>
      <c r="J28" s="15"/>
      <c r="K28" s="13"/>
      <c r="L28" s="13"/>
      <c r="M28" s="13"/>
      <c r="N28" s="13"/>
      <c r="O28" s="13"/>
      <c r="P28" s="13"/>
      <c r="Q28" s="13"/>
      <c r="R28" s="13"/>
      <c r="S28" s="113"/>
      <c r="T28" s="64"/>
      <c r="U28" s="103"/>
      <c r="V28" s="13"/>
      <c r="W28" s="75" t="s">
        <v>52</v>
      </c>
    </row>
    <row r="29" spans="1:23" x14ac:dyDescent="0.3">
      <c r="A29" s="75"/>
      <c r="B29" s="12"/>
      <c r="C29" s="75"/>
      <c r="D29" s="13"/>
      <c r="E29" s="38"/>
      <c r="F29" s="40"/>
      <c r="G29" s="51"/>
      <c r="H29" s="13"/>
      <c r="I29" s="15"/>
      <c r="J29" s="15"/>
      <c r="K29" s="13"/>
      <c r="L29" s="13"/>
      <c r="M29" s="13"/>
      <c r="N29" s="13"/>
      <c r="O29" s="13"/>
      <c r="P29" s="13"/>
      <c r="Q29" s="13"/>
      <c r="R29" s="13"/>
      <c r="S29" s="113"/>
      <c r="T29" s="64"/>
      <c r="U29" s="103"/>
      <c r="V29" s="13"/>
      <c r="W29" s="75" t="s">
        <v>52</v>
      </c>
    </row>
    <row r="30" spans="1:23" x14ac:dyDescent="0.3">
      <c r="A30" s="75"/>
      <c r="B30" s="12"/>
      <c r="C30" s="75"/>
      <c r="D30" s="13"/>
      <c r="E30" s="38"/>
      <c r="F30" s="40"/>
      <c r="G30" s="51"/>
      <c r="H30" s="13"/>
      <c r="I30" s="15"/>
      <c r="J30" s="15"/>
      <c r="K30" s="13"/>
      <c r="L30" s="13"/>
      <c r="M30" s="13"/>
      <c r="N30" s="13"/>
      <c r="O30" s="13"/>
      <c r="P30" s="13"/>
      <c r="Q30" s="13"/>
      <c r="R30" s="13"/>
      <c r="S30" s="113"/>
      <c r="T30" s="64"/>
      <c r="U30" s="103"/>
      <c r="V30" s="13"/>
      <c r="W30" s="75" t="s">
        <v>52</v>
      </c>
    </row>
    <row r="31" spans="1:23" x14ac:dyDescent="0.3">
      <c r="A31" s="75"/>
      <c r="B31" s="12"/>
      <c r="C31" s="75"/>
      <c r="D31" s="13"/>
      <c r="E31" s="38"/>
      <c r="F31" s="40"/>
      <c r="G31" s="51"/>
      <c r="H31" s="13"/>
      <c r="I31" s="15"/>
      <c r="J31" s="15"/>
      <c r="K31" s="13"/>
      <c r="L31" s="13"/>
      <c r="M31" s="13"/>
      <c r="N31" s="13"/>
      <c r="O31" s="13"/>
      <c r="P31" s="13"/>
      <c r="Q31" s="13"/>
      <c r="R31" s="13"/>
      <c r="S31" s="113"/>
      <c r="T31" s="64"/>
      <c r="U31" s="103"/>
      <c r="V31" s="13"/>
      <c r="W31" s="75" t="s">
        <v>52</v>
      </c>
    </row>
    <row r="32" spans="1:23" x14ac:dyDescent="0.3">
      <c r="A32" s="75"/>
      <c r="B32" s="12"/>
      <c r="C32" s="75"/>
      <c r="D32" s="13"/>
      <c r="E32" s="38"/>
      <c r="F32" s="40"/>
      <c r="G32" s="51"/>
      <c r="H32" s="13"/>
      <c r="I32" s="15"/>
      <c r="J32" s="15"/>
      <c r="K32" s="13"/>
      <c r="L32" s="13"/>
      <c r="M32" s="13"/>
      <c r="N32" s="13"/>
      <c r="O32" s="13"/>
      <c r="P32" s="13"/>
      <c r="Q32" s="13"/>
      <c r="R32" s="13"/>
      <c r="S32" s="113"/>
      <c r="T32" s="64"/>
      <c r="U32" s="103"/>
      <c r="V32" s="13"/>
      <c r="W32" s="75" t="s">
        <v>52</v>
      </c>
    </row>
    <row r="33" spans="1:23" x14ac:dyDescent="0.3">
      <c r="A33" s="75"/>
      <c r="B33" s="12"/>
      <c r="C33" s="75"/>
      <c r="D33" s="13"/>
      <c r="E33" s="38"/>
      <c r="F33" s="40"/>
      <c r="G33" s="51"/>
      <c r="H33" s="13"/>
      <c r="I33" s="15"/>
      <c r="J33" s="15"/>
      <c r="K33" s="13"/>
      <c r="L33" s="13"/>
      <c r="M33" s="13"/>
      <c r="N33" s="13"/>
      <c r="O33" s="13"/>
      <c r="P33" s="13"/>
      <c r="Q33" s="13"/>
      <c r="R33" s="13"/>
      <c r="S33" s="113"/>
      <c r="T33" s="64"/>
      <c r="U33" s="103"/>
      <c r="V33" s="13"/>
      <c r="W33" s="75" t="s">
        <v>52</v>
      </c>
    </row>
    <row r="34" spans="1:23" x14ac:dyDescent="0.3">
      <c r="A34" s="75"/>
      <c r="B34" s="12"/>
      <c r="C34" s="75"/>
      <c r="D34" s="13"/>
      <c r="E34" s="38"/>
      <c r="F34" s="40"/>
      <c r="G34" s="51"/>
      <c r="H34" s="13"/>
      <c r="I34" s="15"/>
      <c r="J34" s="15"/>
      <c r="K34" s="13"/>
      <c r="L34" s="13"/>
      <c r="M34" s="13"/>
      <c r="N34" s="13"/>
      <c r="O34" s="13"/>
      <c r="P34" s="13"/>
      <c r="Q34" s="13"/>
      <c r="R34" s="13"/>
      <c r="S34" s="113"/>
      <c r="T34" s="64"/>
      <c r="U34" s="103"/>
      <c r="V34" s="13"/>
      <c r="W34" s="75" t="s">
        <v>52</v>
      </c>
    </row>
    <row r="35" spans="1:23" x14ac:dyDescent="0.3">
      <c r="A35" s="75"/>
      <c r="B35" s="12"/>
      <c r="C35" s="75"/>
      <c r="D35" s="13"/>
      <c r="E35" s="38"/>
      <c r="F35" s="40"/>
      <c r="G35" s="51"/>
      <c r="H35" s="13"/>
      <c r="I35" s="15"/>
      <c r="J35" s="15"/>
      <c r="K35" s="13"/>
      <c r="L35" s="13"/>
      <c r="M35" s="13"/>
      <c r="N35" s="13"/>
      <c r="O35" s="13"/>
      <c r="P35" s="13"/>
      <c r="Q35" s="13"/>
      <c r="R35" s="13"/>
      <c r="S35" s="113"/>
      <c r="T35" s="64"/>
      <c r="U35" s="103"/>
      <c r="V35" s="13"/>
      <c r="W35" s="75" t="s">
        <v>52</v>
      </c>
    </row>
    <row r="36" spans="1:23" x14ac:dyDescent="0.3">
      <c r="A36" s="75"/>
      <c r="B36" s="12"/>
      <c r="C36" s="75"/>
      <c r="D36" s="13"/>
      <c r="E36" s="38"/>
      <c r="F36" s="40"/>
      <c r="G36" s="51"/>
      <c r="H36" s="13"/>
      <c r="I36" s="15"/>
      <c r="J36" s="15"/>
      <c r="K36" s="13"/>
      <c r="L36" s="13"/>
      <c r="M36" s="13"/>
      <c r="N36" s="13"/>
      <c r="O36" s="13"/>
      <c r="P36" s="13"/>
      <c r="Q36" s="13"/>
      <c r="R36" s="13"/>
      <c r="S36" s="113"/>
      <c r="T36" s="64"/>
      <c r="U36" s="103"/>
      <c r="V36" s="13"/>
      <c r="W36" s="75" t="s">
        <v>52</v>
      </c>
    </row>
    <row r="37" spans="1:23" x14ac:dyDescent="0.3">
      <c r="A37" s="75"/>
      <c r="B37" s="12"/>
      <c r="C37" s="75"/>
      <c r="D37" s="13"/>
      <c r="E37" s="38"/>
      <c r="F37" s="40"/>
      <c r="G37" s="51"/>
      <c r="H37" s="13"/>
      <c r="I37" s="15"/>
      <c r="J37" s="15"/>
      <c r="K37" s="13"/>
      <c r="L37" s="13"/>
      <c r="M37" s="13"/>
      <c r="N37" s="13"/>
      <c r="O37" s="13"/>
      <c r="P37" s="13"/>
      <c r="Q37" s="13"/>
      <c r="R37" s="13"/>
      <c r="S37" s="113"/>
      <c r="T37" s="64"/>
      <c r="U37" s="103"/>
      <c r="V37" s="13"/>
      <c r="W37" s="75" t="s">
        <v>52</v>
      </c>
    </row>
    <row r="38" spans="1:23" x14ac:dyDescent="0.3">
      <c r="A38" s="75"/>
      <c r="B38" s="12"/>
      <c r="C38" s="75"/>
      <c r="D38" s="13"/>
      <c r="E38" s="38"/>
      <c r="F38" s="40"/>
      <c r="G38" s="51"/>
      <c r="H38" s="13"/>
      <c r="I38" s="15"/>
      <c r="J38" s="15"/>
      <c r="K38" s="13"/>
      <c r="L38" s="13"/>
      <c r="M38" s="13"/>
      <c r="N38" s="13"/>
      <c r="O38" s="13"/>
      <c r="P38" s="13"/>
      <c r="Q38" s="13"/>
      <c r="R38" s="13"/>
      <c r="S38" s="113"/>
      <c r="T38" s="64"/>
      <c r="U38" s="103"/>
      <c r="V38" s="13"/>
      <c r="W38" s="75" t="s">
        <v>52</v>
      </c>
    </row>
    <row r="39" spans="1:23" x14ac:dyDescent="0.3">
      <c r="A39" s="75"/>
      <c r="B39" s="12"/>
      <c r="C39" s="75"/>
      <c r="D39" s="13"/>
      <c r="E39" s="38"/>
      <c r="F39" s="40"/>
      <c r="G39" s="51"/>
      <c r="H39" s="13"/>
      <c r="I39" s="15"/>
      <c r="J39" s="15"/>
      <c r="K39" s="13"/>
      <c r="L39" s="13"/>
      <c r="M39" s="13"/>
      <c r="N39" s="13"/>
      <c r="O39" s="13"/>
      <c r="P39" s="13"/>
      <c r="Q39" s="13"/>
      <c r="R39" s="13"/>
      <c r="S39" s="113"/>
      <c r="T39" s="64"/>
      <c r="U39" s="103"/>
      <c r="V39" s="13"/>
      <c r="W39" s="75" t="s">
        <v>52</v>
      </c>
    </row>
    <row r="40" spans="1:23" x14ac:dyDescent="0.3">
      <c r="A40" s="75"/>
      <c r="B40" s="12"/>
      <c r="C40" s="75"/>
      <c r="D40" s="13"/>
      <c r="E40" s="38"/>
      <c r="F40" s="40"/>
      <c r="G40" s="51"/>
      <c r="H40" s="13"/>
      <c r="I40" s="15"/>
      <c r="J40" s="15"/>
      <c r="K40" s="13"/>
      <c r="L40" s="13"/>
      <c r="M40" s="13"/>
      <c r="N40" s="13"/>
      <c r="O40" s="13"/>
      <c r="P40" s="13"/>
      <c r="Q40" s="13"/>
      <c r="R40" s="13"/>
      <c r="S40" s="113"/>
      <c r="T40" s="64"/>
      <c r="U40" s="103"/>
      <c r="V40" s="13"/>
      <c r="W40" s="75" t="s">
        <v>52</v>
      </c>
    </row>
    <row r="41" spans="1:23" x14ac:dyDescent="0.3">
      <c r="A41" s="75"/>
      <c r="B41" s="12"/>
      <c r="C41" s="75"/>
      <c r="D41" s="13"/>
      <c r="E41" s="38"/>
      <c r="F41" s="40"/>
      <c r="G41" s="51"/>
      <c r="H41" s="13"/>
      <c r="I41" s="15"/>
      <c r="J41" s="15"/>
      <c r="K41" s="13"/>
      <c r="L41" s="13"/>
      <c r="M41" s="13"/>
      <c r="N41" s="13"/>
      <c r="O41" s="13"/>
      <c r="P41" s="13"/>
      <c r="Q41" s="13"/>
      <c r="R41" s="13"/>
      <c r="S41" s="113"/>
      <c r="T41" s="64"/>
      <c r="U41" s="103"/>
      <c r="V41" s="13"/>
      <c r="W41" s="75" t="s">
        <v>52</v>
      </c>
    </row>
    <row r="42" spans="1:23" x14ac:dyDescent="0.3">
      <c r="A42" s="75"/>
      <c r="B42" s="12"/>
      <c r="C42" s="75"/>
      <c r="D42" s="13"/>
      <c r="E42" s="38"/>
      <c r="F42" s="40"/>
      <c r="G42" s="51"/>
      <c r="H42" s="13"/>
      <c r="I42" s="15"/>
      <c r="J42" s="15"/>
      <c r="K42" s="13"/>
      <c r="L42" s="13"/>
      <c r="M42" s="13"/>
      <c r="N42" s="13"/>
      <c r="O42" s="13"/>
      <c r="P42" s="13"/>
      <c r="Q42" s="13"/>
      <c r="R42" s="13"/>
      <c r="S42" s="113"/>
      <c r="T42" s="64"/>
      <c r="U42" s="103"/>
      <c r="V42" s="13"/>
      <c r="W42" s="75" t="s">
        <v>52</v>
      </c>
    </row>
    <row r="43" spans="1:23" x14ac:dyDescent="0.3">
      <c r="A43" s="75"/>
      <c r="B43" s="12"/>
      <c r="C43" s="75"/>
      <c r="D43" s="13"/>
      <c r="E43" s="38"/>
      <c r="F43" s="40"/>
      <c r="G43" s="51"/>
      <c r="H43" s="13"/>
      <c r="I43" s="15"/>
      <c r="J43" s="15"/>
      <c r="K43" s="13"/>
      <c r="L43" s="13"/>
      <c r="M43" s="13"/>
      <c r="N43" s="13"/>
      <c r="O43" s="13"/>
      <c r="P43" s="13"/>
      <c r="Q43" s="13"/>
      <c r="R43" s="13"/>
      <c r="S43" s="113"/>
      <c r="T43" s="64"/>
      <c r="U43" s="103"/>
      <c r="V43" s="13"/>
      <c r="W43" s="75" t="s">
        <v>52</v>
      </c>
    </row>
    <row r="44" spans="1:23" x14ac:dyDescent="0.3">
      <c r="A44" s="75"/>
      <c r="B44" s="12"/>
      <c r="C44" s="75"/>
      <c r="D44" s="13"/>
      <c r="E44" s="38"/>
      <c r="F44" s="40"/>
      <c r="G44" s="51"/>
      <c r="H44" s="13"/>
      <c r="I44" s="15"/>
      <c r="J44" s="15"/>
      <c r="K44" s="13"/>
      <c r="L44" s="13"/>
      <c r="M44" s="13"/>
      <c r="N44" s="13"/>
      <c r="O44" s="13"/>
      <c r="P44" s="13"/>
      <c r="Q44" s="13"/>
      <c r="R44" s="13"/>
      <c r="S44" s="113"/>
      <c r="T44" s="64"/>
      <c r="U44" s="103"/>
      <c r="V44" s="13"/>
      <c r="W44" s="75" t="s">
        <v>52</v>
      </c>
    </row>
    <row r="45" spans="1:23" x14ac:dyDescent="0.3">
      <c r="A45" s="75"/>
      <c r="B45" s="12"/>
      <c r="C45" s="75"/>
      <c r="D45" s="13"/>
      <c r="E45" s="38"/>
      <c r="F45" s="40"/>
      <c r="G45" s="51"/>
      <c r="H45" s="13"/>
      <c r="I45" s="15"/>
      <c r="J45" s="15"/>
      <c r="K45" s="13"/>
      <c r="L45" s="13"/>
      <c r="M45" s="13"/>
      <c r="N45" s="13"/>
      <c r="O45" s="13"/>
      <c r="P45" s="13"/>
      <c r="Q45" s="13"/>
      <c r="R45" s="13"/>
      <c r="S45" s="113"/>
      <c r="T45" s="64"/>
      <c r="U45" s="103"/>
      <c r="V45" s="13"/>
      <c r="W45" s="75" t="s">
        <v>52</v>
      </c>
    </row>
    <row r="46" spans="1:23" x14ac:dyDescent="0.3">
      <c r="A46" s="75"/>
      <c r="B46" s="12"/>
      <c r="C46" s="75"/>
      <c r="D46" s="13"/>
      <c r="E46" s="38"/>
      <c r="F46" s="40"/>
      <c r="G46" s="51"/>
      <c r="H46" s="13"/>
      <c r="I46" s="15"/>
      <c r="J46" s="15"/>
      <c r="K46" s="13"/>
      <c r="L46" s="13"/>
      <c r="M46" s="13"/>
      <c r="N46" s="13"/>
      <c r="O46" s="13"/>
      <c r="P46" s="13"/>
      <c r="Q46" s="13"/>
      <c r="R46" s="13"/>
      <c r="S46" s="113"/>
      <c r="T46" s="64"/>
      <c r="U46" s="103"/>
      <c r="V46" s="13"/>
      <c r="W46" s="75" t="s">
        <v>52</v>
      </c>
    </row>
    <row r="47" spans="1:23" x14ac:dyDescent="0.3">
      <c r="A47" s="75"/>
      <c r="B47" s="12"/>
      <c r="C47" s="75"/>
      <c r="D47" s="13"/>
      <c r="E47" s="38"/>
      <c r="F47" s="40"/>
      <c r="G47" s="51"/>
      <c r="H47" s="13"/>
      <c r="I47" s="15"/>
      <c r="J47" s="15"/>
      <c r="K47" s="13"/>
      <c r="L47" s="13"/>
      <c r="M47" s="13"/>
      <c r="N47" s="13"/>
      <c r="O47" s="13"/>
      <c r="P47" s="13"/>
      <c r="Q47" s="13"/>
      <c r="R47" s="13"/>
      <c r="S47" s="113"/>
      <c r="T47" s="64"/>
      <c r="U47" s="103"/>
      <c r="V47" s="13"/>
      <c r="W47" s="75" t="s">
        <v>52</v>
      </c>
    </row>
    <row r="48" spans="1:23" x14ac:dyDescent="0.3">
      <c r="A48" s="75"/>
      <c r="B48" s="12"/>
      <c r="C48" s="75"/>
      <c r="D48" s="13"/>
      <c r="E48" s="38"/>
      <c r="F48" s="40"/>
      <c r="G48" s="51"/>
      <c r="H48" s="13"/>
      <c r="I48" s="15"/>
      <c r="J48" s="15"/>
      <c r="K48" s="13"/>
      <c r="L48" s="13"/>
      <c r="M48" s="13"/>
      <c r="N48" s="13"/>
      <c r="O48" s="13"/>
      <c r="P48" s="13"/>
      <c r="Q48" s="13"/>
      <c r="R48" s="13"/>
      <c r="S48" s="113"/>
      <c r="T48" s="64"/>
      <c r="U48" s="103"/>
      <c r="V48" s="13"/>
      <c r="W48" s="75" t="s">
        <v>52</v>
      </c>
    </row>
    <row r="49" spans="1:23" x14ac:dyDescent="0.3">
      <c r="A49" s="75"/>
      <c r="B49" s="12"/>
      <c r="C49" s="75"/>
      <c r="D49" s="13"/>
      <c r="E49" s="38"/>
      <c r="F49" s="40"/>
      <c r="G49" s="51"/>
      <c r="H49" s="13"/>
      <c r="I49" s="15"/>
      <c r="J49" s="15"/>
      <c r="K49" s="13"/>
      <c r="L49" s="13"/>
      <c r="M49" s="13"/>
      <c r="N49" s="13"/>
      <c r="O49" s="13"/>
      <c r="P49" s="13"/>
      <c r="Q49" s="13"/>
      <c r="R49" s="13"/>
      <c r="S49" s="113"/>
      <c r="T49" s="64"/>
      <c r="U49" s="103"/>
      <c r="V49" s="13"/>
      <c r="W49" s="75" t="s">
        <v>52</v>
      </c>
    </row>
    <row r="50" spans="1:23" x14ac:dyDescent="0.3">
      <c r="A50" s="75"/>
      <c r="B50" s="12"/>
      <c r="C50" s="75"/>
      <c r="D50" s="13"/>
      <c r="E50" s="38"/>
      <c r="F50" s="40"/>
      <c r="G50" s="51"/>
      <c r="H50" s="13"/>
      <c r="I50" s="15"/>
      <c r="J50" s="15"/>
      <c r="K50" s="13"/>
      <c r="L50" s="13"/>
      <c r="M50" s="13"/>
      <c r="N50" s="13"/>
      <c r="O50" s="13"/>
      <c r="P50" s="13"/>
      <c r="Q50" s="13"/>
      <c r="R50" s="13"/>
      <c r="S50" s="113"/>
      <c r="T50" s="64"/>
      <c r="U50" s="103"/>
      <c r="V50" s="13"/>
      <c r="W50" s="75" t="s">
        <v>52</v>
      </c>
    </row>
    <row r="51" spans="1:23" x14ac:dyDescent="0.3">
      <c r="A51" s="75"/>
      <c r="B51" s="12"/>
      <c r="C51" s="75"/>
      <c r="D51" s="13"/>
      <c r="E51" s="38"/>
      <c r="F51" s="40"/>
      <c r="G51" s="51"/>
      <c r="H51" s="13"/>
      <c r="I51" s="15"/>
      <c r="J51" s="15"/>
      <c r="K51" s="13"/>
      <c r="L51" s="13"/>
      <c r="M51" s="13"/>
      <c r="N51" s="13"/>
      <c r="O51" s="13"/>
      <c r="P51" s="13"/>
      <c r="Q51" s="13"/>
      <c r="R51" s="13"/>
      <c r="S51" s="113"/>
      <c r="T51" s="64"/>
      <c r="U51" s="103"/>
      <c r="V51" s="13"/>
      <c r="W51" s="75" t="s">
        <v>52</v>
      </c>
    </row>
    <row r="52" spans="1:23" x14ac:dyDescent="0.3">
      <c r="A52" s="75"/>
      <c r="B52" s="12"/>
      <c r="C52" s="75"/>
      <c r="D52" s="13"/>
      <c r="E52" s="38"/>
      <c r="F52" s="40"/>
      <c r="G52" s="51"/>
      <c r="H52" s="13"/>
      <c r="I52" s="15"/>
      <c r="J52" s="15"/>
      <c r="K52" s="13"/>
      <c r="L52" s="13"/>
      <c r="M52" s="13"/>
      <c r="N52" s="13"/>
      <c r="O52" s="13"/>
      <c r="P52" s="13"/>
      <c r="Q52" s="13"/>
      <c r="R52" s="13"/>
      <c r="S52" s="113"/>
      <c r="T52" s="64"/>
      <c r="U52" s="103"/>
      <c r="V52" s="13"/>
      <c r="W52" s="75" t="s">
        <v>52</v>
      </c>
    </row>
    <row r="53" spans="1:23" x14ac:dyDescent="0.3">
      <c r="A53" s="75"/>
      <c r="B53" s="12"/>
      <c r="C53" s="75"/>
      <c r="D53" s="13"/>
      <c r="E53" s="38"/>
      <c r="F53" s="40"/>
      <c r="G53" s="51"/>
      <c r="H53" s="13"/>
      <c r="I53" s="15"/>
      <c r="J53" s="15"/>
      <c r="K53" s="13"/>
      <c r="L53" s="13"/>
      <c r="M53" s="13"/>
      <c r="N53" s="13"/>
      <c r="O53" s="13"/>
      <c r="P53" s="13"/>
      <c r="Q53" s="13"/>
      <c r="R53" s="13"/>
      <c r="S53" s="113"/>
      <c r="T53" s="64"/>
      <c r="U53" s="103"/>
      <c r="V53" s="13"/>
      <c r="W53" s="75" t="s">
        <v>52</v>
      </c>
    </row>
    <row r="54" spans="1:23" x14ac:dyDescent="0.3">
      <c r="A54" s="75"/>
      <c r="B54" s="12"/>
      <c r="C54" s="75"/>
      <c r="D54" s="13"/>
      <c r="E54" s="38"/>
      <c r="F54" s="40"/>
      <c r="G54" s="51"/>
      <c r="H54" s="13"/>
      <c r="I54" s="15"/>
      <c r="J54" s="15"/>
      <c r="K54" s="13"/>
      <c r="L54" s="13"/>
      <c r="M54" s="13"/>
      <c r="N54" s="13"/>
      <c r="O54" s="13"/>
      <c r="P54" s="13"/>
      <c r="Q54" s="13"/>
      <c r="R54" s="13"/>
      <c r="S54" s="113"/>
      <c r="T54" s="64"/>
      <c r="U54" s="103"/>
      <c r="V54" s="13"/>
      <c r="W54" s="75" t="s">
        <v>52</v>
      </c>
    </row>
    <row r="55" spans="1:23" x14ac:dyDescent="0.3">
      <c r="A55" s="75"/>
      <c r="B55" s="12"/>
      <c r="C55" s="75"/>
      <c r="D55" s="13"/>
      <c r="E55" s="38"/>
      <c r="F55" s="40"/>
      <c r="G55" s="51"/>
      <c r="H55" s="13"/>
      <c r="I55" s="15"/>
      <c r="J55" s="15"/>
      <c r="K55" s="13"/>
      <c r="L55" s="13"/>
      <c r="M55" s="13"/>
      <c r="N55" s="13"/>
      <c r="O55" s="13"/>
      <c r="P55" s="13"/>
      <c r="Q55" s="13"/>
      <c r="R55" s="13"/>
      <c r="S55" s="113"/>
      <c r="T55" s="64"/>
      <c r="U55" s="103"/>
      <c r="V55" s="13"/>
      <c r="W55" s="75" t="s">
        <v>52</v>
      </c>
    </row>
    <row r="56" spans="1:23" x14ac:dyDescent="0.3">
      <c r="A56" s="75"/>
      <c r="B56" s="12"/>
      <c r="C56" s="75"/>
      <c r="D56" s="13"/>
      <c r="E56" s="38"/>
      <c r="F56" s="40"/>
      <c r="G56" s="51"/>
      <c r="H56" s="13"/>
      <c r="I56" s="15"/>
      <c r="J56" s="15"/>
      <c r="K56" s="13"/>
      <c r="L56" s="13"/>
      <c r="M56" s="13"/>
      <c r="N56" s="13"/>
      <c r="O56" s="13"/>
      <c r="P56" s="13"/>
      <c r="Q56" s="13"/>
      <c r="R56" s="13"/>
      <c r="S56" s="113"/>
      <c r="T56" s="64"/>
      <c r="U56" s="103"/>
      <c r="V56" s="13"/>
      <c r="W56" s="75" t="s">
        <v>52</v>
      </c>
    </row>
    <row r="57" spans="1:23" x14ac:dyDescent="0.3">
      <c r="A57" s="75"/>
      <c r="B57" s="12"/>
      <c r="C57" s="75"/>
      <c r="D57" s="13"/>
      <c r="E57" s="38"/>
      <c r="F57" s="40"/>
      <c r="G57" s="51"/>
      <c r="H57" s="13"/>
      <c r="I57" s="15"/>
      <c r="J57" s="15"/>
      <c r="K57" s="13"/>
      <c r="L57" s="13"/>
      <c r="M57" s="13"/>
      <c r="N57" s="13"/>
      <c r="O57" s="13"/>
      <c r="P57" s="13"/>
      <c r="Q57" s="13"/>
      <c r="R57" s="13"/>
      <c r="S57" s="113"/>
      <c r="T57" s="64"/>
      <c r="U57" s="103"/>
      <c r="V57" s="13"/>
      <c r="W57" s="75" t="s">
        <v>52</v>
      </c>
    </row>
    <row r="58" spans="1:23" x14ac:dyDescent="0.3">
      <c r="A58" s="75"/>
      <c r="B58" s="12"/>
      <c r="C58" s="75"/>
      <c r="D58" s="13"/>
      <c r="E58" s="38"/>
      <c r="F58" s="40"/>
      <c r="G58" s="51"/>
      <c r="H58" s="13"/>
      <c r="I58" s="15"/>
      <c r="J58" s="15"/>
      <c r="K58" s="13"/>
      <c r="L58" s="13"/>
      <c r="M58" s="13"/>
      <c r="N58" s="13"/>
      <c r="O58" s="13"/>
      <c r="P58" s="13"/>
      <c r="Q58" s="13"/>
      <c r="R58" s="13"/>
      <c r="S58" s="113"/>
      <c r="T58" s="64"/>
      <c r="U58" s="103"/>
      <c r="V58" s="13"/>
      <c r="W58" s="75" t="s">
        <v>52</v>
      </c>
    </row>
    <row r="59" spans="1:23" x14ac:dyDescent="0.3">
      <c r="A59" s="75"/>
      <c r="B59" s="12"/>
      <c r="C59" s="75"/>
      <c r="D59" s="13"/>
      <c r="E59" s="38"/>
      <c r="F59" s="40"/>
      <c r="G59" s="51"/>
      <c r="H59" s="13"/>
      <c r="I59" s="15"/>
      <c r="J59" s="15"/>
      <c r="K59" s="13"/>
      <c r="L59" s="13"/>
      <c r="M59" s="13"/>
      <c r="N59" s="13"/>
      <c r="O59" s="13"/>
      <c r="P59" s="13"/>
      <c r="Q59" s="13"/>
      <c r="R59" s="13"/>
      <c r="S59" s="113"/>
      <c r="T59" s="64"/>
      <c r="U59" s="103"/>
      <c r="V59" s="13"/>
      <c r="W59" s="75" t="s">
        <v>52</v>
      </c>
    </row>
    <row r="60" spans="1:23" x14ac:dyDescent="0.3">
      <c r="A60" s="75"/>
      <c r="B60" s="12"/>
      <c r="C60" s="75"/>
      <c r="D60" s="13"/>
      <c r="E60" s="38"/>
      <c r="F60" s="40"/>
      <c r="G60" s="51"/>
      <c r="H60" s="13"/>
      <c r="I60" s="15"/>
      <c r="J60" s="15"/>
      <c r="K60" s="13"/>
      <c r="L60" s="13"/>
      <c r="M60" s="13"/>
      <c r="N60" s="13"/>
      <c r="O60" s="13"/>
      <c r="P60" s="13"/>
      <c r="Q60" s="13"/>
      <c r="R60" s="13"/>
      <c r="S60" s="113"/>
      <c r="T60" s="64"/>
      <c r="U60" s="103"/>
      <c r="V60" s="13"/>
      <c r="W60" s="75" t="s">
        <v>52</v>
      </c>
    </row>
    <row r="61" spans="1:23" x14ac:dyDescent="0.3">
      <c r="A61" s="75"/>
      <c r="B61" s="12"/>
      <c r="C61" s="75"/>
      <c r="D61" s="13"/>
      <c r="E61" s="38"/>
      <c r="F61" s="40"/>
      <c r="G61" s="51"/>
      <c r="H61" s="13"/>
      <c r="I61" s="15"/>
      <c r="J61" s="15"/>
      <c r="K61" s="13"/>
      <c r="L61" s="13"/>
      <c r="M61" s="13"/>
      <c r="N61" s="13"/>
      <c r="O61" s="13"/>
      <c r="P61" s="13"/>
      <c r="Q61" s="13"/>
      <c r="R61" s="13"/>
      <c r="S61" s="113"/>
      <c r="T61" s="64"/>
      <c r="U61" s="103"/>
      <c r="V61" s="13"/>
      <c r="W61" s="75" t="s">
        <v>52</v>
      </c>
    </row>
    <row r="62" spans="1:23" x14ac:dyDescent="0.3">
      <c r="A62" s="75"/>
      <c r="B62" s="12"/>
      <c r="C62" s="75"/>
      <c r="D62" s="13"/>
      <c r="E62" s="38"/>
      <c r="F62" s="40"/>
      <c r="G62" s="51"/>
      <c r="H62" s="13"/>
      <c r="I62" s="15"/>
      <c r="J62" s="15"/>
      <c r="K62" s="13"/>
      <c r="L62" s="13"/>
      <c r="M62" s="13"/>
      <c r="N62" s="13"/>
      <c r="O62" s="13"/>
      <c r="P62" s="13"/>
      <c r="Q62" s="13"/>
      <c r="R62" s="13"/>
      <c r="S62" s="113"/>
      <c r="T62" s="64"/>
      <c r="U62" s="103"/>
      <c r="V62" s="13"/>
      <c r="W62" s="75" t="s">
        <v>52</v>
      </c>
    </row>
    <row r="63" spans="1:23" x14ac:dyDescent="0.3">
      <c r="A63" s="75"/>
      <c r="B63" s="12"/>
      <c r="C63" s="75"/>
      <c r="D63" s="13"/>
      <c r="E63" s="38"/>
      <c r="F63" s="40"/>
      <c r="G63" s="51"/>
      <c r="H63" s="13"/>
      <c r="I63" s="15"/>
      <c r="J63" s="15"/>
      <c r="K63" s="13"/>
      <c r="L63" s="13"/>
      <c r="M63" s="13"/>
      <c r="N63" s="13"/>
      <c r="O63" s="13"/>
      <c r="P63" s="13"/>
      <c r="Q63" s="13"/>
      <c r="R63" s="13"/>
      <c r="S63" s="113"/>
      <c r="T63" s="64"/>
      <c r="U63" s="103"/>
      <c r="V63" s="13"/>
      <c r="W63" s="75" t="s">
        <v>52</v>
      </c>
    </row>
    <row r="64" spans="1:23" x14ac:dyDescent="0.3">
      <c r="A64" s="75"/>
      <c r="B64" s="12"/>
      <c r="C64" s="75"/>
      <c r="D64" s="13"/>
      <c r="E64" s="38"/>
      <c r="F64" s="40"/>
      <c r="G64" s="51"/>
      <c r="H64" s="13"/>
      <c r="I64" s="15"/>
      <c r="J64" s="15"/>
      <c r="K64" s="13"/>
      <c r="L64" s="13"/>
      <c r="M64" s="13"/>
      <c r="N64" s="13"/>
      <c r="O64" s="13"/>
      <c r="P64" s="13"/>
      <c r="Q64" s="13"/>
      <c r="R64" s="13"/>
      <c r="S64" s="113"/>
      <c r="T64" s="64"/>
      <c r="U64" s="103"/>
      <c r="V64" s="13"/>
      <c r="W64" s="75" t="s">
        <v>52</v>
      </c>
    </row>
    <row r="65" spans="1:23" x14ac:dyDescent="0.3">
      <c r="A65" s="75"/>
      <c r="B65" s="12"/>
      <c r="C65" s="75"/>
      <c r="D65" s="13"/>
      <c r="E65" s="38"/>
      <c r="F65" s="40"/>
      <c r="G65" s="51"/>
      <c r="H65" s="13"/>
      <c r="I65" s="15"/>
      <c r="J65" s="15"/>
      <c r="K65" s="13"/>
      <c r="L65" s="13"/>
      <c r="M65" s="13"/>
      <c r="N65" s="13"/>
      <c r="O65" s="13"/>
      <c r="P65" s="13"/>
      <c r="Q65" s="13"/>
      <c r="R65" s="13"/>
      <c r="S65" s="113"/>
      <c r="T65" s="64"/>
      <c r="U65" s="103"/>
      <c r="V65" s="13"/>
      <c r="W65" s="75" t="s">
        <v>52</v>
      </c>
    </row>
    <row r="66" spans="1:23" x14ac:dyDescent="0.3">
      <c r="A66" s="75"/>
      <c r="B66" s="12"/>
      <c r="C66" s="75"/>
      <c r="D66" s="13"/>
      <c r="E66" s="38"/>
      <c r="F66" s="40"/>
      <c r="G66" s="51"/>
      <c r="H66" s="13"/>
      <c r="I66" s="15"/>
      <c r="J66" s="15"/>
      <c r="K66" s="13"/>
      <c r="L66" s="13"/>
      <c r="M66" s="13"/>
      <c r="N66" s="13"/>
      <c r="O66" s="13"/>
      <c r="P66" s="13"/>
      <c r="Q66" s="13"/>
      <c r="R66" s="13"/>
      <c r="S66" s="113"/>
      <c r="T66" s="64"/>
      <c r="U66" s="103"/>
      <c r="V66" s="13"/>
      <c r="W66" s="75" t="s">
        <v>52</v>
      </c>
    </row>
    <row r="67" spans="1:23" x14ac:dyDescent="0.3">
      <c r="A67" s="75"/>
      <c r="B67" s="12"/>
      <c r="C67" s="75"/>
      <c r="D67" s="13"/>
      <c r="E67" s="38"/>
      <c r="F67" s="40"/>
      <c r="G67" s="51"/>
      <c r="H67" s="13"/>
      <c r="I67" s="15"/>
      <c r="J67" s="15"/>
      <c r="K67" s="13"/>
      <c r="L67" s="13"/>
      <c r="M67" s="13"/>
      <c r="N67" s="13"/>
      <c r="O67" s="13"/>
      <c r="P67" s="13"/>
      <c r="Q67" s="13"/>
      <c r="R67" s="13"/>
      <c r="S67" s="113"/>
      <c r="T67" s="64"/>
      <c r="U67" s="103"/>
      <c r="V67" s="13"/>
      <c r="W67" s="75" t="s">
        <v>52</v>
      </c>
    </row>
    <row r="68" spans="1:23" x14ac:dyDescent="0.3">
      <c r="A68" s="75"/>
      <c r="B68" s="12"/>
      <c r="C68" s="75"/>
      <c r="D68" s="13"/>
      <c r="E68" s="38"/>
      <c r="F68" s="40"/>
      <c r="G68" s="51"/>
      <c r="H68" s="13"/>
      <c r="I68" s="15"/>
      <c r="J68" s="15"/>
      <c r="K68" s="13"/>
      <c r="L68" s="13"/>
      <c r="M68" s="13"/>
      <c r="N68" s="13"/>
      <c r="O68" s="13"/>
      <c r="P68" s="13"/>
      <c r="Q68" s="13"/>
      <c r="R68" s="13"/>
      <c r="S68" s="113"/>
      <c r="T68" s="64"/>
      <c r="U68" s="103"/>
      <c r="V68" s="13"/>
      <c r="W68" s="75" t="s">
        <v>52</v>
      </c>
    </row>
    <row r="69" spans="1:23" x14ac:dyDescent="0.3">
      <c r="A69" s="75"/>
      <c r="B69" s="12"/>
      <c r="C69" s="75"/>
      <c r="D69" s="13"/>
      <c r="E69" s="38"/>
      <c r="F69" s="40"/>
      <c r="G69" s="51"/>
      <c r="H69" s="13"/>
      <c r="I69" s="15"/>
      <c r="J69" s="15"/>
      <c r="K69" s="13"/>
      <c r="L69" s="13"/>
      <c r="M69" s="13"/>
      <c r="N69" s="13"/>
      <c r="O69" s="13"/>
      <c r="P69" s="13"/>
      <c r="Q69" s="13"/>
      <c r="R69" s="13"/>
      <c r="S69" s="113"/>
      <c r="T69" s="64"/>
      <c r="U69" s="103"/>
      <c r="V69" s="13"/>
      <c r="W69" s="75" t="s">
        <v>52</v>
      </c>
    </row>
    <row r="70" spans="1:23" x14ac:dyDescent="0.3">
      <c r="A70" s="75"/>
      <c r="B70" s="12"/>
      <c r="C70" s="75"/>
      <c r="D70" s="13"/>
      <c r="E70" s="38"/>
      <c r="F70" s="40"/>
      <c r="G70" s="51"/>
      <c r="H70" s="13"/>
      <c r="I70" s="15"/>
      <c r="J70" s="15"/>
      <c r="K70" s="13"/>
      <c r="L70" s="13"/>
      <c r="M70" s="13"/>
      <c r="N70" s="13"/>
      <c r="O70" s="13"/>
      <c r="P70" s="13"/>
      <c r="Q70" s="13"/>
      <c r="R70" s="13"/>
      <c r="S70" s="113"/>
      <c r="T70" s="64"/>
      <c r="U70" s="103"/>
      <c r="V70" s="13"/>
      <c r="W70" s="75" t="s">
        <v>52</v>
      </c>
    </row>
    <row r="71" spans="1:23" x14ac:dyDescent="0.3">
      <c r="A71" s="75"/>
      <c r="B71" s="12"/>
      <c r="C71" s="75"/>
      <c r="D71" s="13"/>
      <c r="E71" s="38"/>
      <c r="F71" s="40"/>
      <c r="G71" s="51"/>
      <c r="H71" s="13"/>
      <c r="I71" s="15"/>
      <c r="J71" s="15"/>
      <c r="K71" s="13"/>
      <c r="L71" s="13"/>
      <c r="M71" s="13"/>
      <c r="N71" s="13"/>
      <c r="O71" s="13"/>
      <c r="P71" s="13"/>
      <c r="Q71" s="13"/>
      <c r="R71" s="13"/>
      <c r="S71" s="113"/>
      <c r="T71" s="64"/>
      <c r="U71" s="103"/>
      <c r="V71" s="13"/>
      <c r="W71" s="75" t="s">
        <v>52</v>
      </c>
    </row>
    <row r="72" spans="1:23" x14ac:dyDescent="0.3">
      <c r="A72" s="75"/>
      <c r="B72" s="12"/>
      <c r="C72" s="75"/>
      <c r="D72" s="13"/>
      <c r="E72" s="38"/>
      <c r="F72" s="40"/>
      <c r="G72" s="51"/>
      <c r="H72" s="13"/>
      <c r="I72" s="15"/>
      <c r="J72" s="15"/>
      <c r="K72" s="13"/>
      <c r="L72" s="13"/>
      <c r="M72" s="13"/>
      <c r="N72" s="13"/>
      <c r="O72" s="13"/>
      <c r="P72" s="13"/>
      <c r="Q72" s="13"/>
      <c r="R72" s="13"/>
      <c r="S72" s="113"/>
      <c r="T72" s="64"/>
      <c r="U72" s="103"/>
      <c r="V72" s="13"/>
      <c r="W72" s="75" t="s">
        <v>52</v>
      </c>
    </row>
    <row r="73" spans="1:23" x14ac:dyDescent="0.3">
      <c r="A73" s="75"/>
      <c r="B73" s="12"/>
      <c r="C73" s="75"/>
      <c r="D73" s="13"/>
      <c r="E73" s="38"/>
      <c r="F73" s="40"/>
      <c r="G73" s="51"/>
      <c r="H73" s="13"/>
      <c r="I73" s="15"/>
      <c r="J73" s="15"/>
      <c r="K73" s="13"/>
      <c r="L73" s="13"/>
      <c r="M73" s="13"/>
      <c r="N73" s="13"/>
      <c r="O73" s="13"/>
      <c r="P73" s="13"/>
      <c r="Q73" s="13"/>
      <c r="R73" s="13"/>
      <c r="S73" s="113"/>
      <c r="T73" s="64"/>
      <c r="U73" s="103"/>
      <c r="V73" s="13"/>
      <c r="W73" s="75" t="s">
        <v>52</v>
      </c>
    </row>
    <row r="74" spans="1:23" x14ac:dyDescent="0.3">
      <c r="A74" s="75"/>
      <c r="B74" s="12"/>
      <c r="C74" s="75"/>
      <c r="D74" s="13"/>
      <c r="E74" s="38"/>
      <c r="F74" s="40"/>
      <c r="G74" s="51"/>
      <c r="H74" s="13"/>
      <c r="I74" s="15"/>
      <c r="J74" s="15"/>
      <c r="K74" s="13"/>
      <c r="L74" s="13"/>
      <c r="M74" s="13"/>
      <c r="N74" s="13"/>
      <c r="O74" s="13"/>
      <c r="P74" s="13"/>
      <c r="Q74" s="13"/>
      <c r="R74" s="13"/>
      <c r="S74" s="113"/>
      <c r="T74" s="64"/>
      <c r="U74" s="103"/>
      <c r="V74" s="13"/>
      <c r="W74" s="22"/>
    </row>
    <row r="75" spans="1:23" x14ac:dyDescent="0.3">
      <c r="A75" s="75"/>
      <c r="B75" s="12"/>
      <c r="C75" s="75"/>
      <c r="D75" s="13"/>
      <c r="E75" s="38"/>
      <c r="F75" s="40"/>
      <c r="G75" s="51"/>
      <c r="H75" s="13"/>
      <c r="I75" s="15"/>
      <c r="J75" s="15"/>
      <c r="K75" s="13"/>
      <c r="L75" s="13"/>
      <c r="M75" s="13"/>
      <c r="N75" s="13"/>
      <c r="O75" s="13"/>
      <c r="P75" s="13"/>
      <c r="Q75" s="13"/>
      <c r="R75" s="13"/>
      <c r="S75" s="113"/>
      <c r="T75" s="64"/>
      <c r="U75" s="103"/>
      <c r="V75" s="13"/>
      <c r="W75" s="22"/>
    </row>
    <row r="76" spans="1:23" x14ac:dyDescent="0.3">
      <c r="A76" s="75"/>
      <c r="B76" s="12"/>
      <c r="C76" s="75"/>
      <c r="D76" s="13"/>
      <c r="E76" s="38"/>
      <c r="F76" s="40"/>
      <c r="G76" s="51"/>
      <c r="H76" s="13"/>
      <c r="I76" s="15"/>
      <c r="J76" s="15"/>
      <c r="K76" s="13"/>
      <c r="L76" s="13"/>
      <c r="M76" s="13"/>
      <c r="N76" s="13"/>
      <c r="O76" s="13"/>
      <c r="P76" s="13"/>
      <c r="Q76" s="13"/>
      <c r="R76" s="13"/>
      <c r="S76" s="113"/>
      <c r="T76" s="64"/>
      <c r="U76" s="103"/>
      <c r="V76" s="13"/>
      <c r="W76" s="22"/>
    </row>
    <row r="77" spans="1:23" x14ac:dyDescent="0.3">
      <c r="A77" s="75"/>
      <c r="B77" s="12"/>
      <c r="C77" s="75"/>
      <c r="D77" s="13"/>
      <c r="E77" s="38"/>
      <c r="F77" s="40"/>
      <c r="G77" s="51"/>
      <c r="H77" s="13"/>
      <c r="I77" s="15"/>
      <c r="J77" s="15"/>
      <c r="K77" s="13"/>
      <c r="L77" s="13"/>
      <c r="M77" s="13"/>
      <c r="N77" s="13"/>
      <c r="O77" s="13"/>
      <c r="P77" s="13"/>
      <c r="Q77" s="13"/>
      <c r="R77" s="13"/>
      <c r="S77" s="113"/>
      <c r="T77" s="64"/>
      <c r="U77" s="103"/>
      <c r="V77" s="13"/>
      <c r="W77" s="22"/>
    </row>
    <row r="78" spans="1:23" x14ac:dyDescent="0.3">
      <c r="A78" s="75"/>
      <c r="B78" s="12"/>
      <c r="C78" s="75"/>
      <c r="D78" s="13"/>
      <c r="E78" s="38"/>
      <c r="F78" s="40"/>
      <c r="G78" s="51"/>
      <c r="H78" s="13"/>
      <c r="I78" s="15"/>
      <c r="J78" s="15"/>
      <c r="K78" s="13"/>
      <c r="L78" s="13"/>
      <c r="M78" s="13"/>
      <c r="N78" s="13"/>
      <c r="O78" s="13"/>
      <c r="P78" s="13"/>
      <c r="Q78" s="13"/>
      <c r="R78" s="13"/>
      <c r="S78" s="113"/>
      <c r="T78" s="64"/>
      <c r="U78" s="103"/>
      <c r="V78" s="13"/>
      <c r="W78" s="13"/>
    </row>
    <row r="79" spans="1:23" x14ac:dyDescent="0.3">
      <c r="A79" s="75"/>
      <c r="B79" s="12"/>
      <c r="C79" s="75"/>
      <c r="D79" s="13"/>
      <c r="E79" s="38"/>
      <c r="F79" s="40"/>
      <c r="G79" s="51"/>
      <c r="H79" s="13"/>
      <c r="I79" s="15"/>
      <c r="J79" s="15"/>
      <c r="K79" s="13"/>
      <c r="L79" s="13"/>
      <c r="M79" s="13"/>
      <c r="N79" s="13"/>
      <c r="O79" s="13"/>
      <c r="P79" s="13"/>
      <c r="Q79" s="13"/>
      <c r="R79" s="13"/>
      <c r="S79" s="113"/>
      <c r="T79" s="64"/>
      <c r="U79" s="103"/>
      <c r="V79" s="13"/>
      <c r="W79" s="13"/>
    </row>
  </sheetData>
  <mergeCells count="2">
    <mergeCell ref="A8:P8"/>
    <mergeCell ref="Q8:W8"/>
  </mergeCells>
  <conditionalFormatting sqref="U9">
    <cfRule type="cellIs" dxfId="22" priority="14" operator="between">
      <formula>6</formula>
      <formula>10</formula>
    </cfRule>
    <cfRule type="cellIs" dxfId="21" priority="15" operator="between">
      <formula>1</formula>
      <formula>5</formula>
    </cfRule>
  </conditionalFormatting>
  <conditionalFormatting sqref="U9">
    <cfRule type="cellIs" dxfId="20" priority="13" operator="between">
      <formula>11</formula>
      <formula>30</formula>
    </cfRule>
  </conditionalFormatting>
  <dataValidations count="3">
    <dataValidation type="list" allowBlank="1" showInputMessage="1" showErrorMessage="1" sqref="L10:N79" xr:uid="{2AC852F6-EC2B-4C73-90F0-057B9F034A57}">
      <formula1>"Sim,Não"</formula1>
    </dataValidation>
    <dataValidation type="list" allowBlank="1" showInputMessage="1" showErrorMessage="1" sqref="K10:K79" xr:uid="{632D638E-F3B6-4BCE-9525-1A867118CFE9}">
      <formula1>"Legado,Novo"</formula1>
    </dataValidation>
    <dataValidation type="list" allowBlank="1" showInputMessage="1" showErrorMessage="1" sqref="D10:D79" xr:uid="{827DF728-F431-46A7-9F89-0AA601C80110}">
      <formula1>"Sim, Não"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2ACEA-BF82-405E-835E-EE3EA84CDEC7}">
  <sheetPr codeName="Planilha17"/>
  <dimension ref="A5:W79"/>
  <sheetViews>
    <sheetView showGridLines="0" topLeftCell="K1" zoomScale="70" zoomScaleNormal="70" workbookViewId="0">
      <selection activeCell="A10" sqref="A10:V79"/>
    </sheetView>
  </sheetViews>
  <sheetFormatPr defaultRowHeight="14.4" x14ac:dyDescent="0.3"/>
  <cols>
    <col min="1" max="1" width="22.88671875" style="18" bestFit="1" customWidth="1"/>
    <col min="2" max="2" width="21.5546875" bestFit="1" customWidth="1"/>
    <col min="3" max="3" width="27.33203125" bestFit="1" customWidth="1"/>
    <col min="4" max="4" width="14.44140625" customWidth="1"/>
    <col min="5" max="5" width="59.33203125" style="18" bestFit="1" customWidth="1"/>
    <col min="6" max="6" width="18.109375" bestFit="1" customWidth="1"/>
    <col min="7" max="7" width="17.44140625" bestFit="1" customWidth="1"/>
    <col min="8" max="8" width="38.88671875" bestFit="1" customWidth="1"/>
    <col min="9" max="9" width="16" customWidth="1"/>
    <col min="10" max="10" width="15.33203125" bestFit="1" customWidth="1"/>
    <col min="11" max="11" width="21" bestFit="1" customWidth="1"/>
    <col min="12" max="12" width="11.5546875" bestFit="1" customWidth="1"/>
    <col min="13" max="13" width="13.44140625" bestFit="1" customWidth="1"/>
    <col min="14" max="14" width="13.44140625" customWidth="1"/>
    <col min="15" max="15" width="32.88671875" bestFit="1" customWidth="1"/>
    <col min="16" max="16" width="36.44140625" bestFit="1" customWidth="1"/>
    <col min="17" max="17" width="18.33203125" bestFit="1" customWidth="1"/>
    <col min="18" max="18" width="23" bestFit="1" customWidth="1"/>
    <col min="19" max="19" width="30" bestFit="1" customWidth="1"/>
    <col min="20" max="20" width="29.33203125" bestFit="1" customWidth="1"/>
    <col min="21" max="21" width="15" bestFit="1" customWidth="1"/>
    <col min="22" max="22" width="30" bestFit="1" customWidth="1"/>
    <col min="23" max="23" width="10.44140625" customWidth="1"/>
  </cols>
  <sheetData>
    <row r="5" spans="1:23" x14ac:dyDescent="0.3">
      <c r="T5" s="66"/>
    </row>
    <row r="6" spans="1:23" ht="18" customHeight="1" x14ac:dyDescent="0.3">
      <c r="C6" s="17"/>
      <c r="D6" s="104"/>
      <c r="U6" s="17">
        <f ca="1">TODAY()</f>
        <v>44543</v>
      </c>
    </row>
    <row r="7" spans="1:23" s="8" customFormat="1" ht="3.75" customHeight="1" thickBot="1" x14ac:dyDescent="0.35">
      <c r="A7" s="20"/>
      <c r="E7" s="20"/>
    </row>
    <row r="8" spans="1:23" ht="15" thickBot="1" x14ac:dyDescent="0.35">
      <c r="A8" s="123" t="s">
        <v>62</v>
      </c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4"/>
      <c r="Q8" s="125" t="s">
        <v>63</v>
      </c>
      <c r="R8" s="126"/>
      <c r="S8" s="126"/>
      <c r="T8" s="126"/>
      <c r="U8" s="126"/>
      <c r="V8" s="126"/>
      <c r="W8" s="126"/>
    </row>
    <row r="9" spans="1:23" ht="28.8" x14ac:dyDescent="0.3">
      <c r="A9" s="77" t="s">
        <v>1</v>
      </c>
      <c r="B9" s="78" t="s">
        <v>2</v>
      </c>
      <c r="C9" s="79" t="s">
        <v>3</v>
      </c>
      <c r="D9" s="79" t="s">
        <v>4</v>
      </c>
      <c r="E9" s="80" t="s">
        <v>5</v>
      </c>
      <c r="F9" s="81" t="s">
        <v>64</v>
      </c>
      <c r="G9" s="80" t="s">
        <v>6</v>
      </c>
      <c r="H9" s="82" t="s">
        <v>7</v>
      </c>
      <c r="I9" s="83" t="s">
        <v>8</v>
      </c>
      <c r="J9" s="84" t="s">
        <v>9</v>
      </c>
      <c r="K9" s="85" t="s">
        <v>10</v>
      </c>
      <c r="L9" s="79" t="s">
        <v>11</v>
      </c>
      <c r="M9" s="79" t="s">
        <v>12</v>
      </c>
      <c r="N9" s="79" t="s">
        <v>13</v>
      </c>
      <c r="O9" s="79" t="s">
        <v>14</v>
      </c>
      <c r="P9" s="79" t="s">
        <v>15</v>
      </c>
      <c r="Q9" s="79" t="s">
        <v>16</v>
      </c>
      <c r="R9" s="79" t="s">
        <v>17</v>
      </c>
      <c r="S9" s="79" t="s">
        <v>18</v>
      </c>
      <c r="T9" s="81" t="s">
        <v>19</v>
      </c>
      <c r="U9" s="86" t="s">
        <v>20</v>
      </c>
      <c r="V9" s="79" t="s">
        <v>21</v>
      </c>
      <c r="W9" s="77" t="s">
        <v>0</v>
      </c>
    </row>
    <row r="10" spans="1:23" s="89" customFormat="1" x14ac:dyDescent="0.3">
      <c r="A10" s="75"/>
      <c r="B10" s="12"/>
      <c r="C10" s="75"/>
      <c r="D10" s="13"/>
      <c r="E10" s="38"/>
      <c r="F10" s="40"/>
      <c r="G10" s="51"/>
      <c r="H10" s="13"/>
      <c r="I10" s="15"/>
      <c r="J10" s="15"/>
      <c r="K10" s="13"/>
      <c r="L10" s="13"/>
      <c r="M10" s="13"/>
      <c r="N10" s="13"/>
      <c r="O10" s="13"/>
      <c r="P10" s="13"/>
      <c r="Q10" s="13"/>
      <c r="R10" s="13"/>
      <c r="S10" s="113"/>
      <c r="T10" s="64"/>
      <c r="U10" s="103"/>
      <c r="V10" s="13"/>
      <c r="W10" s="90" t="s">
        <v>53</v>
      </c>
    </row>
    <row r="11" spans="1:23" x14ac:dyDescent="0.3">
      <c r="A11" s="75"/>
      <c r="B11" s="12"/>
      <c r="C11" s="75"/>
      <c r="D11" s="13"/>
      <c r="E11" s="38"/>
      <c r="F11" s="40"/>
      <c r="G11" s="51"/>
      <c r="H11" s="13"/>
      <c r="I11" s="15"/>
      <c r="J11" s="15"/>
      <c r="K11" s="13"/>
      <c r="L11" s="13"/>
      <c r="M11" s="13"/>
      <c r="N11" s="13"/>
      <c r="O11" s="13"/>
      <c r="P11" s="13"/>
      <c r="Q11" s="13"/>
      <c r="R11" s="13"/>
      <c r="S11" s="113"/>
      <c r="T11" s="64"/>
      <c r="U11" s="103"/>
      <c r="V11" s="13"/>
      <c r="W11" s="90" t="s">
        <v>53</v>
      </c>
    </row>
    <row r="12" spans="1:23" x14ac:dyDescent="0.3">
      <c r="A12" s="75"/>
      <c r="B12" s="12"/>
      <c r="C12" s="75"/>
      <c r="D12" s="13"/>
      <c r="E12" s="38"/>
      <c r="F12" s="40"/>
      <c r="G12" s="51"/>
      <c r="H12" s="13"/>
      <c r="I12" s="15"/>
      <c r="J12" s="15"/>
      <c r="K12" s="13"/>
      <c r="L12" s="13"/>
      <c r="M12" s="13"/>
      <c r="N12" s="13"/>
      <c r="O12" s="13"/>
      <c r="P12" s="13"/>
      <c r="Q12" s="13"/>
      <c r="R12" s="13"/>
      <c r="S12" s="113"/>
      <c r="T12" s="64"/>
      <c r="U12" s="103"/>
      <c r="V12" s="13"/>
      <c r="W12" s="90" t="s">
        <v>53</v>
      </c>
    </row>
    <row r="13" spans="1:23" x14ac:dyDescent="0.3">
      <c r="A13" s="75"/>
      <c r="B13" s="12"/>
      <c r="C13" s="75"/>
      <c r="D13" s="13"/>
      <c r="E13" s="38"/>
      <c r="F13" s="40"/>
      <c r="G13" s="51"/>
      <c r="H13" s="13"/>
      <c r="I13" s="15"/>
      <c r="J13" s="15"/>
      <c r="K13" s="13"/>
      <c r="L13" s="13"/>
      <c r="M13" s="13"/>
      <c r="N13" s="13"/>
      <c r="O13" s="13"/>
      <c r="P13" s="13"/>
      <c r="Q13" s="13"/>
      <c r="R13" s="13"/>
      <c r="S13" s="113"/>
      <c r="T13" s="64"/>
      <c r="U13" s="103"/>
      <c r="V13" s="13"/>
      <c r="W13" s="90" t="s">
        <v>53</v>
      </c>
    </row>
    <row r="14" spans="1:23" x14ac:dyDescent="0.3">
      <c r="A14" s="75"/>
      <c r="B14" s="12"/>
      <c r="C14" s="75"/>
      <c r="D14" s="13"/>
      <c r="E14" s="38"/>
      <c r="F14" s="40"/>
      <c r="G14" s="51"/>
      <c r="H14" s="13"/>
      <c r="I14" s="15"/>
      <c r="J14" s="15"/>
      <c r="K14" s="13"/>
      <c r="L14" s="13"/>
      <c r="M14" s="13"/>
      <c r="N14" s="13"/>
      <c r="O14" s="13"/>
      <c r="P14" s="13"/>
      <c r="Q14" s="13"/>
      <c r="R14" s="13"/>
      <c r="S14" s="113"/>
      <c r="T14" s="64"/>
      <c r="U14" s="103"/>
      <c r="V14" s="13"/>
      <c r="W14" s="90" t="s">
        <v>53</v>
      </c>
    </row>
    <row r="15" spans="1:23" x14ac:dyDescent="0.3">
      <c r="A15" s="75"/>
      <c r="B15" s="12"/>
      <c r="C15" s="75"/>
      <c r="D15" s="13"/>
      <c r="E15" s="38"/>
      <c r="F15" s="40"/>
      <c r="G15" s="51"/>
      <c r="H15" s="13"/>
      <c r="I15" s="15"/>
      <c r="J15" s="15"/>
      <c r="K15" s="13"/>
      <c r="L15" s="13"/>
      <c r="M15" s="13"/>
      <c r="N15" s="13"/>
      <c r="O15" s="13"/>
      <c r="P15" s="13"/>
      <c r="Q15" s="13"/>
      <c r="R15" s="13"/>
      <c r="S15" s="113"/>
      <c r="T15" s="64"/>
      <c r="U15" s="103"/>
      <c r="V15" s="13"/>
      <c r="W15" s="90" t="s">
        <v>53</v>
      </c>
    </row>
    <row r="16" spans="1:23" x14ac:dyDescent="0.3">
      <c r="A16" s="75"/>
      <c r="B16" s="12"/>
      <c r="C16" s="75"/>
      <c r="D16" s="13"/>
      <c r="E16" s="38"/>
      <c r="F16" s="40"/>
      <c r="G16" s="51"/>
      <c r="H16" s="13"/>
      <c r="I16" s="15"/>
      <c r="J16" s="15"/>
      <c r="K16" s="13"/>
      <c r="L16" s="13"/>
      <c r="M16" s="13"/>
      <c r="N16" s="13"/>
      <c r="O16" s="13"/>
      <c r="P16" s="13"/>
      <c r="Q16" s="13"/>
      <c r="R16" s="13"/>
      <c r="S16" s="113"/>
      <c r="T16" s="64"/>
      <c r="U16" s="103"/>
      <c r="V16" s="13"/>
      <c r="W16" s="90" t="s">
        <v>53</v>
      </c>
    </row>
    <row r="17" spans="1:23" x14ac:dyDescent="0.3">
      <c r="A17" s="75"/>
      <c r="B17" s="12"/>
      <c r="C17" s="75"/>
      <c r="D17" s="13"/>
      <c r="E17" s="38"/>
      <c r="F17" s="40"/>
      <c r="G17" s="51"/>
      <c r="H17" s="13"/>
      <c r="I17" s="15"/>
      <c r="J17" s="15"/>
      <c r="K17" s="13"/>
      <c r="L17" s="13"/>
      <c r="M17" s="13"/>
      <c r="N17" s="13"/>
      <c r="O17" s="13"/>
      <c r="P17" s="13"/>
      <c r="Q17" s="13"/>
      <c r="R17" s="13"/>
      <c r="S17" s="113"/>
      <c r="T17" s="64"/>
      <c r="U17" s="103"/>
      <c r="V17" s="13"/>
      <c r="W17" s="90" t="s">
        <v>53</v>
      </c>
    </row>
    <row r="18" spans="1:23" x14ac:dyDescent="0.3">
      <c r="A18" s="75"/>
      <c r="B18" s="12"/>
      <c r="C18" s="75"/>
      <c r="D18" s="13"/>
      <c r="E18" s="38"/>
      <c r="F18" s="40"/>
      <c r="G18" s="51"/>
      <c r="H18" s="13"/>
      <c r="I18" s="15"/>
      <c r="J18" s="15"/>
      <c r="K18" s="13"/>
      <c r="L18" s="13"/>
      <c r="M18" s="13"/>
      <c r="N18" s="13"/>
      <c r="O18" s="13"/>
      <c r="P18" s="13"/>
      <c r="Q18" s="13"/>
      <c r="R18" s="13"/>
      <c r="S18" s="113"/>
      <c r="T18" s="64"/>
      <c r="U18" s="103"/>
      <c r="V18" s="13"/>
      <c r="W18" s="90" t="s">
        <v>53</v>
      </c>
    </row>
    <row r="19" spans="1:23" x14ac:dyDescent="0.3">
      <c r="A19" s="75"/>
      <c r="B19" s="12"/>
      <c r="C19" s="75"/>
      <c r="D19" s="13"/>
      <c r="E19" s="38"/>
      <c r="F19" s="40"/>
      <c r="G19" s="51"/>
      <c r="H19" s="13"/>
      <c r="I19" s="15"/>
      <c r="J19" s="15"/>
      <c r="K19" s="13"/>
      <c r="L19" s="13"/>
      <c r="M19" s="13"/>
      <c r="N19" s="13"/>
      <c r="O19" s="13"/>
      <c r="P19" s="13"/>
      <c r="Q19" s="13"/>
      <c r="R19" s="13"/>
      <c r="S19" s="113"/>
      <c r="T19" s="64"/>
      <c r="U19" s="103"/>
      <c r="V19" s="13"/>
      <c r="W19" s="90" t="s">
        <v>53</v>
      </c>
    </row>
    <row r="20" spans="1:23" x14ac:dyDescent="0.3">
      <c r="A20" s="75"/>
      <c r="B20" s="12"/>
      <c r="C20" s="75"/>
      <c r="D20" s="13"/>
      <c r="E20" s="38"/>
      <c r="F20" s="40"/>
      <c r="G20" s="51"/>
      <c r="H20" s="13"/>
      <c r="I20" s="15"/>
      <c r="J20" s="15"/>
      <c r="K20" s="13"/>
      <c r="L20" s="13"/>
      <c r="M20" s="13"/>
      <c r="N20" s="13"/>
      <c r="O20" s="13"/>
      <c r="P20" s="13"/>
      <c r="Q20" s="13"/>
      <c r="R20" s="13"/>
      <c r="S20" s="113"/>
      <c r="T20" s="64"/>
      <c r="U20" s="103"/>
      <c r="V20" s="13"/>
      <c r="W20" s="90" t="s">
        <v>53</v>
      </c>
    </row>
    <row r="21" spans="1:23" x14ac:dyDescent="0.3">
      <c r="A21" s="75"/>
      <c r="B21" s="12"/>
      <c r="C21" s="75"/>
      <c r="D21" s="13"/>
      <c r="E21" s="38"/>
      <c r="F21" s="40"/>
      <c r="G21" s="51"/>
      <c r="H21" s="13"/>
      <c r="I21" s="15"/>
      <c r="J21" s="15"/>
      <c r="K21" s="13"/>
      <c r="L21" s="13"/>
      <c r="M21" s="13"/>
      <c r="N21" s="13"/>
      <c r="O21" s="13"/>
      <c r="P21" s="13"/>
      <c r="Q21" s="13"/>
      <c r="R21" s="13"/>
      <c r="S21" s="113"/>
      <c r="T21" s="64"/>
      <c r="U21" s="103"/>
      <c r="V21" s="13"/>
      <c r="W21" s="90" t="s">
        <v>53</v>
      </c>
    </row>
    <row r="22" spans="1:23" x14ac:dyDescent="0.3">
      <c r="A22" s="75"/>
      <c r="B22" s="12"/>
      <c r="C22" s="75"/>
      <c r="D22" s="13"/>
      <c r="E22" s="38"/>
      <c r="F22" s="40"/>
      <c r="G22" s="51"/>
      <c r="H22" s="13"/>
      <c r="I22" s="15"/>
      <c r="J22" s="15"/>
      <c r="K22" s="13"/>
      <c r="L22" s="13"/>
      <c r="M22" s="13"/>
      <c r="N22" s="13"/>
      <c r="O22" s="13"/>
      <c r="P22" s="13"/>
      <c r="Q22" s="13"/>
      <c r="R22" s="13"/>
      <c r="S22" s="113"/>
      <c r="T22" s="64"/>
      <c r="U22" s="103"/>
      <c r="V22" s="13"/>
      <c r="W22" s="90" t="s">
        <v>53</v>
      </c>
    </row>
    <row r="23" spans="1:23" x14ac:dyDescent="0.3">
      <c r="A23" s="75"/>
      <c r="B23" s="12"/>
      <c r="C23" s="75"/>
      <c r="D23" s="13"/>
      <c r="E23" s="38"/>
      <c r="F23" s="40"/>
      <c r="G23" s="51"/>
      <c r="H23" s="13"/>
      <c r="I23" s="15"/>
      <c r="J23" s="15"/>
      <c r="K23" s="13"/>
      <c r="L23" s="13"/>
      <c r="M23" s="13"/>
      <c r="N23" s="13"/>
      <c r="O23" s="13"/>
      <c r="P23" s="13"/>
      <c r="Q23" s="13"/>
      <c r="R23" s="13"/>
      <c r="S23" s="113"/>
      <c r="T23" s="64"/>
      <c r="U23" s="103"/>
      <c r="V23" s="13"/>
      <c r="W23" s="90" t="s">
        <v>53</v>
      </c>
    </row>
    <row r="24" spans="1:23" x14ac:dyDescent="0.3">
      <c r="A24" s="75"/>
      <c r="B24" s="12"/>
      <c r="C24" s="75"/>
      <c r="D24" s="13"/>
      <c r="E24" s="38"/>
      <c r="F24" s="40"/>
      <c r="G24" s="51"/>
      <c r="H24" s="13"/>
      <c r="I24" s="15"/>
      <c r="J24" s="15"/>
      <c r="K24" s="13"/>
      <c r="L24" s="13"/>
      <c r="M24" s="13"/>
      <c r="N24" s="13"/>
      <c r="O24" s="13"/>
      <c r="P24" s="13"/>
      <c r="Q24" s="13"/>
      <c r="R24" s="13"/>
      <c r="S24" s="113"/>
      <c r="T24" s="64"/>
      <c r="U24" s="103"/>
      <c r="V24" s="13"/>
      <c r="W24" s="90" t="s">
        <v>53</v>
      </c>
    </row>
    <row r="25" spans="1:23" x14ac:dyDescent="0.3">
      <c r="A25" s="75"/>
      <c r="B25" s="12"/>
      <c r="C25" s="75"/>
      <c r="D25" s="13"/>
      <c r="E25" s="38"/>
      <c r="F25" s="40"/>
      <c r="G25" s="51"/>
      <c r="H25" s="13"/>
      <c r="I25" s="15"/>
      <c r="J25" s="15"/>
      <c r="K25" s="13"/>
      <c r="L25" s="13"/>
      <c r="M25" s="13"/>
      <c r="N25" s="13"/>
      <c r="O25" s="13"/>
      <c r="P25" s="13"/>
      <c r="Q25" s="13"/>
      <c r="R25" s="13"/>
      <c r="S25" s="113"/>
      <c r="T25" s="64"/>
      <c r="U25" s="103"/>
      <c r="V25" s="13"/>
      <c r="W25" s="90" t="s">
        <v>53</v>
      </c>
    </row>
    <row r="26" spans="1:23" x14ac:dyDescent="0.3">
      <c r="A26" s="75"/>
      <c r="B26" s="12"/>
      <c r="C26" s="75"/>
      <c r="D26" s="13"/>
      <c r="E26" s="38"/>
      <c r="F26" s="40"/>
      <c r="G26" s="51"/>
      <c r="H26" s="13"/>
      <c r="I26" s="15"/>
      <c r="J26" s="15"/>
      <c r="K26" s="13"/>
      <c r="L26" s="13"/>
      <c r="M26" s="13"/>
      <c r="N26" s="13"/>
      <c r="O26" s="13"/>
      <c r="P26" s="13"/>
      <c r="Q26" s="13"/>
      <c r="R26" s="13"/>
      <c r="S26" s="113"/>
      <c r="T26" s="64"/>
      <c r="U26" s="103"/>
      <c r="V26" s="13"/>
      <c r="W26" s="90" t="s">
        <v>53</v>
      </c>
    </row>
    <row r="27" spans="1:23" x14ac:dyDescent="0.3">
      <c r="A27" s="75"/>
      <c r="B27" s="12"/>
      <c r="C27" s="75"/>
      <c r="D27" s="13"/>
      <c r="E27" s="38"/>
      <c r="F27" s="40"/>
      <c r="G27" s="51"/>
      <c r="H27" s="13"/>
      <c r="I27" s="15"/>
      <c r="J27" s="15"/>
      <c r="K27" s="13"/>
      <c r="L27" s="13"/>
      <c r="M27" s="13"/>
      <c r="N27" s="13"/>
      <c r="O27" s="13"/>
      <c r="P27" s="13"/>
      <c r="Q27" s="13"/>
      <c r="R27" s="13"/>
      <c r="S27" s="113"/>
      <c r="T27" s="64"/>
      <c r="U27" s="103"/>
      <c r="V27" s="13"/>
      <c r="W27" s="90" t="s">
        <v>53</v>
      </c>
    </row>
    <row r="28" spans="1:23" x14ac:dyDescent="0.3">
      <c r="A28" s="75"/>
      <c r="B28" s="12"/>
      <c r="C28" s="75"/>
      <c r="D28" s="13"/>
      <c r="E28" s="38"/>
      <c r="F28" s="40"/>
      <c r="G28" s="51"/>
      <c r="H28" s="13"/>
      <c r="I28" s="15"/>
      <c r="J28" s="15"/>
      <c r="K28" s="13"/>
      <c r="L28" s="13"/>
      <c r="M28" s="13"/>
      <c r="N28" s="13"/>
      <c r="O28" s="13"/>
      <c r="P28" s="13"/>
      <c r="Q28" s="13"/>
      <c r="R28" s="13"/>
      <c r="S28" s="113"/>
      <c r="T28" s="64"/>
      <c r="U28" s="103"/>
      <c r="V28" s="13"/>
      <c r="W28" s="90" t="s">
        <v>53</v>
      </c>
    </row>
    <row r="29" spans="1:23" x14ac:dyDescent="0.3">
      <c r="A29" s="75"/>
      <c r="B29" s="12"/>
      <c r="C29" s="75"/>
      <c r="D29" s="13"/>
      <c r="E29" s="38"/>
      <c r="F29" s="40"/>
      <c r="G29" s="51"/>
      <c r="H29" s="13"/>
      <c r="I29" s="15"/>
      <c r="J29" s="15"/>
      <c r="K29" s="13"/>
      <c r="L29" s="13"/>
      <c r="M29" s="13"/>
      <c r="N29" s="13"/>
      <c r="O29" s="13"/>
      <c r="P29" s="13"/>
      <c r="Q29" s="13"/>
      <c r="R29" s="13"/>
      <c r="S29" s="113"/>
      <c r="T29" s="64"/>
      <c r="U29" s="103"/>
      <c r="V29" s="13"/>
      <c r="W29" s="90" t="s">
        <v>53</v>
      </c>
    </row>
    <row r="30" spans="1:23" x14ac:dyDescent="0.3">
      <c r="A30" s="75"/>
      <c r="B30" s="12"/>
      <c r="C30" s="75"/>
      <c r="D30" s="13"/>
      <c r="E30" s="38"/>
      <c r="F30" s="40"/>
      <c r="G30" s="51"/>
      <c r="H30" s="13"/>
      <c r="I30" s="15"/>
      <c r="J30" s="15"/>
      <c r="K30" s="13"/>
      <c r="L30" s="13"/>
      <c r="M30" s="13"/>
      <c r="N30" s="13"/>
      <c r="O30" s="13"/>
      <c r="P30" s="13"/>
      <c r="Q30" s="13"/>
      <c r="R30" s="13"/>
      <c r="S30" s="113"/>
      <c r="T30" s="64"/>
      <c r="U30" s="103"/>
      <c r="V30" s="13"/>
      <c r="W30" s="90" t="s">
        <v>53</v>
      </c>
    </row>
    <row r="31" spans="1:23" x14ac:dyDescent="0.3">
      <c r="A31" s="75"/>
      <c r="B31" s="12"/>
      <c r="C31" s="75"/>
      <c r="D31" s="13"/>
      <c r="E31" s="38"/>
      <c r="F31" s="40"/>
      <c r="G31" s="51"/>
      <c r="H31" s="13"/>
      <c r="I31" s="15"/>
      <c r="J31" s="15"/>
      <c r="K31" s="13"/>
      <c r="L31" s="13"/>
      <c r="M31" s="13"/>
      <c r="N31" s="13"/>
      <c r="O31" s="13"/>
      <c r="P31" s="13"/>
      <c r="Q31" s="13"/>
      <c r="R31" s="13"/>
      <c r="S31" s="113"/>
      <c r="T31" s="64"/>
      <c r="U31" s="103"/>
      <c r="V31" s="13"/>
      <c r="W31" s="90" t="s">
        <v>53</v>
      </c>
    </row>
    <row r="32" spans="1:23" x14ac:dyDescent="0.3">
      <c r="A32" s="75"/>
      <c r="B32" s="12"/>
      <c r="C32" s="75"/>
      <c r="D32" s="13"/>
      <c r="E32" s="38"/>
      <c r="F32" s="40"/>
      <c r="G32" s="51"/>
      <c r="H32" s="13"/>
      <c r="I32" s="15"/>
      <c r="J32" s="15"/>
      <c r="K32" s="13"/>
      <c r="L32" s="13"/>
      <c r="M32" s="13"/>
      <c r="N32" s="13"/>
      <c r="O32" s="13"/>
      <c r="P32" s="13"/>
      <c r="Q32" s="13"/>
      <c r="R32" s="13"/>
      <c r="S32" s="113"/>
      <c r="T32" s="64"/>
      <c r="U32" s="103"/>
      <c r="V32" s="13"/>
      <c r="W32" s="90" t="s">
        <v>53</v>
      </c>
    </row>
    <row r="33" spans="1:23" x14ac:dyDescent="0.3">
      <c r="A33" s="75"/>
      <c r="B33" s="12"/>
      <c r="C33" s="75"/>
      <c r="D33" s="13"/>
      <c r="E33" s="38"/>
      <c r="F33" s="40"/>
      <c r="G33" s="51"/>
      <c r="H33" s="13"/>
      <c r="I33" s="15"/>
      <c r="J33" s="15"/>
      <c r="K33" s="13"/>
      <c r="L33" s="13"/>
      <c r="M33" s="13"/>
      <c r="N33" s="13"/>
      <c r="O33" s="13"/>
      <c r="P33" s="13"/>
      <c r="Q33" s="13"/>
      <c r="R33" s="13"/>
      <c r="S33" s="113"/>
      <c r="T33" s="64"/>
      <c r="U33" s="103"/>
      <c r="V33" s="13"/>
      <c r="W33" s="90" t="s">
        <v>53</v>
      </c>
    </row>
    <row r="34" spans="1:23" x14ac:dyDescent="0.3">
      <c r="A34" s="75"/>
      <c r="B34" s="12"/>
      <c r="C34" s="75"/>
      <c r="D34" s="13"/>
      <c r="E34" s="38"/>
      <c r="F34" s="40"/>
      <c r="G34" s="51"/>
      <c r="H34" s="13"/>
      <c r="I34" s="15"/>
      <c r="J34" s="15"/>
      <c r="K34" s="13"/>
      <c r="L34" s="13"/>
      <c r="M34" s="13"/>
      <c r="N34" s="13"/>
      <c r="O34" s="13"/>
      <c r="P34" s="13"/>
      <c r="Q34" s="13"/>
      <c r="R34" s="13"/>
      <c r="S34" s="113"/>
      <c r="T34" s="64"/>
      <c r="U34" s="103"/>
      <c r="V34" s="13"/>
      <c r="W34" s="90" t="s">
        <v>53</v>
      </c>
    </row>
    <row r="35" spans="1:23" x14ac:dyDescent="0.3">
      <c r="A35" s="75"/>
      <c r="B35" s="12"/>
      <c r="C35" s="75"/>
      <c r="D35" s="13"/>
      <c r="E35" s="38"/>
      <c r="F35" s="40"/>
      <c r="G35" s="51"/>
      <c r="H35" s="13"/>
      <c r="I35" s="15"/>
      <c r="J35" s="15"/>
      <c r="K35" s="13"/>
      <c r="L35" s="13"/>
      <c r="M35" s="13"/>
      <c r="N35" s="13"/>
      <c r="O35" s="13"/>
      <c r="P35" s="13"/>
      <c r="Q35" s="13"/>
      <c r="R35" s="13"/>
      <c r="S35" s="113"/>
      <c r="T35" s="64"/>
      <c r="U35" s="103"/>
      <c r="V35" s="13"/>
      <c r="W35" s="90" t="s">
        <v>53</v>
      </c>
    </row>
    <row r="36" spans="1:23" x14ac:dyDescent="0.3">
      <c r="A36" s="75"/>
      <c r="B36" s="12"/>
      <c r="C36" s="75"/>
      <c r="D36" s="13"/>
      <c r="E36" s="38"/>
      <c r="F36" s="40"/>
      <c r="G36" s="51"/>
      <c r="H36" s="13"/>
      <c r="I36" s="15"/>
      <c r="J36" s="15"/>
      <c r="K36" s="13"/>
      <c r="L36" s="13"/>
      <c r="M36" s="13"/>
      <c r="N36" s="13"/>
      <c r="O36" s="13"/>
      <c r="P36" s="13"/>
      <c r="Q36" s="13"/>
      <c r="R36" s="13"/>
      <c r="S36" s="113"/>
      <c r="T36" s="64"/>
      <c r="U36" s="103"/>
      <c r="V36" s="13"/>
      <c r="W36" s="90" t="s">
        <v>53</v>
      </c>
    </row>
    <row r="37" spans="1:23" x14ac:dyDescent="0.3">
      <c r="A37" s="75"/>
      <c r="B37" s="12"/>
      <c r="C37" s="75"/>
      <c r="D37" s="13"/>
      <c r="E37" s="38"/>
      <c r="F37" s="40"/>
      <c r="G37" s="51"/>
      <c r="H37" s="13"/>
      <c r="I37" s="15"/>
      <c r="J37" s="15"/>
      <c r="K37" s="13"/>
      <c r="L37" s="13"/>
      <c r="M37" s="13"/>
      <c r="N37" s="13"/>
      <c r="O37" s="13"/>
      <c r="P37" s="13"/>
      <c r="Q37" s="13"/>
      <c r="R37" s="13"/>
      <c r="S37" s="113"/>
      <c r="T37" s="64"/>
      <c r="U37" s="103"/>
      <c r="V37" s="13"/>
      <c r="W37" s="90" t="s">
        <v>53</v>
      </c>
    </row>
    <row r="38" spans="1:23" x14ac:dyDescent="0.3">
      <c r="A38" s="75"/>
      <c r="B38" s="12"/>
      <c r="C38" s="75"/>
      <c r="D38" s="13"/>
      <c r="E38" s="38"/>
      <c r="F38" s="40"/>
      <c r="G38" s="51"/>
      <c r="H38" s="13"/>
      <c r="I38" s="15"/>
      <c r="J38" s="15"/>
      <c r="K38" s="13"/>
      <c r="L38" s="13"/>
      <c r="M38" s="13"/>
      <c r="N38" s="13"/>
      <c r="O38" s="13"/>
      <c r="P38" s="13"/>
      <c r="Q38" s="13"/>
      <c r="R38" s="13"/>
      <c r="S38" s="113"/>
      <c r="T38" s="64"/>
      <c r="U38" s="103"/>
      <c r="V38" s="13"/>
      <c r="W38" s="90" t="s">
        <v>53</v>
      </c>
    </row>
    <row r="39" spans="1:23" x14ac:dyDescent="0.3">
      <c r="A39" s="75"/>
      <c r="B39" s="12"/>
      <c r="C39" s="75"/>
      <c r="D39" s="13"/>
      <c r="E39" s="38"/>
      <c r="F39" s="40"/>
      <c r="G39" s="51"/>
      <c r="H39" s="13"/>
      <c r="I39" s="15"/>
      <c r="J39" s="15"/>
      <c r="K39" s="13"/>
      <c r="L39" s="13"/>
      <c r="M39" s="13"/>
      <c r="N39" s="13"/>
      <c r="O39" s="13"/>
      <c r="P39" s="13"/>
      <c r="Q39" s="13"/>
      <c r="R39" s="13"/>
      <c r="S39" s="113"/>
      <c r="T39" s="64"/>
      <c r="U39" s="103"/>
      <c r="V39" s="13"/>
      <c r="W39" s="90" t="s">
        <v>53</v>
      </c>
    </row>
    <row r="40" spans="1:23" x14ac:dyDescent="0.3">
      <c r="A40" s="75"/>
      <c r="B40" s="12"/>
      <c r="C40" s="75"/>
      <c r="D40" s="13"/>
      <c r="E40" s="38"/>
      <c r="F40" s="40"/>
      <c r="G40" s="51"/>
      <c r="H40" s="13"/>
      <c r="I40" s="15"/>
      <c r="J40" s="15"/>
      <c r="K40" s="13"/>
      <c r="L40" s="13"/>
      <c r="M40" s="13"/>
      <c r="N40" s="13"/>
      <c r="O40" s="13"/>
      <c r="P40" s="13"/>
      <c r="Q40" s="13"/>
      <c r="R40" s="13"/>
      <c r="S40" s="113"/>
      <c r="T40" s="64"/>
      <c r="U40" s="103"/>
      <c r="V40" s="13"/>
      <c r="W40" s="90" t="s">
        <v>53</v>
      </c>
    </row>
    <row r="41" spans="1:23" x14ac:dyDescent="0.3">
      <c r="A41" s="75"/>
      <c r="B41" s="12"/>
      <c r="C41" s="75"/>
      <c r="D41" s="13"/>
      <c r="E41" s="38"/>
      <c r="F41" s="40"/>
      <c r="G41" s="51"/>
      <c r="H41" s="13"/>
      <c r="I41" s="15"/>
      <c r="J41" s="15"/>
      <c r="K41" s="13"/>
      <c r="L41" s="13"/>
      <c r="M41" s="13"/>
      <c r="N41" s="13"/>
      <c r="O41" s="13"/>
      <c r="P41" s="13"/>
      <c r="Q41" s="13"/>
      <c r="R41" s="13"/>
      <c r="S41" s="113"/>
      <c r="T41" s="64"/>
      <c r="U41" s="103"/>
      <c r="V41" s="13"/>
      <c r="W41" s="90" t="s">
        <v>53</v>
      </c>
    </row>
    <row r="42" spans="1:23" x14ac:dyDescent="0.3">
      <c r="A42" s="75"/>
      <c r="B42" s="12"/>
      <c r="C42" s="75"/>
      <c r="D42" s="13"/>
      <c r="E42" s="38"/>
      <c r="F42" s="40"/>
      <c r="G42" s="51"/>
      <c r="H42" s="13"/>
      <c r="I42" s="15"/>
      <c r="J42" s="15"/>
      <c r="K42" s="13"/>
      <c r="L42" s="13"/>
      <c r="M42" s="13"/>
      <c r="N42" s="13"/>
      <c r="O42" s="13"/>
      <c r="P42" s="13"/>
      <c r="Q42" s="13"/>
      <c r="R42" s="13"/>
      <c r="S42" s="113"/>
      <c r="T42" s="64"/>
      <c r="U42" s="103"/>
      <c r="V42" s="13"/>
      <c r="W42" s="90" t="s">
        <v>53</v>
      </c>
    </row>
    <row r="43" spans="1:23" x14ac:dyDescent="0.3">
      <c r="A43" s="75"/>
      <c r="B43" s="12"/>
      <c r="C43" s="75"/>
      <c r="D43" s="13"/>
      <c r="E43" s="38"/>
      <c r="F43" s="40"/>
      <c r="G43" s="51"/>
      <c r="H43" s="13"/>
      <c r="I43" s="15"/>
      <c r="J43" s="15"/>
      <c r="K43" s="13"/>
      <c r="L43" s="13"/>
      <c r="M43" s="13"/>
      <c r="N43" s="13"/>
      <c r="O43" s="13"/>
      <c r="P43" s="13"/>
      <c r="Q43" s="13"/>
      <c r="R43" s="13"/>
      <c r="S43" s="113"/>
      <c r="T43" s="64"/>
      <c r="U43" s="103"/>
      <c r="V43" s="13"/>
      <c r="W43" s="90" t="s">
        <v>53</v>
      </c>
    </row>
    <row r="44" spans="1:23" x14ac:dyDescent="0.3">
      <c r="A44" s="75"/>
      <c r="B44" s="12"/>
      <c r="C44" s="75"/>
      <c r="D44" s="13"/>
      <c r="E44" s="38"/>
      <c r="F44" s="40"/>
      <c r="G44" s="51"/>
      <c r="H44" s="13"/>
      <c r="I44" s="15"/>
      <c r="J44" s="15"/>
      <c r="K44" s="13"/>
      <c r="L44" s="13"/>
      <c r="M44" s="13"/>
      <c r="N44" s="13"/>
      <c r="O44" s="13"/>
      <c r="P44" s="13"/>
      <c r="Q44" s="13"/>
      <c r="R44" s="13"/>
      <c r="S44" s="113"/>
      <c r="T44" s="64"/>
      <c r="U44" s="103"/>
      <c r="V44" s="13"/>
      <c r="W44" s="90" t="s">
        <v>53</v>
      </c>
    </row>
    <row r="45" spans="1:23" x14ac:dyDescent="0.3">
      <c r="A45" s="75"/>
      <c r="B45" s="12"/>
      <c r="C45" s="75"/>
      <c r="D45" s="13"/>
      <c r="E45" s="38"/>
      <c r="F45" s="40"/>
      <c r="G45" s="51"/>
      <c r="H45" s="13"/>
      <c r="I45" s="15"/>
      <c r="J45" s="15"/>
      <c r="K45" s="13"/>
      <c r="L45" s="13"/>
      <c r="M45" s="13"/>
      <c r="N45" s="13"/>
      <c r="O45" s="13"/>
      <c r="P45" s="13"/>
      <c r="Q45" s="13"/>
      <c r="R45" s="13"/>
      <c r="S45" s="113"/>
      <c r="T45" s="64"/>
      <c r="U45" s="103"/>
      <c r="V45" s="13"/>
      <c r="W45" s="90" t="s">
        <v>53</v>
      </c>
    </row>
    <row r="46" spans="1:23" x14ac:dyDescent="0.3">
      <c r="A46" s="75"/>
      <c r="B46" s="12"/>
      <c r="C46" s="75"/>
      <c r="D46" s="13"/>
      <c r="E46" s="38"/>
      <c r="F46" s="40"/>
      <c r="G46" s="51"/>
      <c r="H46" s="13"/>
      <c r="I46" s="15"/>
      <c r="J46" s="15"/>
      <c r="K46" s="13"/>
      <c r="L46" s="13"/>
      <c r="M46" s="13"/>
      <c r="N46" s="13"/>
      <c r="O46" s="13"/>
      <c r="P46" s="13"/>
      <c r="Q46" s="13"/>
      <c r="R46" s="13"/>
      <c r="S46" s="113"/>
      <c r="T46" s="64"/>
      <c r="U46" s="103"/>
      <c r="V46" s="13"/>
      <c r="W46" s="90" t="s">
        <v>53</v>
      </c>
    </row>
    <row r="47" spans="1:23" x14ac:dyDescent="0.3">
      <c r="A47" s="75"/>
      <c r="B47" s="12"/>
      <c r="C47" s="75"/>
      <c r="D47" s="13"/>
      <c r="E47" s="38"/>
      <c r="F47" s="40"/>
      <c r="G47" s="51"/>
      <c r="H47" s="13"/>
      <c r="I47" s="15"/>
      <c r="J47" s="15"/>
      <c r="K47" s="13"/>
      <c r="L47" s="13"/>
      <c r="M47" s="13"/>
      <c r="N47" s="13"/>
      <c r="O47" s="13"/>
      <c r="P47" s="13"/>
      <c r="Q47" s="13"/>
      <c r="R47" s="13"/>
      <c r="S47" s="113"/>
      <c r="T47" s="64"/>
      <c r="U47" s="103"/>
      <c r="V47" s="13"/>
      <c r="W47" s="90" t="s">
        <v>53</v>
      </c>
    </row>
    <row r="48" spans="1:23" x14ac:dyDescent="0.3">
      <c r="A48" s="75"/>
      <c r="B48" s="12"/>
      <c r="C48" s="75"/>
      <c r="D48" s="13"/>
      <c r="E48" s="38"/>
      <c r="F48" s="40"/>
      <c r="G48" s="51"/>
      <c r="H48" s="13"/>
      <c r="I48" s="15"/>
      <c r="J48" s="15"/>
      <c r="K48" s="13"/>
      <c r="L48" s="13"/>
      <c r="M48" s="13"/>
      <c r="N48" s="13"/>
      <c r="O48" s="13"/>
      <c r="P48" s="13"/>
      <c r="Q48" s="13"/>
      <c r="R48" s="13"/>
      <c r="S48" s="113"/>
      <c r="T48" s="64"/>
      <c r="U48" s="103"/>
      <c r="V48" s="13"/>
      <c r="W48" s="90" t="s">
        <v>53</v>
      </c>
    </row>
    <row r="49" spans="1:23" x14ac:dyDescent="0.3">
      <c r="A49" s="75"/>
      <c r="B49" s="12"/>
      <c r="C49" s="75"/>
      <c r="D49" s="13"/>
      <c r="E49" s="38"/>
      <c r="F49" s="40"/>
      <c r="G49" s="51"/>
      <c r="H49" s="13"/>
      <c r="I49" s="15"/>
      <c r="J49" s="15"/>
      <c r="K49" s="13"/>
      <c r="L49" s="13"/>
      <c r="M49" s="13"/>
      <c r="N49" s="13"/>
      <c r="O49" s="13"/>
      <c r="P49" s="13"/>
      <c r="Q49" s="13"/>
      <c r="R49" s="13"/>
      <c r="S49" s="113"/>
      <c r="T49" s="64"/>
      <c r="U49" s="103"/>
      <c r="V49" s="13"/>
      <c r="W49" s="90" t="s">
        <v>53</v>
      </c>
    </row>
    <row r="50" spans="1:23" x14ac:dyDescent="0.3">
      <c r="A50" s="75"/>
      <c r="B50" s="12"/>
      <c r="C50" s="75"/>
      <c r="D50" s="13"/>
      <c r="E50" s="38"/>
      <c r="F50" s="40"/>
      <c r="G50" s="51"/>
      <c r="H50" s="13"/>
      <c r="I50" s="15"/>
      <c r="J50" s="15"/>
      <c r="K50" s="13"/>
      <c r="L50" s="13"/>
      <c r="M50" s="13"/>
      <c r="N50" s="13"/>
      <c r="O50" s="13"/>
      <c r="P50" s="13"/>
      <c r="Q50" s="13"/>
      <c r="R50" s="13"/>
      <c r="S50" s="113"/>
      <c r="T50" s="64"/>
      <c r="U50" s="103"/>
      <c r="V50" s="13"/>
      <c r="W50" s="90" t="s">
        <v>53</v>
      </c>
    </row>
    <row r="51" spans="1:23" x14ac:dyDescent="0.3">
      <c r="A51" s="75"/>
      <c r="B51" s="12"/>
      <c r="C51" s="75"/>
      <c r="D51" s="13"/>
      <c r="E51" s="38"/>
      <c r="F51" s="40"/>
      <c r="G51" s="51"/>
      <c r="H51" s="13"/>
      <c r="I51" s="15"/>
      <c r="J51" s="15"/>
      <c r="K51" s="13"/>
      <c r="L51" s="13"/>
      <c r="M51" s="13"/>
      <c r="N51" s="13"/>
      <c r="O51" s="13"/>
      <c r="P51" s="13"/>
      <c r="Q51" s="13"/>
      <c r="R51" s="13"/>
      <c r="S51" s="113"/>
      <c r="T51" s="64"/>
      <c r="U51" s="103"/>
      <c r="V51" s="13"/>
      <c r="W51" s="90" t="s">
        <v>53</v>
      </c>
    </row>
    <row r="52" spans="1:23" x14ac:dyDescent="0.3">
      <c r="A52" s="75"/>
      <c r="B52" s="12"/>
      <c r="C52" s="75"/>
      <c r="D52" s="13"/>
      <c r="E52" s="38"/>
      <c r="F52" s="40"/>
      <c r="G52" s="51"/>
      <c r="H52" s="13"/>
      <c r="I52" s="15"/>
      <c r="J52" s="15"/>
      <c r="K52" s="13"/>
      <c r="L52" s="13"/>
      <c r="M52" s="13"/>
      <c r="N52" s="13"/>
      <c r="O52" s="13"/>
      <c r="P52" s="13"/>
      <c r="Q52" s="13"/>
      <c r="R52" s="13"/>
      <c r="S52" s="113"/>
      <c r="T52" s="64"/>
      <c r="U52" s="103"/>
      <c r="V52" s="13"/>
      <c r="W52" s="90" t="s">
        <v>53</v>
      </c>
    </row>
    <row r="53" spans="1:23" x14ac:dyDescent="0.3">
      <c r="A53" s="75"/>
      <c r="B53" s="12"/>
      <c r="C53" s="75"/>
      <c r="D53" s="13"/>
      <c r="E53" s="38"/>
      <c r="F53" s="40"/>
      <c r="G53" s="51"/>
      <c r="H53" s="13"/>
      <c r="I53" s="15"/>
      <c r="J53" s="15"/>
      <c r="K53" s="13"/>
      <c r="L53" s="13"/>
      <c r="M53" s="13"/>
      <c r="N53" s="13"/>
      <c r="O53" s="13"/>
      <c r="P53" s="13"/>
      <c r="Q53" s="13"/>
      <c r="R53" s="13"/>
      <c r="S53" s="113"/>
      <c r="T53" s="64"/>
      <c r="U53" s="103"/>
      <c r="V53" s="13"/>
      <c r="W53" s="90" t="s">
        <v>53</v>
      </c>
    </row>
    <row r="54" spans="1:23" x14ac:dyDescent="0.3">
      <c r="A54" s="75"/>
      <c r="B54" s="12"/>
      <c r="C54" s="75"/>
      <c r="D54" s="13"/>
      <c r="E54" s="38"/>
      <c r="F54" s="40"/>
      <c r="G54" s="51"/>
      <c r="H54" s="13"/>
      <c r="I54" s="15"/>
      <c r="J54" s="15"/>
      <c r="K54" s="13"/>
      <c r="L54" s="13"/>
      <c r="M54" s="13"/>
      <c r="N54" s="13"/>
      <c r="O54" s="13"/>
      <c r="P54" s="13"/>
      <c r="Q54" s="13"/>
      <c r="R54" s="13"/>
      <c r="S54" s="113"/>
      <c r="T54" s="64"/>
      <c r="U54" s="103"/>
      <c r="V54" s="13"/>
      <c r="W54" s="90" t="s">
        <v>53</v>
      </c>
    </row>
    <row r="55" spans="1:23" x14ac:dyDescent="0.3">
      <c r="A55" s="75"/>
      <c r="B55" s="12"/>
      <c r="C55" s="75"/>
      <c r="D55" s="13"/>
      <c r="E55" s="38"/>
      <c r="F55" s="40"/>
      <c r="G55" s="51"/>
      <c r="H55" s="13"/>
      <c r="I55" s="15"/>
      <c r="J55" s="15"/>
      <c r="K55" s="13"/>
      <c r="L55" s="13"/>
      <c r="M55" s="13"/>
      <c r="N55" s="13"/>
      <c r="O55" s="13"/>
      <c r="P55" s="13"/>
      <c r="Q55" s="13"/>
      <c r="R55" s="13"/>
      <c r="S55" s="113"/>
      <c r="T55" s="64"/>
      <c r="U55" s="103"/>
      <c r="V55" s="13"/>
      <c r="W55" s="90" t="s">
        <v>53</v>
      </c>
    </row>
    <row r="56" spans="1:23" x14ac:dyDescent="0.3">
      <c r="A56" s="75"/>
      <c r="B56" s="12"/>
      <c r="C56" s="75"/>
      <c r="D56" s="13"/>
      <c r="E56" s="38"/>
      <c r="F56" s="40"/>
      <c r="G56" s="51"/>
      <c r="H56" s="13"/>
      <c r="I56" s="15"/>
      <c r="J56" s="15"/>
      <c r="K56" s="13"/>
      <c r="L56" s="13"/>
      <c r="M56" s="13"/>
      <c r="N56" s="13"/>
      <c r="O56" s="13"/>
      <c r="P56" s="13"/>
      <c r="Q56" s="13"/>
      <c r="R56" s="13"/>
      <c r="S56" s="113"/>
      <c r="T56" s="64"/>
      <c r="U56" s="103"/>
      <c r="V56" s="13"/>
      <c r="W56" s="90" t="s">
        <v>53</v>
      </c>
    </row>
    <row r="57" spans="1:23" x14ac:dyDescent="0.3">
      <c r="A57" s="75"/>
      <c r="B57" s="12"/>
      <c r="C57" s="75"/>
      <c r="D57" s="13"/>
      <c r="E57" s="38"/>
      <c r="F57" s="40"/>
      <c r="G57" s="51"/>
      <c r="H57" s="13"/>
      <c r="I57" s="15"/>
      <c r="J57" s="15"/>
      <c r="K57" s="13"/>
      <c r="L57" s="13"/>
      <c r="M57" s="13"/>
      <c r="N57" s="13"/>
      <c r="O57" s="13"/>
      <c r="P57" s="13"/>
      <c r="Q57" s="13"/>
      <c r="R57" s="13"/>
      <c r="S57" s="113"/>
      <c r="T57" s="64"/>
      <c r="U57" s="103"/>
      <c r="V57" s="13"/>
      <c r="W57" s="90" t="s">
        <v>53</v>
      </c>
    </row>
    <row r="58" spans="1:23" x14ac:dyDescent="0.3">
      <c r="A58" s="75"/>
      <c r="B58" s="12"/>
      <c r="C58" s="75"/>
      <c r="D58" s="13"/>
      <c r="E58" s="38"/>
      <c r="F58" s="40"/>
      <c r="G58" s="51"/>
      <c r="H58" s="13"/>
      <c r="I58" s="15"/>
      <c r="J58" s="15"/>
      <c r="K58" s="13"/>
      <c r="L58" s="13"/>
      <c r="M58" s="13"/>
      <c r="N58" s="13"/>
      <c r="O58" s="13"/>
      <c r="P58" s="13"/>
      <c r="Q58" s="13"/>
      <c r="R58" s="13"/>
      <c r="S58" s="113"/>
      <c r="T58" s="64"/>
      <c r="U58" s="103"/>
      <c r="V58" s="13"/>
      <c r="W58" s="90" t="s">
        <v>53</v>
      </c>
    </row>
    <row r="59" spans="1:23" x14ac:dyDescent="0.3">
      <c r="A59" s="75"/>
      <c r="B59" s="12"/>
      <c r="C59" s="75"/>
      <c r="D59" s="13"/>
      <c r="E59" s="38"/>
      <c r="F59" s="40"/>
      <c r="G59" s="51"/>
      <c r="H59" s="13"/>
      <c r="I59" s="15"/>
      <c r="J59" s="15"/>
      <c r="K59" s="13"/>
      <c r="L59" s="13"/>
      <c r="M59" s="13"/>
      <c r="N59" s="13"/>
      <c r="O59" s="13"/>
      <c r="P59" s="13"/>
      <c r="Q59" s="13"/>
      <c r="R59" s="13"/>
      <c r="S59" s="113"/>
      <c r="T59" s="64"/>
      <c r="U59" s="103"/>
      <c r="V59" s="13"/>
      <c r="W59" s="90" t="s">
        <v>53</v>
      </c>
    </row>
    <row r="60" spans="1:23" x14ac:dyDescent="0.3">
      <c r="A60" s="75"/>
      <c r="B60" s="12"/>
      <c r="C60" s="75"/>
      <c r="D60" s="13"/>
      <c r="E60" s="38"/>
      <c r="F60" s="40"/>
      <c r="G60" s="51"/>
      <c r="H60" s="13"/>
      <c r="I60" s="15"/>
      <c r="J60" s="15"/>
      <c r="K60" s="13"/>
      <c r="L60" s="13"/>
      <c r="M60" s="13"/>
      <c r="N60" s="13"/>
      <c r="O60" s="13"/>
      <c r="P60" s="13"/>
      <c r="Q60" s="13"/>
      <c r="R60" s="13"/>
      <c r="S60" s="113"/>
      <c r="T60" s="64"/>
      <c r="U60" s="103"/>
      <c r="V60" s="13"/>
      <c r="W60" s="90" t="s">
        <v>53</v>
      </c>
    </row>
    <row r="61" spans="1:23" x14ac:dyDescent="0.3">
      <c r="A61" s="75"/>
      <c r="B61" s="12"/>
      <c r="C61" s="75"/>
      <c r="D61" s="13"/>
      <c r="E61" s="38"/>
      <c r="F61" s="40"/>
      <c r="G61" s="51"/>
      <c r="H61" s="13"/>
      <c r="I61" s="15"/>
      <c r="J61" s="15"/>
      <c r="K61" s="13"/>
      <c r="L61" s="13"/>
      <c r="M61" s="13"/>
      <c r="N61" s="13"/>
      <c r="O61" s="13"/>
      <c r="P61" s="13"/>
      <c r="Q61" s="13"/>
      <c r="R61" s="13"/>
      <c r="S61" s="113"/>
      <c r="T61" s="64"/>
      <c r="U61" s="103"/>
      <c r="V61" s="13"/>
      <c r="W61" s="90" t="s">
        <v>53</v>
      </c>
    </row>
    <row r="62" spans="1:23" x14ac:dyDescent="0.3">
      <c r="A62" s="75"/>
      <c r="B62" s="12"/>
      <c r="C62" s="75"/>
      <c r="D62" s="13"/>
      <c r="E62" s="38"/>
      <c r="F62" s="40"/>
      <c r="G62" s="51"/>
      <c r="H62" s="13"/>
      <c r="I62" s="15"/>
      <c r="J62" s="15"/>
      <c r="K62" s="13"/>
      <c r="L62" s="13"/>
      <c r="M62" s="13"/>
      <c r="N62" s="13"/>
      <c r="O62" s="13"/>
      <c r="P62" s="13"/>
      <c r="Q62" s="13"/>
      <c r="R62" s="13"/>
      <c r="S62" s="113"/>
      <c r="T62" s="64"/>
      <c r="U62" s="103"/>
      <c r="V62" s="13"/>
      <c r="W62" s="90" t="s">
        <v>53</v>
      </c>
    </row>
    <row r="63" spans="1:23" x14ac:dyDescent="0.3">
      <c r="A63" s="75"/>
      <c r="B63" s="12"/>
      <c r="C63" s="75"/>
      <c r="D63" s="13"/>
      <c r="E63" s="38"/>
      <c r="F63" s="40"/>
      <c r="G63" s="51"/>
      <c r="H63" s="13"/>
      <c r="I63" s="15"/>
      <c r="J63" s="15"/>
      <c r="K63" s="13"/>
      <c r="L63" s="13"/>
      <c r="M63" s="13"/>
      <c r="N63" s="13"/>
      <c r="O63" s="13"/>
      <c r="P63" s="13"/>
      <c r="Q63" s="13"/>
      <c r="R63" s="13"/>
      <c r="S63" s="113"/>
      <c r="T63" s="64"/>
      <c r="U63" s="103"/>
      <c r="V63" s="13"/>
      <c r="W63" s="90" t="s">
        <v>53</v>
      </c>
    </row>
    <row r="64" spans="1:23" x14ac:dyDescent="0.3">
      <c r="A64" s="75"/>
      <c r="B64" s="12"/>
      <c r="C64" s="75"/>
      <c r="D64" s="13"/>
      <c r="E64" s="38"/>
      <c r="F64" s="40"/>
      <c r="G64" s="51"/>
      <c r="H64" s="13"/>
      <c r="I64" s="15"/>
      <c r="J64" s="15"/>
      <c r="K64" s="13"/>
      <c r="L64" s="13"/>
      <c r="M64" s="13"/>
      <c r="N64" s="13"/>
      <c r="O64" s="13"/>
      <c r="P64" s="13"/>
      <c r="Q64" s="13"/>
      <c r="R64" s="13"/>
      <c r="S64" s="113"/>
      <c r="T64" s="64"/>
      <c r="U64" s="103"/>
      <c r="V64" s="13"/>
      <c r="W64" s="90" t="s">
        <v>53</v>
      </c>
    </row>
    <row r="65" spans="1:23" x14ac:dyDescent="0.3">
      <c r="A65" s="75"/>
      <c r="B65" s="12"/>
      <c r="C65" s="75"/>
      <c r="D65" s="13"/>
      <c r="E65" s="38"/>
      <c r="F65" s="40"/>
      <c r="G65" s="51"/>
      <c r="H65" s="13"/>
      <c r="I65" s="15"/>
      <c r="J65" s="15"/>
      <c r="K65" s="13"/>
      <c r="L65" s="13"/>
      <c r="M65" s="13"/>
      <c r="N65" s="13"/>
      <c r="O65" s="13"/>
      <c r="P65" s="13"/>
      <c r="Q65" s="13"/>
      <c r="R65" s="13"/>
      <c r="S65" s="113"/>
      <c r="T65" s="64"/>
      <c r="U65" s="103"/>
      <c r="V65" s="13"/>
      <c r="W65" s="90" t="s">
        <v>53</v>
      </c>
    </row>
    <row r="66" spans="1:23" x14ac:dyDescent="0.3">
      <c r="A66" s="75"/>
      <c r="B66" s="12"/>
      <c r="C66" s="75"/>
      <c r="D66" s="13"/>
      <c r="E66" s="38"/>
      <c r="F66" s="40"/>
      <c r="G66" s="51"/>
      <c r="H66" s="13"/>
      <c r="I66" s="15"/>
      <c r="J66" s="15"/>
      <c r="K66" s="13"/>
      <c r="L66" s="13"/>
      <c r="M66" s="13"/>
      <c r="N66" s="13"/>
      <c r="O66" s="13"/>
      <c r="P66" s="13"/>
      <c r="Q66" s="13"/>
      <c r="R66" s="13"/>
      <c r="S66" s="113"/>
      <c r="T66" s="64"/>
      <c r="U66" s="103"/>
      <c r="V66" s="13"/>
      <c r="W66" s="90" t="s">
        <v>53</v>
      </c>
    </row>
    <row r="67" spans="1:23" x14ac:dyDescent="0.3">
      <c r="A67" s="75"/>
      <c r="B67" s="12"/>
      <c r="C67" s="75"/>
      <c r="D67" s="13"/>
      <c r="E67" s="38"/>
      <c r="F67" s="40"/>
      <c r="G67" s="51"/>
      <c r="H67" s="13"/>
      <c r="I67" s="15"/>
      <c r="J67" s="15"/>
      <c r="K67" s="13"/>
      <c r="L67" s="13"/>
      <c r="M67" s="13"/>
      <c r="N67" s="13"/>
      <c r="O67" s="13"/>
      <c r="P67" s="13"/>
      <c r="Q67" s="13"/>
      <c r="R67" s="13"/>
      <c r="S67" s="113"/>
      <c r="T67" s="64"/>
      <c r="U67" s="103"/>
      <c r="V67" s="13"/>
      <c r="W67" s="90" t="s">
        <v>53</v>
      </c>
    </row>
    <row r="68" spans="1:23" x14ac:dyDescent="0.3">
      <c r="A68" s="75"/>
      <c r="B68" s="12"/>
      <c r="C68" s="75"/>
      <c r="D68" s="13"/>
      <c r="E68" s="38"/>
      <c r="F68" s="40"/>
      <c r="G68" s="51"/>
      <c r="H68" s="13"/>
      <c r="I68" s="15"/>
      <c r="J68" s="15"/>
      <c r="K68" s="13"/>
      <c r="L68" s="13"/>
      <c r="M68" s="13"/>
      <c r="N68" s="13"/>
      <c r="O68" s="13"/>
      <c r="P68" s="13"/>
      <c r="Q68" s="13"/>
      <c r="R68" s="13"/>
      <c r="S68" s="113"/>
      <c r="T68" s="64"/>
      <c r="U68" s="103"/>
      <c r="V68" s="13"/>
      <c r="W68" s="90" t="s">
        <v>53</v>
      </c>
    </row>
    <row r="69" spans="1:23" x14ac:dyDescent="0.3">
      <c r="A69" s="75"/>
      <c r="B69" s="12"/>
      <c r="C69" s="75"/>
      <c r="D69" s="13"/>
      <c r="E69" s="38"/>
      <c r="F69" s="40"/>
      <c r="G69" s="51"/>
      <c r="H69" s="13"/>
      <c r="I69" s="15"/>
      <c r="J69" s="15"/>
      <c r="K69" s="13"/>
      <c r="L69" s="13"/>
      <c r="M69" s="13"/>
      <c r="N69" s="13"/>
      <c r="O69" s="13"/>
      <c r="P69" s="13"/>
      <c r="Q69" s="13"/>
      <c r="R69" s="13"/>
      <c r="S69" s="113"/>
      <c r="T69" s="64"/>
      <c r="U69" s="103"/>
      <c r="V69" s="13"/>
      <c r="W69" s="90" t="s">
        <v>53</v>
      </c>
    </row>
    <row r="70" spans="1:23" x14ac:dyDescent="0.3">
      <c r="A70" s="75"/>
      <c r="B70" s="12"/>
      <c r="C70" s="75"/>
      <c r="D70" s="13"/>
      <c r="E70" s="38"/>
      <c r="F70" s="40"/>
      <c r="G70" s="51"/>
      <c r="H70" s="13"/>
      <c r="I70" s="15"/>
      <c r="J70" s="15"/>
      <c r="K70" s="13"/>
      <c r="L70" s="13"/>
      <c r="M70" s="13"/>
      <c r="N70" s="13"/>
      <c r="O70" s="13"/>
      <c r="P70" s="13"/>
      <c r="Q70" s="13"/>
      <c r="R70" s="13"/>
      <c r="S70" s="113"/>
      <c r="T70" s="64"/>
      <c r="U70" s="103"/>
      <c r="V70" s="13"/>
      <c r="W70" s="90" t="s">
        <v>53</v>
      </c>
    </row>
    <row r="71" spans="1:23" x14ac:dyDescent="0.3">
      <c r="A71" s="75"/>
      <c r="B71" s="12"/>
      <c r="C71" s="75"/>
      <c r="D71" s="13"/>
      <c r="E71" s="38"/>
      <c r="F71" s="40"/>
      <c r="G71" s="51"/>
      <c r="H71" s="13"/>
      <c r="I71" s="15"/>
      <c r="J71" s="15"/>
      <c r="K71" s="13"/>
      <c r="L71" s="13"/>
      <c r="M71" s="13"/>
      <c r="N71" s="13"/>
      <c r="O71" s="13"/>
      <c r="P71" s="13"/>
      <c r="Q71" s="13"/>
      <c r="R71" s="13"/>
      <c r="S71" s="113"/>
      <c r="T71" s="64"/>
      <c r="U71" s="103"/>
      <c r="V71" s="13"/>
      <c r="W71" s="90" t="s">
        <v>53</v>
      </c>
    </row>
    <row r="72" spans="1:23" x14ac:dyDescent="0.3">
      <c r="A72" s="75"/>
      <c r="B72" s="12"/>
      <c r="C72" s="75"/>
      <c r="D72" s="13"/>
      <c r="E72" s="38"/>
      <c r="F72" s="40"/>
      <c r="G72" s="51"/>
      <c r="H72" s="13"/>
      <c r="I72" s="15"/>
      <c r="J72" s="15"/>
      <c r="K72" s="13"/>
      <c r="L72" s="13"/>
      <c r="M72" s="13"/>
      <c r="N72" s="13"/>
      <c r="O72" s="13"/>
      <c r="P72" s="13"/>
      <c r="Q72" s="13"/>
      <c r="R72" s="13"/>
      <c r="S72" s="113"/>
      <c r="T72" s="64"/>
      <c r="U72" s="103"/>
      <c r="V72" s="13"/>
      <c r="W72" s="90" t="s">
        <v>53</v>
      </c>
    </row>
    <row r="73" spans="1:23" x14ac:dyDescent="0.3">
      <c r="A73" s="75"/>
      <c r="B73" s="12"/>
      <c r="C73" s="75"/>
      <c r="D73" s="13"/>
      <c r="E73" s="38"/>
      <c r="F73" s="40"/>
      <c r="G73" s="51"/>
      <c r="H73" s="13"/>
      <c r="I73" s="15"/>
      <c r="J73" s="15"/>
      <c r="K73" s="13"/>
      <c r="L73" s="13"/>
      <c r="M73" s="13"/>
      <c r="N73" s="13"/>
      <c r="O73" s="13"/>
      <c r="P73" s="13"/>
      <c r="Q73" s="13"/>
      <c r="R73" s="13"/>
      <c r="S73" s="113"/>
      <c r="T73" s="64"/>
      <c r="U73" s="103"/>
      <c r="V73" s="13"/>
      <c r="W73" s="90" t="s">
        <v>53</v>
      </c>
    </row>
    <row r="74" spans="1:23" x14ac:dyDescent="0.3">
      <c r="A74" s="75"/>
      <c r="B74" s="12"/>
      <c r="C74" s="75"/>
      <c r="D74" s="13"/>
      <c r="E74" s="38"/>
      <c r="F74" s="40"/>
      <c r="G74" s="51"/>
      <c r="H74" s="13"/>
      <c r="I74" s="15"/>
      <c r="J74" s="15"/>
      <c r="K74" s="13"/>
      <c r="L74" s="13"/>
      <c r="M74" s="13"/>
      <c r="N74" s="13"/>
      <c r="O74" s="13"/>
      <c r="P74" s="13"/>
      <c r="Q74" s="13"/>
      <c r="R74" s="13"/>
      <c r="S74" s="113"/>
      <c r="T74" s="64"/>
      <c r="U74" s="103"/>
      <c r="V74" s="13"/>
      <c r="W74" s="22"/>
    </row>
    <row r="75" spans="1:23" x14ac:dyDescent="0.3">
      <c r="A75" s="75"/>
      <c r="B75" s="12"/>
      <c r="C75" s="75"/>
      <c r="D75" s="13"/>
      <c r="E75" s="38"/>
      <c r="F75" s="40"/>
      <c r="G75" s="51"/>
      <c r="H75" s="13"/>
      <c r="I75" s="15"/>
      <c r="J75" s="15"/>
      <c r="K75" s="13"/>
      <c r="L75" s="13"/>
      <c r="M75" s="13"/>
      <c r="N75" s="13"/>
      <c r="O75" s="13"/>
      <c r="P75" s="13"/>
      <c r="Q75" s="13"/>
      <c r="R75" s="13"/>
      <c r="S75" s="113"/>
      <c r="T75" s="64"/>
      <c r="U75" s="103"/>
      <c r="V75" s="13"/>
      <c r="W75" s="22"/>
    </row>
    <row r="76" spans="1:23" x14ac:dyDescent="0.3">
      <c r="A76" s="75"/>
      <c r="B76" s="12"/>
      <c r="C76" s="75"/>
      <c r="D76" s="13"/>
      <c r="E76" s="38"/>
      <c r="F76" s="40"/>
      <c r="G76" s="51"/>
      <c r="H76" s="13"/>
      <c r="I76" s="15"/>
      <c r="J76" s="15"/>
      <c r="K76" s="13"/>
      <c r="L76" s="13"/>
      <c r="M76" s="13"/>
      <c r="N76" s="13"/>
      <c r="O76" s="13"/>
      <c r="P76" s="13"/>
      <c r="Q76" s="13"/>
      <c r="R76" s="13"/>
      <c r="S76" s="113"/>
      <c r="T76" s="64"/>
      <c r="U76" s="103"/>
      <c r="V76" s="13"/>
      <c r="W76" s="22"/>
    </row>
    <row r="77" spans="1:23" x14ac:dyDescent="0.3">
      <c r="A77" s="75"/>
      <c r="B77" s="12"/>
      <c r="C77" s="75"/>
      <c r="D77" s="13"/>
      <c r="E77" s="38"/>
      <c r="F77" s="40"/>
      <c r="G77" s="51"/>
      <c r="H77" s="13"/>
      <c r="I77" s="15"/>
      <c r="J77" s="15"/>
      <c r="K77" s="13"/>
      <c r="L77" s="13"/>
      <c r="M77" s="13"/>
      <c r="N77" s="13"/>
      <c r="O77" s="13"/>
      <c r="P77" s="13"/>
      <c r="Q77" s="13"/>
      <c r="R77" s="13"/>
      <c r="S77" s="113"/>
      <c r="T77" s="64"/>
      <c r="U77" s="103"/>
      <c r="V77" s="13"/>
      <c r="W77" s="22"/>
    </row>
    <row r="78" spans="1:23" x14ac:dyDescent="0.3">
      <c r="A78" s="75"/>
      <c r="B78" s="12"/>
      <c r="C78" s="75"/>
      <c r="D78" s="13"/>
      <c r="E78" s="38"/>
      <c r="F78" s="40"/>
      <c r="G78" s="51"/>
      <c r="H78" s="13"/>
      <c r="I78" s="15"/>
      <c r="J78" s="15"/>
      <c r="K78" s="13"/>
      <c r="L78" s="13"/>
      <c r="M78" s="13"/>
      <c r="N78" s="13"/>
      <c r="O78" s="13"/>
      <c r="P78" s="13"/>
      <c r="Q78" s="13"/>
      <c r="R78" s="13"/>
      <c r="S78" s="113"/>
      <c r="T78" s="64"/>
      <c r="U78" s="103"/>
      <c r="V78" s="13"/>
      <c r="W78" s="13"/>
    </row>
    <row r="79" spans="1:23" x14ac:dyDescent="0.3">
      <c r="A79" s="75"/>
      <c r="B79" s="12"/>
      <c r="C79" s="75"/>
      <c r="D79" s="13"/>
      <c r="E79" s="38"/>
      <c r="F79" s="40"/>
      <c r="G79" s="51"/>
      <c r="H79" s="13"/>
      <c r="I79" s="15"/>
      <c r="J79" s="15"/>
      <c r="K79" s="13"/>
      <c r="L79" s="13"/>
      <c r="M79" s="13"/>
      <c r="N79" s="13"/>
      <c r="O79" s="13"/>
      <c r="P79" s="13"/>
      <c r="Q79" s="13"/>
      <c r="R79" s="13"/>
      <c r="S79" s="113"/>
      <c r="T79" s="64"/>
      <c r="U79" s="103"/>
      <c r="V79" s="13"/>
      <c r="W79" s="13"/>
    </row>
  </sheetData>
  <mergeCells count="2">
    <mergeCell ref="A8:P8"/>
    <mergeCell ref="Q8:W8"/>
  </mergeCells>
  <conditionalFormatting sqref="U9">
    <cfRule type="cellIs" dxfId="16" priority="14" operator="between">
      <formula>6</formula>
      <formula>10</formula>
    </cfRule>
    <cfRule type="cellIs" dxfId="15" priority="15" operator="between">
      <formula>1</formula>
      <formula>5</formula>
    </cfRule>
  </conditionalFormatting>
  <conditionalFormatting sqref="U9">
    <cfRule type="cellIs" dxfId="14" priority="13" operator="between">
      <formula>11</formula>
      <formula>30</formula>
    </cfRule>
  </conditionalFormatting>
  <dataValidations count="3">
    <dataValidation type="list" allowBlank="1" showInputMessage="1" showErrorMessage="1" sqref="D10:D79" xr:uid="{B642DA62-A1AC-43E2-BE69-514766517367}">
      <formula1>"Sim, Não"</formula1>
    </dataValidation>
    <dataValidation type="list" allowBlank="1" showInputMessage="1" showErrorMessage="1" sqref="K10:K79" xr:uid="{B98A3948-E29C-424B-9173-E746B0D045ED}">
      <formula1>"Legado,Novo"</formula1>
    </dataValidation>
    <dataValidation type="list" allowBlank="1" showInputMessage="1" showErrorMessage="1" sqref="L10:N79" xr:uid="{0B69E2BC-965D-4163-8197-B8959838B5E4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A3B8-FD9D-4A85-A335-81A2A22735A1}">
  <sheetPr codeName="Planilha13">
    <tabColor theme="2"/>
  </sheetPr>
  <dimension ref="A5:W79"/>
  <sheetViews>
    <sheetView showGridLines="0" tabSelected="1" topLeftCell="K1" zoomScale="70" zoomScaleNormal="70" workbookViewId="0">
      <selection activeCell="A10" sqref="A10:V79"/>
    </sheetView>
  </sheetViews>
  <sheetFormatPr defaultRowHeight="14.4" x14ac:dyDescent="0.3"/>
  <cols>
    <col min="1" max="1" width="22.88671875" style="2" bestFit="1" customWidth="1"/>
    <col min="2" max="2" width="21.5546875" bestFit="1" customWidth="1"/>
    <col min="3" max="3" width="27.33203125" bestFit="1" customWidth="1"/>
    <col min="4" max="4" width="14.44140625" customWidth="1"/>
    <col min="5" max="5" width="59.33203125" style="18" bestFit="1" customWidth="1"/>
    <col min="6" max="6" width="18.109375" bestFit="1" customWidth="1"/>
    <col min="7" max="7" width="17.44140625" bestFit="1" customWidth="1"/>
    <col min="8" max="8" width="38.88671875" bestFit="1" customWidth="1"/>
    <col min="9" max="9" width="16" customWidth="1"/>
    <col min="10" max="10" width="15.33203125" bestFit="1" customWidth="1"/>
    <col min="11" max="11" width="21" bestFit="1" customWidth="1"/>
    <col min="12" max="12" width="11.5546875" bestFit="1" customWidth="1"/>
    <col min="13" max="13" width="13.44140625" bestFit="1" customWidth="1"/>
    <col min="14" max="14" width="13.44140625" customWidth="1"/>
    <col min="15" max="15" width="32.88671875" bestFit="1" customWidth="1"/>
    <col min="16" max="16" width="36.44140625" bestFit="1" customWidth="1"/>
    <col min="17" max="17" width="18.33203125" bestFit="1" customWidth="1"/>
    <col min="18" max="18" width="23" bestFit="1" customWidth="1"/>
    <col min="19" max="19" width="30" bestFit="1" customWidth="1"/>
    <col min="20" max="20" width="29.33203125" bestFit="1" customWidth="1"/>
    <col min="21" max="21" width="15" bestFit="1" customWidth="1"/>
    <col min="22" max="22" width="30" bestFit="1" customWidth="1"/>
    <col min="23" max="23" width="11.5546875" customWidth="1"/>
  </cols>
  <sheetData>
    <row r="5" spans="1:23" x14ac:dyDescent="0.3">
      <c r="T5" s="66"/>
    </row>
    <row r="6" spans="1:23" x14ac:dyDescent="0.3">
      <c r="C6" s="17">
        <f ca="1">TODAY()</f>
        <v>44543</v>
      </c>
      <c r="U6" s="17">
        <f ca="1">TODAY()</f>
        <v>44543</v>
      </c>
    </row>
    <row r="7" spans="1:23" s="8" customFormat="1" ht="3.75" customHeight="1" thickBot="1" x14ac:dyDescent="0.35">
      <c r="A7" s="9"/>
      <c r="E7" s="20"/>
    </row>
    <row r="8" spans="1:23" ht="15" thickBot="1" x14ac:dyDescent="0.35">
      <c r="A8" s="123" t="s">
        <v>62</v>
      </c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4"/>
      <c r="Q8" s="125" t="s">
        <v>63</v>
      </c>
      <c r="R8" s="126"/>
      <c r="S8" s="126"/>
      <c r="T8" s="126"/>
      <c r="U8" s="126"/>
      <c r="V8" s="126"/>
      <c r="W8" s="126"/>
    </row>
    <row r="9" spans="1:23" ht="28.8" x14ac:dyDescent="0.3">
      <c r="A9" s="77" t="s">
        <v>1</v>
      </c>
      <c r="B9" s="78" t="s">
        <v>2</v>
      </c>
      <c r="C9" s="79" t="s">
        <v>3</v>
      </c>
      <c r="D9" s="79" t="s">
        <v>4</v>
      </c>
      <c r="E9" s="80" t="s">
        <v>5</v>
      </c>
      <c r="F9" s="81" t="s">
        <v>64</v>
      </c>
      <c r="G9" s="80" t="s">
        <v>6</v>
      </c>
      <c r="H9" s="82" t="s">
        <v>7</v>
      </c>
      <c r="I9" s="83" t="s">
        <v>8</v>
      </c>
      <c r="J9" s="84" t="s">
        <v>9</v>
      </c>
      <c r="K9" s="85" t="s">
        <v>10</v>
      </c>
      <c r="L9" s="79" t="s">
        <v>11</v>
      </c>
      <c r="M9" s="79" t="s">
        <v>12</v>
      </c>
      <c r="N9" s="79" t="s">
        <v>13</v>
      </c>
      <c r="O9" s="79" t="s">
        <v>14</v>
      </c>
      <c r="P9" s="79" t="s">
        <v>15</v>
      </c>
      <c r="Q9" s="79" t="s">
        <v>16</v>
      </c>
      <c r="R9" s="79" t="s">
        <v>17</v>
      </c>
      <c r="S9" s="79" t="s">
        <v>18</v>
      </c>
      <c r="T9" s="81" t="s">
        <v>19</v>
      </c>
      <c r="U9" s="86" t="s">
        <v>20</v>
      </c>
      <c r="V9" s="79" t="s">
        <v>21</v>
      </c>
      <c r="W9" s="77" t="s">
        <v>0</v>
      </c>
    </row>
    <row r="10" spans="1:23" x14ac:dyDescent="0.3">
      <c r="A10" s="75"/>
      <c r="B10" s="12"/>
      <c r="C10" s="75"/>
      <c r="D10" s="13"/>
      <c r="E10" s="38"/>
      <c r="F10" s="40"/>
      <c r="G10" s="51"/>
      <c r="H10" s="13"/>
      <c r="I10" s="15"/>
      <c r="J10" s="15"/>
      <c r="K10" s="13"/>
      <c r="L10" s="13"/>
      <c r="M10" s="13"/>
      <c r="N10" s="13"/>
      <c r="O10" s="13"/>
      <c r="P10" s="13"/>
      <c r="Q10" s="13"/>
      <c r="R10" s="13"/>
      <c r="S10" s="113"/>
      <c r="T10" s="64"/>
      <c r="U10" s="103"/>
      <c r="V10" s="13"/>
      <c r="W10" s="75" t="s">
        <v>54</v>
      </c>
    </row>
    <row r="11" spans="1:23" x14ac:dyDescent="0.3">
      <c r="A11" s="75"/>
      <c r="B11" s="12"/>
      <c r="C11" s="75"/>
      <c r="D11" s="13"/>
      <c r="E11" s="38"/>
      <c r="F11" s="40"/>
      <c r="G11" s="51"/>
      <c r="H11" s="13"/>
      <c r="I11" s="15"/>
      <c r="J11" s="15"/>
      <c r="K11" s="13"/>
      <c r="L11" s="13"/>
      <c r="M11" s="13"/>
      <c r="N11" s="13"/>
      <c r="O11" s="13"/>
      <c r="P11" s="13"/>
      <c r="Q11" s="13"/>
      <c r="R11" s="13"/>
      <c r="S11" s="113"/>
      <c r="T11" s="64"/>
      <c r="U11" s="103"/>
      <c r="V11" s="13"/>
      <c r="W11" s="75" t="s">
        <v>54</v>
      </c>
    </row>
    <row r="12" spans="1:23" x14ac:dyDescent="0.3">
      <c r="A12" s="75"/>
      <c r="B12" s="12"/>
      <c r="C12" s="75"/>
      <c r="D12" s="13"/>
      <c r="E12" s="38"/>
      <c r="F12" s="40"/>
      <c r="G12" s="51"/>
      <c r="H12" s="13"/>
      <c r="I12" s="15"/>
      <c r="J12" s="15"/>
      <c r="K12" s="13"/>
      <c r="L12" s="13"/>
      <c r="M12" s="13"/>
      <c r="N12" s="13"/>
      <c r="O12" s="13"/>
      <c r="P12" s="13"/>
      <c r="Q12" s="13"/>
      <c r="R12" s="13"/>
      <c r="S12" s="113"/>
      <c r="T12" s="64"/>
      <c r="U12" s="103"/>
      <c r="V12" s="13"/>
      <c r="W12" s="75" t="s">
        <v>54</v>
      </c>
    </row>
    <row r="13" spans="1:23" x14ac:dyDescent="0.3">
      <c r="A13" s="75"/>
      <c r="B13" s="12"/>
      <c r="C13" s="75"/>
      <c r="D13" s="13"/>
      <c r="E13" s="38"/>
      <c r="F13" s="40"/>
      <c r="G13" s="51"/>
      <c r="H13" s="13"/>
      <c r="I13" s="15"/>
      <c r="J13" s="15"/>
      <c r="K13" s="13"/>
      <c r="L13" s="13"/>
      <c r="M13" s="13"/>
      <c r="N13" s="13"/>
      <c r="O13" s="13"/>
      <c r="P13" s="13"/>
      <c r="Q13" s="13"/>
      <c r="R13" s="13"/>
      <c r="S13" s="113"/>
      <c r="T13" s="64"/>
      <c r="U13" s="103"/>
      <c r="V13" s="13"/>
      <c r="W13" s="75" t="s">
        <v>54</v>
      </c>
    </row>
    <row r="14" spans="1:23" x14ac:dyDescent="0.3">
      <c r="A14" s="75"/>
      <c r="B14" s="12"/>
      <c r="C14" s="75"/>
      <c r="D14" s="13"/>
      <c r="E14" s="38"/>
      <c r="F14" s="40"/>
      <c r="G14" s="51"/>
      <c r="H14" s="13"/>
      <c r="I14" s="15"/>
      <c r="J14" s="15"/>
      <c r="K14" s="13"/>
      <c r="L14" s="13"/>
      <c r="M14" s="13"/>
      <c r="N14" s="13"/>
      <c r="O14" s="13"/>
      <c r="P14" s="13"/>
      <c r="Q14" s="13"/>
      <c r="R14" s="13"/>
      <c r="S14" s="113"/>
      <c r="T14" s="64"/>
      <c r="U14" s="103"/>
      <c r="V14" s="13"/>
      <c r="W14" s="75" t="s">
        <v>54</v>
      </c>
    </row>
    <row r="15" spans="1:23" x14ac:dyDescent="0.3">
      <c r="A15" s="75"/>
      <c r="B15" s="12"/>
      <c r="C15" s="75"/>
      <c r="D15" s="13"/>
      <c r="E15" s="38"/>
      <c r="F15" s="40"/>
      <c r="G15" s="51"/>
      <c r="H15" s="13"/>
      <c r="I15" s="15"/>
      <c r="J15" s="15"/>
      <c r="K15" s="13"/>
      <c r="L15" s="13"/>
      <c r="M15" s="13"/>
      <c r="N15" s="13"/>
      <c r="O15" s="13"/>
      <c r="P15" s="13"/>
      <c r="Q15" s="13"/>
      <c r="R15" s="13"/>
      <c r="S15" s="113"/>
      <c r="T15" s="64"/>
      <c r="U15" s="103"/>
      <c r="V15" s="13"/>
      <c r="W15" s="75" t="s">
        <v>54</v>
      </c>
    </row>
    <row r="16" spans="1:23" x14ac:dyDescent="0.3">
      <c r="A16" s="75"/>
      <c r="B16" s="12"/>
      <c r="C16" s="75"/>
      <c r="D16" s="13"/>
      <c r="E16" s="38"/>
      <c r="F16" s="40"/>
      <c r="G16" s="51"/>
      <c r="H16" s="13"/>
      <c r="I16" s="15"/>
      <c r="J16" s="15"/>
      <c r="K16" s="13"/>
      <c r="L16" s="13"/>
      <c r="M16" s="13"/>
      <c r="N16" s="13"/>
      <c r="O16" s="13"/>
      <c r="P16" s="13"/>
      <c r="Q16" s="13"/>
      <c r="R16" s="13"/>
      <c r="S16" s="113"/>
      <c r="T16" s="64"/>
      <c r="U16" s="103"/>
      <c r="V16" s="13"/>
      <c r="W16" s="75" t="s">
        <v>54</v>
      </c>
    </row>
    <row r="17" spans="1:23" x14ac:dyDescent="0.3">
      <c r="A17" s="75"/>
      <c r="B17" s="12"/>
      <c r="C17" s="75"/>
      <c r="D17" s="13"/>
      <c r="E17" s="38"/>
      <c r="F17" s="40"/>
      <c r="G17" s="51"/>
      <c r="H17" s="13"/>
      <c r="I17" s="15"/>
      <c r="J17" s="15"/>
      <c r="K17" s="13"/>
      <c r="L17" s="13"/>
      <c r="M17" s="13"/>
      <c r="N17" s="13"/>
      <c r="O17" s="13"/>
      <c r="P17" s="13"/>
      <c r="Q17" s="13"/>
      <c r="R17" s="13"/>
      <c r="S17" s="113"/>
      <c r="T17" s="64"/>
      <c r="U17" s="103"/>
      <c r="V17" s="13"/>
      <c r="W17" s="75" t="s">
        <v>54</v>
      </c>
    </row>
    <row r="18" spans="1:23" x14ac:dyDescent="0.3">
      <c r="A18" s="75"/>
      <c r="B18" s="12"/>
      <c r="C18" s="75"/>
      <c r="D18" s="13"/>
      <c r="E18" s="38"/>
      <c r="F18" s="40"/>
      <c r="G18" s="51"/>
      <c r="H18" s="13"/>
      <c r="I18" s="15"/>
      <c r="J18" s="15"/>
      <c r="K18" s="13"/>
      <c r="L18" s="13"/>
      <c r="M18" s="13"/>
      <c r="N18" s="13"/>
      <c r="O18" s="13"/>
      <c r="P18" s="13"/>
      <c r="Q18" s="13"/>
      <c r="R18" s="13"/>
      <c r="S18" s="113"/>
      <c r="T18" s="64"/>
      <c r="U18" s="103"/>
      <c r="V18" s="13"/>
      <c r="W18" s="75" t="s">
        <v>54</v>
      </c>
    </row>
    <row r="19" spans="1:23" x14ac:dyDescent="0.3">
      <c r="A19" s="75"/>
      <c r="B19" s="12"/>
      <c r="C19" s="75"/>
      <c r="D19" s="13"/>
      <c r="E19" s="38"/>
      <c r="F19" s="40"/>
      <c r="G19" s="51"/>
      <c r="H19" s="13"/>
      <c r="I19" s="15"/>
      <c r="J19" s="15"/>
      <c r="K19" s="13"/>
      <c r="L19" s="13"/>
      <c r="M19" s="13"/>
      <c r="N19" s="13"/>
      <c r="O19" s="13"/>
      <c r="P19" s="13"/>
      <c r="Q19" s="13"/>
      <c r="R19" s="13"/>
      <c r="S19" s="113"/>
      <c r="T19" s="64"/>
      <c r="U19" s="103"/>
      <c r="V19" s="13"/>
      <c r="W19" s="75" t="s">
        <v>54</v>
      </c>
    </row>
    <row r="20" spans="1:23" x14ac:dyDescent="0.3">
      <c r="A20" s="75"/>
      <c r="B20" s="12"/>
      <c r="C20" s="75"/>
      <c r="D20" s="13"/>
      <c r="E20" s="38"/>
      <c r="F20" s="40"/>
      <c r="G20" s="51"/>
      <c r="H20" s="13"/>
      <c r="I20" s="15"/>
      <c r="J20" s="15"/>
      <c r="K20" s="13"/>
      <c r="L20" s="13"/>
      <c r="M20" s="13"/>
      <c r="N20" s="13"/>
      <c r="O20" s="13"/>
      <c r="P20" s="13"/>
      <c r="Q20" s="13"/>
      <c r="R20" s="13"/>
      <c r="S20" s="113"/>
      <c r="T20" s="64"/>
      <c r="U20" s="103"/>
      <c r="V20" s="13"/>
      <c r="W20" s="75" t="s">
        <v>54</v>
      </c>
    </row>
    <row r="21" spans="1:23" x14ac:dyDescent="0.3">
      <c r="A21" s="75"/>
      <c r="B21" s="12"/>
      <c r="C21" s="75"/>
      <c r="D21" s="13"/>
      <c r="E21" s="38"/>
      <c r="F21" s="40"/>
      <c r="G21" s="51"/>
      <c r="H21" s="13"/>
      <c r="I21" s="15"/>
      <c r="J21" s="15"/>
      <c r="K21" s="13"/>
      <c r="L21" s="13"/>
      <c r="M21" s="13"/>
      <c r="N21" s="13"/>
      <c r="O21" s="13"/>
      <c r="P21" s="13"/>
      <c r="Q21" s="13"/>
      <c r="R21" s="13"/>
      <c r="S21" s="113"/>
      <c r="T21" s="64"/>
      <c r="U21" s="103"/>
      <c r="V21" s="13"/>
      <c r="W21" s="75" t="s">
        <v>54</v>
      </c>
    </row>
    <row r="22" spans="1:23" x14ac:dyDescent="0.3">
      <c r="A22" s="75"/>
      <c r="B22" s="12"/>
      <c r="C22" s="75"/>
      <c r="D22" s="13"/>
      <c r="E22" s="38"/>
      <c r="F22" s="40"/>
      <c r="G22" s="51"/>
      <c r="H22" s="13"/>
      <c r="I22" s="15"/>
      <c r="J22" s="15"/>
      <c r="K22" s="13"/>
      <c r="L22" s="13"/>
      <c r="M22" s="13"/>
      <c r="N22" s="13"/>
      <c r="O22" s="13"/>
      <c r="P22" s="13"/>
      <c r="Q22" s="13"/>
      <c r="R22" s="13"/>
      <c r="S22" s="113"/>
      <c r="T22" s="64"/>
      <c r="U22" s="103"/>
      <c r="V22" s="13"/>
      <c r="W22" s="75" t="s">
        <v>54</v>
      </c>
    </row>
    <row r="23" spans="1:23" x14ac:dyDescent="0.3">
      <c r="A23" s="75"/>
      <c r="B23" s="12"/>
      <c r="C23" s="75"/>
      <c r="D23" s="13"/>
      <c r="E23" s="38"/>
      <c r="F23" s="40"/>
      <c r="G23" s="51"/>
      <c r="H23" s="13"/>
      <c r="I23" s="15"/>
      <c r="J23" s="15"/>
      <c r="K23" s="13"/>
      <c r="L23" s="13"/>
      <c r="M23" s="13"/>
      <c r="N23" s="13"/>
      <c r="O23" s="13"/>
      <c r="P23" s="13"/>
      <c r="Q23" s="13"/>
      <c r="R23" s="13"/>
      <c r="S23" s="113"/>
      <c r="T23" s="64"/>
      <c r="U23" s="103"/>
      <c r="V23" s="13"/>
      <c r="W23" s="75" t="s">
        <v>54</v>
      </c>
    </row>
    <row r="24" spans="1:23" x14ac:dyDescent="0.3">
      <c r="A24" s="75"/>
      <c r="B24" s="12"/>
      <c r="C24" s="75"/>
      <c r="D24" s="13"/>
      <c r="E24" s="38"/>
      <c r="F24" s="40"/>
      <c r="G24" s="51"/>
      <c r="H24" s="13"/>
      <c r="I24" s="15"/>
      <c r="J24" s="15"/>
      <c r="K24" s="13"/>
      <c r="L24" s="13"/>
      <c r="M24" s="13"/>
      <c r="N24" s="13"/>
      <c r="O24" s="13"/>
      <c r="P24" s="13"/>
      <c r="Q24" s="13"/>
      <c r="R24" s="13"/>
      <c r="S24" s="113"/>
      <c r="T24" s="64"/>
      <c r="U24" s="103"/>
      <c r="V24" s="13"/>
      <c r="W24" s="75" t="s">
        <v>54</v>
      </c>
    </row>
    <row r="25" spans="1:23" x14ac:dyDescent="0.3">
      <c r="A25" s="75"/>
      <c r="B25" s="12"/>
      <c r="C25" s="75"/>
      <c r="D25" s="13"/>
      <c r="E25" s="38"/>
      <c r="F25" s="40"/>
      <c r="G25" s="51"/>
      <c r="H25" s="13"/>
      <c r="I25" s="15"/>
      <c r="J25" s="15"/>
      <c r="K25" s="13"/>
      <c r="L25" s="13"/>
      <c r="M25" s="13"/>
      <c r="N25" s="13"/>
      <c r="O25" s="13"/>
      <c r="P25" s="13"/>
      <c r="Q25" s="13"/>
      <c r="R25" s="13"/>
      <c r="S25" s="113"/>
      <c r="T25" s="64"/>
      <c r="U25" s="103"/>
      <c r="V25" s="13"/>
      <c r="W25" s="75" t="s">
        <v>54</v>
      </c>
    </row>
    <row r="26" spans="1:23" x14ac:dyDescent="0.3">
      <c r="A26" s="75"/>
      <c r="B26" s="12"/>
      <c r="C26" s="75"/>
      <c r="D26" s="13"/>
      <c r="E26" s="38"/>
      <c r="F26" s="40"/>
      <c r="G26" s="51"/>
      <c r="H26" s="13"/>
      <c r="I26" s="15"/>
      <c r="J26" s="15"/>
      <c r="K26" s="13"/>
      <c r="L26" s="13"/>
      <c r="M26" s="13"/>
      <c r="N26" s="13"/>
      <c r="O26" s="13"/>
      <c r="P26" s="13"/>
      <c r="Q26" s="13"/>
      <c r="R26" s="13"/>
      <c r="S26" s="113"/>
      <c r="T26" s="64"/>
      <c r="U26" s="103"/>
      <c r="V26" s="13"/>
      <c r="W26" s="75" t="s">
        <v>54</v>
      </c>
    </row>
    <row r="27" spans="1:23" x14ac:dyDescent="0.3">
      <c r="A27" s="75"/>
      <c r="B27" s="12"/>
      <c r="C27" s="75"/>
      <c r="D27" s="13"/>
      <c r="E27" s="38"/>
      <c r="F27" s="40"/>
      <c r="G27" s="51"/>
      <c r="H27" s="13"/>
      <c r="I27" s="15"/>
      <c r="J27" s="15"/>
      <c r="K27" s="13"/>
      <c r="L27" s="13"/>
      <c r="M27" s="13"/>
      <c r="N27" s="13"/>
      <c r="O27" s="13"/>
      <c r="P27" s="13"/>
      <c r="Q27" s="13"/>
      <c r="R27" s="13"/>
      <c r="S27" s="113"/>
      <c r="T27" s="64"/>
      <c r="U27" s="103"/>
      <c r="V27" s="13"/>
      <c r="W27" s="75" t="s">
        <v>54</v>
      </c>
    </row>
    <row r="28" spans="1:23" x14ac:dyDescent="0.3">
      <c r="A28" s="75"/>
      <c r="B28" s="12"/>
      <c r="C28" s="75"/>
      <c r="D28" s="13"/>
      <c r="E28" s="38"/>
      <c r="F28" s="40"/>
      <c r="G28" s="51"/>
      <c r="H28" s="13"/>
      <c r="I28" s="15"/>
      <c r="J28" s="15"/>
      <c r="K28" s="13"/>
      <c r="L28" s="13"/>
      <c r="M28" s="13"/>
      <c r="N28" s="13"/>
      <c r="O28" s="13"/>
      <c r="P28" s="13"/>
      <c r="Q28" s="13"/>
      <c r="R28" s="13"/>
      <c r="S28" s="113"/>
      <c r="T28" s="64"/>
      <c r="U28" s="103"/>
      <c r="V28" s="13"/>
      <c r="W28" s="75" t="s">
        <v>54</v>
      </c>
    </row>
    <row r="29" spans="1:23" x14ac:dyDescent="0.3">
      <c r="A29" s="75"/>
      <c r="B29" s="12"/>
      <c r="C29" s="75"/>
      <c r="D29" s="13"/>
      <c r="E29" s="38"/>
      <c r="F29" s="40"/>
      <c r="G29" s="51"/>
      <c r="H29" s="13"/>
      <c r="I29" s="15"/>
      <c r="J29" s="15"/>
      <c r="K29" s="13"/>
      <c r="L29" s="13"/>
      <c r="M29" s="13"/>
      <c r="N29" s="13"/>
      <c r="O29" s="13"/>
      <c r="P29" s="13"/>
      <c r="Q29" s="13"/>
      <c r="R29" s="13"/>
      <c r="S29" s="113"/>
      <c r="T29" s="64"/>
      <c r="U29" s="103"/>
      <c r="V29" s="13"/>
      <c r="W29" s="75" t="s">
        <v>54</v>
      </c>
    </row>
    <row r="30" spans="1:23" x14ac:dyDescent="0.3">
      <c r="A30" s="75"/>
      <c r="B30" s="12"/>
      <c r="C30" s="75"/>
      <c r="D30" s="13"/>
      <c r="E30" s="38"/>
      <c r="F30" s="40"/>
      <c r="G30" s="51"/>
      <c r="H30" s="13"/>
      <c r="I30" s="15"/>
      <c r="J30" s="15"/>
      <c r="K30" s="13"/>
      <c r="L30" s="13"/>
      <c r="M30" s="13"/>
      <c r="N30" s="13"/>
      <c r="O30" s="13"/>
      <c r="P30" s="13"/>
      <c r="Q30" s="13"/>
      <c r="R30" s="13"/>
      <c r="S30" s="113"/>
      <c r="T30" s="64"/>
      <c r="U30" s="103"/>
      <c r="V30" s="13"/>
      <c r="W30" s="75" t="s">
        <v>54</v>
      </c>
    </row>
    <row r="31" spans="1:23" x14ac:dyDescent="0.3">
      <c r="A31" s="75"/>
      <c r="B31" s="12"/>
      <c r="C31" s="75"/>
      <c r="D31" s="13"/>
      <c r="E31" s="38"/>
      <c r="F31" s="40"/>
      <c r="G31" s="51"/>
      <c r="H31" s="13"/>
      <c r="I31" s="15"/>
      <c r="J31" s="15"/>
      <c r="K31" s="13"/>
      <c r="L31" s="13"/>
      <c r="M31" s="13"/>
      <c r="N31" s="13"/>
      <c r="O31" s="13"/>
      <c r="P31" s="13"/>
      <c r="Q31" s="13"/>
      <c r="R31" s="13"/>
      <c r="S31" s="113"/>
      <c r="T31" s="64"/>
      <c r="U31" s="103"/>
      <c r="V31" s="13"/>
      <c r="W31" s="75" t="s">
        <v>54</v>
      </c>
    </row>
    <row r="32" spans="1:23" x14ac:dyDescent="0.3">
      <c r="A32" s="75"/>
      <c r="B32" s="12"/>
      <c r="C32" s="75"/>
      <c r="D32" s="13"/>
      <c r="E32" s="38"/>
      <c r="F32" s="40"/>
      <c r="G32" s="51"/>
      <c r="H32" s="13"/>
      <c r="I32" s="15"/>
      <c r="J32" s="15"/>
      <c r="K32" s="13"/>
      <c r="L32" s="13"/>
      <c r="M32" s="13"/>
      <c r="N32" s="13"/>
      <c r="O32" s="13"/>
      <c r="P32" s="13"/>
      <c r="Q32" s="13"/>
      <c r="R32" s="13"/>
      <c r="S32" s="113"/>
      <c r="T32" s="64"/>
      <c r="U32" s="103"/>
      <c r="V32" s="13"/>
      <c r="W32" s="75" t="s">
        <v>54</v>
      </c>
    </row>
    <row r="33" spans="1:23" x14ac:dyDescent="0.3">
      <c r="A33" s="75"/>
      <c r="B33" s="12"/>
      <c r="C33" s="75"/>
      <c r="D33" s="13"/>
      <c r="E33" s="38"/>
      <c r="F33" s="40"/>
      <c r="G33" s="51"/>
      <c r="H33" s="13"/>
      <c r="I33" s="15"/>
      <c r="J33" s="15"/>
      <c r="K33" s="13"/>
      <c r="L33" s="13"/>
      <c r="M33" s="13"/>
      <c r="N33" s="13"/>
      <c r="O33" s="13"/>
      <c r="P33" s="13"/>
      <c r="Q33" s="13"/>
      <c r="R33" s="13"/>
      <c r="S33" s="113"/>
      <c r="T33" s="64"/>
      <c r="U33" s="103"/>
      <c r="V33" s="13"/>
      <c r="W33" s="75" t="s">
        <v>54</v>
      </c>
    </row>
    <row r="34" spans="1:23" x14ac:dyDescent="0.3">
      <c r="A34" s="75"/>
      <c r="B34" s="12"/>
      <c r="C34" s="75"/>
      <c r="D34" s="13"/>
      <c r="E34" s="38"/>
      <c r="F34" s="40"/>
      <c r="G34" s="51"/>
      <c r="H34" s="13"/>
      <c r="I34" s="15"/>
      <c r="J34" s="15"/>
      <c r="K34" s="13"/>
      <c r="L34" s="13"/>
      <c r="M34" s="13"/>
      <c r="N34" s="13"/>
      <c r="O34" s="13"/>
      <c r="P34" s="13"/>
      <c r="Q34" s="13"/>
      <c r="R34" s="13"/>
      <c r="S34" s="113"/>
      <c r="T34" s="64"/>
      <c r="U34" s="103"/>
      <c r="V34" s="13"/>
      <c r="W34" s="75" t="s">
        <v>54</v>
      </c>
    </row>
    <row r="35" spans="1:23" x14ac:dyDescent="0.3">
      <c r="A35" s="75"/>
      <c r="B35" s="12"/>
      <c r="C35" s="75"/>
      <c r="D35" s="13"/>
      <c r="E35" s="38"/>
      <c r="F35" s="40"/>
      <c r="G35" s="51"/>
      <c r="H35" s="13"/>
      <c r="I35" s="15"/>
      <c r="J35" s="15"/>
      <c r="K35" s="13"/>
      <c r="L35" s="13"/>
      <c r="M35" s="13"/>
      <c r="N35" s="13"/>
      <c r="O35" s="13"/>
      <c r="P35" s="13"/>
      <c r="Q35" s="13"/>
      <c r="R35" s="13"/>
      <c r="S35" s="113"/>
      <c r="T35" s="64"/>
      <c r="U35" s="103"/>
      <c r="V35" s="13"/>
      <c r="W35" s="75" t="s">
        <v>54</v>
      </c>
    </row>
    <row r="36" spans="1:23" x14ac:dyDescent="0.3">
      <c r="A36" s="75"/>
      <c r="B36" s="12"/>
      <c r="C36" s="75"/>
      <c r="D36" s="13"/>
      <c r="E36" s="38"/>
      <c r="F36" s="40"/>
      <c r="G36" s="51"/>
      <c r="H36" s="13"/>
      <c r="I36" s="15"/>
      <c r="J36" s="15"/>
      <c r="K36" s="13"/>
      <c r="L36" s="13"/>
      <c r="M36" s="13"/>
      <c r="N36" s="13"/>
      <c r="O36" s="13"/>
      <c r="P36" s="13"/>
      <c r="Q36" s="13"/>
      <c r="R36" s="13"/>
      <c r="S36" s="113"/>
      <c r="T36" s="64"/>
      <c r="U36" s="103"/>
      <c r="V36" s="13"/>
      <c r="W36" s="75" t="s">
        <v>54</v>
      </c>
    </row>
    <row r="37" spans="1:23" x14ac:dyDescent="0.3">
      <c r="A37" s="75"/>
      <c r="B37" s="12"/>
      <c r="C37" s="75"/>
      <c r="D37" s="13"/>
      <c r="E37" s="38"/>
      <c r="F37" s="40"/>
      <c r="G37" s="51"/>
      <c r="H37" s="13"/>
      <c r="I37" s="15"/>
      <c r="J37" s="15"/>
      <c r="K37" s="13"/>
      <c r="L37" s="13"/>
      <c r="M37" s="13"/>
      <c r="N37" s="13"/>
      <c r="O37" s="13"/>
      <c r="P37" s="13"/>
      <c r="Q37" s="13"/>
      <c r="R37" s="13"/>
      <c r="S37" s="113"/>
      <c r="T37" s="64"/>
      <c r="U37" s="103"/>
      <c r="V37" s="13"/>
      <c r="W37" s="75" t="s">
        <v>54</v>
      </c>
    </row>
    <row r="38" spans="1:23" x14ac:dyDescent="0.3">
      <c r="A38" s="75"/>
      <c r="B38" s="12"/>
      <c r="C38" s="75"/>
      <c r="D38" s="13"/>
      <c r="E38" s="38"/>
      <c r="F38" s="40"/>
      <c r="G38" s="51"/>
      <c r="H38" s="13"/>
      <c r="I38" s="15"/>
      <c r="J38" s="15"/>
      <c r="K38" s="13"/>
      <c r="L38" s="13"/>
      <c r="M38" s="13"/>
      <c r="N38" s="13"/>
      <c r="O38" s="13"/>
      <c r="P38" s="13"/>
      <c r="Q38" s="13"/>
      <c r="R38" s="13"/>
      <c r="S38" s="113"/>
      <c r="T38" s="64"/>
      <c r="U38" s="103"/>
      <c r="V38" s="13"/>
      <c r="W38" s="75" t="s">
        <v>54</v>
      </c>
    </row>
    <row r="39" spans="1:23" x14ac:dyDescent="0.3">
      <c r="A39" s="75"/>
      <c r="B39" s="12"/>
      <c r="C39" s="75"/>
      <c r="D39" s="13"/>
      <c r="E39" s="38"/>
      <c r="F39" s="40"/>
      <c r="G39" s="51"/>
      <c r="H39" s="13"/>
      <c r="I39" s="15"/>
      <c r="J39" s="15"/>
      <c r="K39" s="13"/>
      <c r="L39" s="13"/>
      <c r="M39" s="13"/>
      <c r="N39" s="13"/>
      <c r="O39" s="13"/>
      <c r="P39" s="13"/>
      <c r="Q39" s="13"/>
      <c r="R39" s="13"/>
      <c r="S39" s="113"/>
      <c r="T39" s="64"/>
      <c r="U39" s="103"/>
      <c r="V39" s="13"/>
      <c r="W39" s="75" t="s">
        <v>54</v>
      </c>
    </row>
    <row r="40" spans="1:23" x14ac:dyDescent="0.3">
      <c r="A40" s="75"/>
      <c r="B40" s="12"/>
      <c r="C40" s="75"/>
      <c r="D40" s="13"/>
      <c r="E40" s="38"/>
      <c r="F40" s="40"/>
      <c r="G40" s="51"/>
      <c r="H40" s="13"/>
      <c r="I40" s="15"/>
      <c r="J40" s="15"/>
      <c r="K40" s="13"/>
      <c r="L40" s="13"/>
      <c r="M40" s="13"/>
      <c r="N40" s="13"/>
      <c r="O40" s="13"/>
      <c r="P40" s="13"/>
      <c r="Q40" s="13"/>
      <c r="R40" s="13"/>
      <c r="S40" s="113"/>
      <c r="T40" s="64"/>
      <c r="U40" s="103"/>
      <c r="V40" s="13"/>
      <c r="W40" s="75" t="s">
        <v>54</v>
      </c>
    </row>
    <row r="41" spans="1:23" x14ac:dyDescent="0.3">
      <c r="A41" s="75"/>
      <c r="B41" s="12"/>
      <c r="C41" s="75"/>
      <c r="D41" s="13"/>
      <c r="E41" s="38"/>
      <c r="F41" s="40"/>
      <c r="G41" s="51"/>
      <c r="H41" s="13"/>
      <c r="I41" s="15"/>
      <c r="J41" s="15"/>
      <c r="K41" s="13"/>
      <c r="L41" s="13"/>
      <c r="M41" s="13"/>
      <c r="N41" s="13"/>
      <c r="O41" s="13"/>
      <c r="P41" s="13"/>
      <c r="Q41" s="13"/>
      <c r="R41" s="13"/>
      <c r="S41" s="113"/>
      <c r="T41" s="64"/>
      <c r="U41" s="103"/>
      <c r="V41" s="13"/>
      <c r="W41" s="75" t="s">
        <v>54</v>
      </c>
    </row>
    <row r="42" spans="1:23" x14ac:dyDescent="0.3">
      <c r="A42" s="75"/>
      <c r="B42" s="12"/>
      <c r="C42" s="75"/>
      <c r="D42" s="13"/>
      <c r="E42" s="38"/>
      <c r="F42" s="40"/>
      <c r="G42" s="51"/>
      <c r="H42" s="13"/>
      <c r="I42" s="15"/>
      <c r="J42" s="15"/>
      <c r="K42" s="13"/>
      <c r="L42" s="13"/>
      <c r="M42" s="13"/>
      <c r="N42" s="13"/>
      <c r="O42" s="13"/>
      <c r="P42" s="13"/>
      <c r="Q42" s="13"/>
      <c r="R42" s="13"/>
      <c r="S42" s="113"/>
      <c r="T42" s="64"/>
      <c r="U42" s="103"/>
      <c r="V42" s="13"/>
      <c r="W42" s="75" t="s">
        <v>54</v>
      </c>
    </row>
    <row r="43" spans="1:23" x14ac:dyDescent="0.3">
      <c r="A43" s="75"/>
      <c r="B43" s="12"/>
      <c r="C43" s="75"/>
      <c r="D43" s="13"/>
      <c r="E43" s="38"/>
      <c r="F43" s="40"/>
      <c r="G43" s="51"/>
      <c r="H43" s="13"/>
      <c r="I43" s="15"/>
      <c r="J43" s="15"/>
      <c r="K43" s="13"/>
      <c r="L43" s="13"/>
      <c r="M43" s="13"/>
      <c r="N43" s="13"/>
      <c r="O43" s="13"/>
      <c r="P43" s="13"/>
      <c r="Q43" s="13"/>
      <c r="R43" s="13"/>
      <c r="S43" s="113"/>
      <c r="T43" s="64"/>
      <c r="U43" s="103"/>
      <c r="V43" s="13"/>
      <c r="W43" s="75" t="s">
        <v>54</v>
      </c>
    </row>
    <row r="44" spans="1:23" x14ac:dyDescent="0.3">
      <c r="A44" s="75"/>
      <c r="B44" s="12"/>
      <c r="C44" s="75"/>
      <c r="D44" s="13"/>
      <c r="E44" s="38"/>
      <c r="F44" s="40"/>
      <c r="G44" s="51"/>
      <c r="H44" s="13"/>
      <c r="I44" s="15"/>
      <c r="J44" s="15"/>
      <c r="K44" s="13"/>
      <c r="L44" s="13"/>
      <c r="M44" s="13"/>
      <c r="N44" s="13"/>
      <c r="O44" s="13"/>
      <c r="P44" s="13"/>
      <c r="Q44" s="13"/>
      <c r="R44" s="13"/>
      <c r="S44" s="113"/>
      <c r="T44" s="64"/>
      <c r="U44" s="103"/>
      <c r="V44" s="13"/>
      <c r="W44" s="75" t="s">
        <v>54</v>
      </c>
    </row>
    <row r="45" spans="1:23" x14ac:dyDescent="0.3">
      <c r="A45" s="75"/>
      <c r="B45" s="12"/>
      <c r="C45" s="75"/>
      <c r="D45" s="13"/>
      <c r="E45" s="38"/>
      <c r="F45" s="40"/>
      <c r="G45" s="51"/>
      <c r="H45" s="13"/>
      <c r="I45" s="15"/>
      <c r="J45" s="15"/>
      <c r="K45" s="13"/>
      <c r="L45" s="13"/>
      <c r="M45" s="13"/>
      <c r="N45" s="13"/>
      <c r="O45" s="13"/>
      <c r="P45" s="13"/>
      <c r="Q45" s="13"/>
      <c r="R45" s="13"/>
      <c r="S45" s="113"/>
      <c r="T45" s="64"/>
      <c r="U45" s="103"/>
      <c r="V45" s="13"/>
      <c r="W45" s="75" t="s">
        <v>54</v>
      </c>
    </row>
    <row r="46" spans="1:23" x14ac:dyDescent="0.3">
      <c r="A46" s="75"/>
      <c r="B46" s="12"/>
      <c r="C46" s="75"/>
      <c r="D46" s="13"/>
      <c r="E46" s="38"/>
      <c r="F46" s="40"/>
      <c r="G46" s="51"/>
      <c r="H46" s="13"/>
      <c r="I46" s="15"/>
      <c r="J46" s="15"/>
      <c r="K46" s="13"/>
      <c r="L46" s="13"/>
      <c r="M46" s="13"/>
      <c r="N46" s="13"/>
      <c r="O46" s="13"/>
      <c r="P46" s="13"/>
      <c r="Q46" s="13"/>
      <c r="R46" s="13"/>
      <c r="S46" s="113"/>
      <c r="T46" s="64"/>
      <c r="U46" s="103"/>
      <c r="V46" s="13"/>
      <c r="W46" s="75" t="s">
        <v>54</v>
      </c>
    </row>
    <row r="47" spans="1:23" x14ac:dyDescent="0.3">
      <c r="A47" s="75"/>
      <c r="B47" s="12"/>
      <c r="C47" s="75"/>
      <c r="D47" s="13"/>
      <c r="E47" s="38"/>
      <c r="F47" s="40"/>
      <c r="G47" s="51"/>
      <c r="H47" s="13"/>
      <c r="I47" s="15"/>
      <c r="J47" s="15"/>
      <c r="K47" s="13"/>
      <c r="L47" s="13"/>
      <c r="M47" s="13"/>
      <c r="N47" s="13"/>
      <c r="O47" s="13"/>
      <c r="P47" s="13"/>
      <c r="Q47" s="13"/>
      <c r="R47" s="13"/>
      <c r="S47" s="113"/>
      <c r="T47" s="64"/>
      <c r="U47" s="103"/>
      <c r="V47" s="13"/>
      <c r="W47" s="75" t="s">
        <v>54</v>
      </c>
    </row>
    <row r="48" spans="1:23" x14ac:dyDescent="0.3">
      <c r="A48" s="75"/>
      <c r="B48" s="12"/>
      <c r="C48" s="75"/>
      <c r="D48" s="13"/>
      <c r="E48" s="38"/>
      <c r="F48" s="40"/>
      <c r="G48" s="51"/>
      <c r="H48" s="13"/>
      <c r="I48" s="15"/>
      <c r="J48" s="15"/>
      <c r="K48" s="13"/>
      <c r="L48" s="13"/>
      <c r="M48" s="13"/>
      <c r="N48" s="13"/>
      <c r="O48" s="13"/>
      <c r="P48" s="13"/>
      <c r="Q48" s="13"/>
      <c r="R48" s="13"/>
      <c r="S48" s="113"/>
      <c r="T48" s="64"/>
      <c r="U48" s="103"/>
      <c r="V48" s="13"/>
      <c r="W48" s="75" t="s">
        <v>54</v>
      </c>
    </row>
    <row r="49" spans="1:23" x14ac:dyDescent="0.3">
      <c r="A49" s="75"/>
      <c r="B49" s="12"/>
      <c r="C49" s="75"/>
      <c r="D49" s="13"/>
      <c r="E49" s="38"/>
      <c r="F49" s="40"/>
      <c r="G49" s="51"/>
      <c r="H49" s="13"/>
      <c r="I49" s="15"/>
      <c r="J49" s="15"/>
      <c r="K49" s="13"/>
      <c r="L49" s="13"/>
      <c r="M49" s="13"/>
      <c r="N49" s="13"/>
      <c r="O49" s="13"/>
      <c r="P49" s="13"/>
      <c r="Q49" s="13"/>
      <c r="R49" s="13"/>
      <c r="S49" s="113"/>
      <c r="T49" s="64"/>
      <c r="U49" s="103"/>
      <c r="V49" s="13"/>
      <c r="W49" s="75" t="s">
        <v>54</v>
      </c>
    </row>
    <row r="50" spans="1:23" x14ac:dyDescent="0.3">
      <c r="A50" s="75"/>
      <c r="B50" s="12"/>
      <c r="C50" s="75"/>
      <c r="D50" s="13"/>
      <c r="E50" s="38"/>
      <c r="F50" s="40"/>
      <c r="G50" s="51"/>
      <c r="H50" s="13"/>
      <c r="I50" s="15"/>
      <c r="J50" s="15"/>
      <c r="K50" s="13"/>
      <c r="L50" s="13"/>
      <c r="M50" s="13"/>
      <c r="N50" s="13"/>
      <c r="O50" s="13"/>
      <c r="P50" s="13"/>
      <c r="Q50" s="13"/>
      <c r="R50" s="13"/>
      <c r="S50" s="113"/>
      <c r="T50" s="64"/>
      <c r="U50" s="103"/>
      <c r="V50" s="13"/>
      <c r="W50" s="75" t="s">
        <v>54</v>
      </c>
    </row>
    <row r="51" spans="1:23" x14ac:dyDescent="0.3">
      <c r="A51" s="75"/>
      <c r="B51" s="12"/>
      <c r="C51" s="75"/>
      <c r="D51" s="13"/>
      <c r="E51" s="38"/>
      <c r="F51" s="40"/>
      <c r="G51" s="51"/>
      <c r="H51" s="13"/>
      <c r="I51" s="15"/>
      <c r="J51" s="15"/>
      <c r="K51" s="13"/>
      <c r="L51" s="13"/>
      <c r="M51" s="13"/>
      <c r="N51" s="13"/>
      <c r="O51" s="13"/>
      <c r="P51" s="13"/>
      <c r="Q51" s="13"/>
      <c r="R51" s="13"/>
      <c r="S51" s="113"/>
      <c r="T51" s="64"/>
      <c r="U51" s="103"/>
      <c r="V51" s="13"/>
      <c r="W51" s="75" t="s">
        <v>54</v>
      </c>
    </row>
    <row r="52" spans="1:23" x14ac:dyDescent="0.3">
      <c r="A52" s="75"/>
      <c r="B52" s="12"/>
      <c r="C52" s="75"/>
      <c r="D52" s="13"/>
      <c r="E52" s="38"/>
      <c r="F52" s="40"/>
      <c r="G52" s="51"/>
      <c r="H52" s="13"/>
      <c r="I52" s="15"/>
      <c r="J52" s="15"/>
      <c r="K52" s="13"/>
      <c r="L52" s="13"/>
      <c r="M52" s="13"/>
      <c r="N52" s="13"/>
      <c r="O52" s="13"/>
      <c r="P52" s="13"/>
      <c r="Q52" s="13"/>
      <c r="R52" s="13"/>
      <c r="S52" s="113"/>
      <c r="T52" s="64"/>
      <c r="U52" s="103"/>
      <c r="V52" s="13"/>
      <c r="W52" s="75" t="s">
        <v>54</v>
      </c>
    </row>
    <row r="53" spans="1:23" x14ac:dyDescent="0.3">
      <c r="A53" s="75"/>
      <c r="B53" s="12"/>
      <c r="C53" s="75"/>
      <c r="D53" s="13"/>
      <c r="E53" s="38"/>
      <c r="F53" s="40"/>
      <c r="G53" s="51"/>
      <c r="H53" s="13"/>
      <c r="I53" s="15"/>
      <c r="J53" s="15"/>
      <c r="K53" s="13"/>
      <c r="L53" s="13"/>
      <c r="M53" s="13"/>
      <c r="N53" s="13"/>
      <c r="O53" s="13"/>
      <c r="P53" s="13"/>
      <c r="Q53" s="13"/>
      <c r="R53" s="13"/>
      <c r="S53" s="113"/>
      <c r="T53" s="64"/>
      <c r="U53" s="103"/>
      <c r="V53" s="13"/>
      <c r="W53" s="75" t="s">
        <v>54</v>
      </c>
    </row>
    <row r="54" spans="1:23" x14ac:dyDescent="0.3">
      <c r="A54" s="75"/>
      <c r="B54" s="12"/>
      <c r="C54" s="75"/>
      <c r="D54" s="13"/>
      <c r="E54" s="38"/>
      <c r="F54" s="40"/>
      <c r="G54" s="51"/>
      <c r="H54" s="13"/>
      <c r="I54" s="15"/>
      <c r="J54" s="15"/>
      <c r="K54" s="13"/>
      <c r="L54" s="13"/>
      <c r="M54" s="13"/>
      <c r="N54" s="13"/>
      <c r="O54" s="13"/>
      <c r="P54" s="13"/>
      <c r="Q54" s="13"/>
      <c r="R54" s="13"/>
      <c r="S54" s="113"/>
      <c r="T54" s="64"/>
      <c r="U54" s="103"/>
      <c r="V54" s="13"/>
      <c r="W54" s="75" t="s">
        <v>54</v>
      </c>
    </row>
    <row r="55" spans="1:23" x14ac:dyDescent="0.3">
      <c r="A55" s="75"/>
      <c r="B55" s="12"/>
      <c r="C55" s="75"/>
      <c r="D55" s="13"/>
      <c r="E55" s="38"/>
      <c r="F55" s="40"/>
      <c r="G55" s="51"/>
      <c r="H55" s="13"/>
      <c r="I55" s="15"/>
      <c r="J55" s="15"/>
      <c r="K55" s="13"/>
      <c r="L55" s="13"/>
      <c r="M55" s="13"/>
      <c r="N55" s="13"/>
      <c r="O55" s="13"/>
      <c r="P55" s="13"/>
      <c r="Q55" s="13"/>
      <c r="R55" s="13"/>
      <c r="S55" s="113"/>
      <c r="T55" s="64"/>
      <c r="U55" s="103"/>
      <c r="V55" s="13"/>
      <c r="W55" s="75" t="s">
        <v>54</v>
      </c>
    </row>
    <row r="56" spans="1:23" x14ac:dyDescent="0.3">
      <c r="A56" s="75"/>
      <c r="B56" s="12"/>
      <c r="C56" s="75"/>
      <c r="D56" s="13"/>
      <c r="E56" s="38"/>
      <c r="F56" s="40"/>
      <c r="G56" s="51"/>
      <c r="H56" s="13"/>
      <c r="I56" s="15"/>
      <c r="J56" s="15"/>
      <c r="K56" s="13"/>
      <c r="L56" s="13"/>
      <c r="M56" s="13"/>
      <c r="N56" s="13"/>
      <c r="O56" s="13"/>
      <c r="P56" s="13"/>
      <c r="Q56" s="13"/>
      <c r="R56" s="13"/>
      <c r="S56" s="113"/>
      <c r="T56" s="64"/>
      <c r="U56" s="103"/>
      <c r="V56" s="13"/>
      <c r="W56" s="75" t="s">
        <v>54</v>
      </c>
    </row>
    <row r="57" spans="1:23" x14ac:dyDescent="0.3">
      <c r="A57" s="75"/>
      <c r="B57" s="12"/>
      <c r="C57" s="75"/>
      <c r="D57" s="13"/>
      <c r="E57" s="38"/>
      <c r="F57" s="40"/>
      <c r="G57" s="51"/>
      <c r="H57" s="13"/>
      <c r="I57" s="15"/>
      <c r="J57" s="15"/>
      <c r="K57" s="13"/>
      <c r="L57" s="13"/>
      <c r="M57" s="13"/>
      <c r="N57" s="13"/>
      <c r="O57" s="13"/>
      <c r="P57" s="13"/>
      <c r="Q57" s="13"/>
      <c r="R57" s="13"/>
      <c r="S57" s="113"/>
      <c r="T57" s="64"/>
      <c r="U57" s="103"/>
      <c r="V57" s="13"/>
      <c r="W57" s="75" t="s">
        <v>54</v>
      </c>
    </row>
    <row r="58" spans="1:23" x14ac:dyDescent="0.3">
      <c r="A58" s="75"/>
      <c r="B58" s="12"/>
      <c r="C58" s="75"/>
      <c r="D58" s="13"/>
      <c r="E58" s="38"/>
      <c r="F58" s="40"/>
      <c r="G58" s="51"/>
      <c r="H58" s="13"/>
      <c r="I58" s="15"/>
      <c r="J58" s="15"/>
      <c r="K58" s="13"/>
      <c r="L58" s="13"/>
      <c r="M58" s="13"/>
      <c r="N58" s="13"/>
      <c r="O58" s="13"/>
      <c r="P58" s="13"/>
      <c r="Q58" s="13"/>
      <c r="R58" s="13"/>
      <c r="S58" s="113"/>
      <c r="T58" s="64"/>
      <c r="U58" s="103"/>
      <c r="V58" s="13"/>
      <c r="W58" s="75" t="s">
        <v>54</v>
      </c>
    </row>
    <row r="59" spans="1:23" x14ac:dyDescent="0.3">
      <c r="A59" s="75"/>
      <c r="B59" s="12"/>
      <c r="C59" s="75"/>
      <c r="D59" s="13"/>
      <c r="E59" s="38"/>
      <c r="F59" s="40"/>
      <c r="G59" s="51"/>
      <c r="H59" s="13"/>
      <c r="I59" s="15"/>
      <c r="J59" s="15"/>
      <c r="K59" s="13"/>
      <c r="L59" s="13"/>
      <c r="M59" s="13"/>
      <c r="N59" s="13"/>
      <c r="O59" s="13"/>
      <c r="P59" s="13"/>
      <c r="Q59" s="13"/>
      <c r="R59" s="13"/>
      <c r="S59" s="113"/>
      <c r="T59" s="64"/>
      <c r="U59" s="103"/>
      <c r="V59" s="13"/>
      <c r="W59" s="75" t="s">
        <v>54</v>
      </c>
    </row>
    <row r="60" spans="1:23" x14ac:dyDescent="0.3">
      <c r="A60" s="75"/>
      <c r="B60" s="12"/>
      <c r="C60" s="75"/>
      <c r="D60" s="13"/>
      <c r="E60" s="38"/>
      <c r="F60" s="40"/>
      <c r="G60" s="51"/>
      <c r="H60" s="13"/>
      <c r="I60" s="15"/>
      <c r="J60" s="15"/>
      <c r="K60" s="13"/>
      <c r="L60" s="13"/>
      <c r="M60" s="13"/>
      <c r="N60" s="13"/>
      <c r="O60" s="13"/>
      <c r="P60" s="13"/>
      <c r="Q60" s="13"/>
      <c r="R60" s="13"/>
      <c r="S60" s="113"/>
      <c r="T60" s="64"/>
      <c r="U60" s="103"/>
      <c r="V60" s="13"/>
      <c r="W60" s="75" t="s">
        <v>54</v>
      </c>
    </row>
    <row r="61" spans="1:23" x14ac:dyDescent="0.3">
      <c r="A61" s="75"/>
      <c r="B61" s="12"/>
      <c r="C61" s="75"/>
      <c r="D61" s="13"/>
      <c r="E61" s="38"/>
      <c r="F61" s="40"/>
      <c r="G61" s="51"/>
      <c r="H61" s="13"/>
      <c r="I61" s="15"/>
      <c r="J61" s="15"/>
      <c r="K61" s="13"/>
      <c r="L61" s="13"/>
      <c r="M61" s="13"/>
      <c r="N61" s="13"/>
      <c r="O61" s="13"/>
      <c r="P61" s="13"/>
      <c r="Q61" s="13"/>
      <c r="R61" s="13"/>
      <c r="S61" s="113"/>
      <c r="T61" s="64"/>
      <c r="U61" s="103"/>
      <c r="V61" s="13"/>
      <c r="W61" s="75" t="s">
        <v>54</v>
      </c>
    </row>
    <row r="62" spans="1:23" x14ac:dyDescent="0.3">
      <c r="A62" s="75"/>
      <c r="B62" s="12"/>
      <c r="C62" s="75"/>
      <c r="D62" s="13"/>
      <c r="E62" s="38"/>
      <c r="F62" s="40"/>
      <c r="G62" s="51"/>
      <c r="H62" s="13"/>
      <c r="I62" s="15"/>
      <c r="J62" s="15"/>
      <c r="K62" s="13"/>
      <c r="L62" s="13"/>
      <c r="M62" s="13"/>
      <c r="N62" s="13"/>
      <c r="O62" s="13"/>
      <c r="P62" s="13"/>
      <c r="Q62" s="13"/>
      <c r="R62" s="13"/>
      <c r="S62" s="113"/>
      <c r="T62" s="64"/>
      <c r="U62" s="103"/>
      <c r="V62" s="13"/>
      <c r="W62" s="75" t="s">
        <v>54</v>
      </c>
    </row>
    <row r="63" spans="1:23" x14ac:dyDescent="0.3">
      <c r="A63" s="75"/>
      <c r="B63" s="12"/>
      <c r="C63" s="75"/>
      <c r="D63" s="13"/>
      <c r="E63" s="38"/>
      <c r="F63" s="40"/>
      <c r="G63" s="51"/>
      <c r="H63" s="13"/>
      <c r="I63" s="15"/>
      <c r="J63" s="15"/>
      <c r="K63" s="13"/>
      <c r="L63" s="13"/>
      <c r="M63" s="13"/>
      <c r="N63" s="13"/>
      <c r="O63" s="13"/>
      <c r="P63" s="13"/>
      <c r="Q63" s="13"/>
      <c r="R63" s="13"/>
      <c r="S63" s="113"/>
      <c r="T63" s="64"/>
      <c r="U63" s="103"/>
      <c r="V63" s="13"/>
      <c r="W63" s="75" t="s">
        <v>54</v>
      </c>
    </row>
    <row r="64" spans="1:23" x14ac:dyDescent="0.3">
      <c r="A64" s="75"/>
      <c r="B64" s="12"/>
      <c r="C64" s="75"/>
      <c r="D64" s="13"/>
      <c r="E64" s="38"/>
      <c r="F64" s="40"/>
      <c r="G64" s="51"/>
      <c r="H64" s="13"/>
      <c r="I64" s="15"/>
      <c r="J64" s="15"/>
      <c r="K64" s="13"/>
      <c r="L64" s="13"/>
      <c r="M64" s="13"/>
      <c r="N64" s="13"/>
      <c r="O64" s="13"/>
      <c r="P64" s="13"/>
      <c r="Q64" s="13"/>
      <c r="R64" s="13"/>
      <c r="S64" s="113"/>
      <c r="T64" s="64"/>
      <c r="U64" s="103"/>
      <c r="V64" s="13"/>
      <c r="W64" s="75" t="s">
        <v>54</v>
      </c>
    </row>
    <row r="65" spans="1:23" x14ac:dyDescent="0.3">
      <c r="A65" s="75"/>
      <c r="B65" s="12"/>
      <c r="C65" s="75"/>
      <c r="D65" s="13"/>
      <c r="E65" s="38"/>
      <c r="F65" s="40"/>
      <c r="G65" s="51"/>
      <c r="H65" s="13"/>
      <c r="I65" s="15"/>
      <c r="J65" s="15"/>
      <c r="K65" s="13"/>
      <c r="L65" s="13"/>
      <c r="M65" s="13"/>
      <c r="N65" s="13"/>
      <c r="O65" s="13"/>
      <c r="P65" s="13"/>
      <c r="Q65" s="13"/>
      <c r="R65" s="13"/>
      <c r="S65" s="113"/>
      <c r="T65" s="64"/>
      <c r="U65" s="103"/>
      <c r="V65" s="13"/>
      <c r="W65" s="75" t="s">
        <v>54</v>
      </c>
    </row>
    <row r="66" spans="1:23" x14ac:dyDescent="0.3">
      <c r="A66" s="75"/>
      <c r="B66" s="12"/>
      <c r="C66" s="75"/>
      <c r="D66" s="13"/>
      <c r="E66" s="38"/>
      <c r="F66" s="40"/>
      <c r="G66" s="51"/>
      <c r="H66" s="13"/>
      <c r="I66" s="15"/>
      <c r="J66" s="15"/>
      <c r="K66" s="13"/>
      <c r="L66" s="13"/>
      <c r="M66" s="13"/>
      <c r="N66" s="13"/>
      <c r="O66" s="13"/>
      <c r="P66" s="13"/>
      <c r="Q66" s="13"/>
      <c r="R66" s="13"/>
      <c r="S66" s="113"/>
      <c r="T66" s="64"/>
      <c r="U66" s="103"/>
      <c r="V66" s="13"/>
      <c r="W66" s="75" t="s">
        <v>54</v>
      </c>
    </row>
    <row r="67" spans="1:23" x14ac:dyDescent="0.3">
      <c r="A67" s="75"/>
      <c r="B67" s="12"/>
      <c r="C67" s="75"/>
      <c r="D67" s="13"/>
      <c r="E67" s="38"/>
      <c r="F67" s="40"/>
      <c r="G67" s="51"/>
      <c r="H67" s="13"/>
      <c r="I67" s="15"/>
      <c r="J67" s="15"/>
      <c r="K67" s="13"/>
      <c r="L67" s="13"/>
      <c r="M67" s="13"/>
      <c r="N67" s="13"/>
      <c r="O67" s="13"/>
      <c r="P67" s="13"/>
      <c r="Q67" s="13"/>
      <c r="R67" s="13"/>
      <c r="S67" s="113"/>
      <c r="T67" s="64"/>
      <c r="U67" s="103"/>
      <c r="V67" s="13"/>
      <c r="W67" s="75" t="s">
        <v>54</v>
      </c>
    </row>
    <row r="68" spans="1:23" x14ac:dyDescent="0.3">
      <c r="A68" s="75"/>
      <c r="B68" s="12"/>
      <c r="C68" s="75"/>
      <c r="D68" s="13"/>
      <c r="E68" s="38"/>
      <c r="F68" s="40"/>
      <c r="G68" s="51"/>
      <c r="H68" s="13"/>
      <c r="I68" s="15"/>
      <c r="J68" s="15"/>
      <c r="K68" s="13"/>
      <c r="L68" s="13"/>
      <c r="M68" s="13"/>
      <c r="N68" s="13"/>
      <c r="O68" s="13"/>
      <c r="P68" s="13"/>
      <c r="Q68" s="13"/>
      <c r="R68" s="13"/>
      <c r="S68" s="113"/>
      <c r="T68" s="64"/>
      <c r="U68" s="103"/>
      <c r="V68" s="13"/>
      <c r="W68" s="75" t="s">
        <v>54</v>
      </c>
    </row>
    <row r="69" spans="1:23" x14ac:dyDescent="0.3">
      <c r="A69" s="75"/>
      <c r="B69" s="12"/>
      <c r="C69" s="75"/>
      <c r="D69" s="13"/>
      <c r="E69" s="38"/>
      <c r="F69" s="40"/>
      <c r="G69" s="51"/>
      <c r="H69" s="13"/>
      <c r="I69" s="15"/>
      <c r="J69" s="15"/>
      <c r="K69" s="13"/>
      <c r="L69" s="13"/>
      <c r="M69" s="13"/>
      <c r="N69" s="13"/>
      <c r="O69" s="13"/>
      <c r="P69" s="13"/>
      <c r="Q69" s="13"/>
      <c r="R69" s="13"/>
      <c r="S69" s="113"/>
      <c r="T69" s="64"/>
      <c r="U69" s="103"/>
      <c r="V69" s="13"/>
      <c r="W69" s="75" t="s">
        <v>54</v>
      </c>
    </row>
    <row r="70" spans="1:23" x14ac:dyDescent="0.3">
      <c r="A70" s="75"/>
      <c r="B70" s="12"/>
      <c r="C70" s="75"/>
      <c r="D70" s="13"/>
      <c r="E70" s="38"/>
      <c r="F70" s="40"/>
      <c r="G70" s="51"/>
      <c r="H70" s="13"/>
      <c r="I70" s="15"/>
      <c r="J70" s="15"/>
      <c r="K70" s="13"/>
      <c r="L70" s="13"/>
      <c r="M70" s="13"/>
      <c r="N70" s="13"/>
      <c r="O70" s="13"/>
      <c r="P70" s="13"/>
      <c r="Q70" s="13"/>
      <c r="R70" s="13"/>
      <c r="S70" s="113"/>
      <c r="T70" s="64"/>
      <c r="U70" s="103"/>
      <c r="V70" s="13"/>
      <c r="W70" s="75" t="s">
        <v>54</v>
      </c>
    </row>
    <row r="71" spans="1:23" x14ac:dyDescent="0.3">
      <c r="A71" s="75"/>
      <c r="B71" s="12"/>
      <c r="C71" s="75"/>
      <c r="D71" s="13"/>
      <c r="E71" s="38"/>
      <c r="F71" s="40"/>
      <c r="G71" s="51"/>
      <c r="H71" s="13"/>
      <c r="I71" s="15"/>
      <c r="J71" s="15"/>
      <c r="K71" s="13"/>
      <c r="L71" s="13"/>
      <c r="M71" s="13"/>
      <c r="N71" s="13"/>
      <c r="O71" s="13"/>
      <c r="P71" s="13"/>
      <c r="Q71" s="13"/>
      <c r="R71" s="13"/>
      <c r="S71" s="113"/>
      <c r="T71" s="64"/>
      <c r="U71" s="103"/>
      <c r="V71" s="13"/>
      <c r="W71" s="75" t="s">
        <v>54</v>
      </c>
    </row>
    <row r="72" spans="1:23" x14ac:dyDescent="0.3">
      <c r="A72" s="75"/>
      <c r="B72" s="12"/>
      <c r="C72" s="75"/>
      <c r="D72" s="13"/>
      <c r="E72" s="38"/>
      <c r="F72" s="40"/>
      <c r="G72" s="51"/>
      <c r="H72" s="13"/>
      <c r="I72" s="15"/>
      <c r="J72" s="15"/>
      <c r="K72" s="13"/>
      <c r="L72" s="13"/>
      <c r="M72" s="13"/>
      <c r="N72" s="13"/>
      <c r="O72" s="13"/>
      <c r="P72" s="13"/>
      <c r="Q72" s="13"/>
      <c r="R72" s="13"/>
      <c r="S72" s="113"/>
      <c r="T72" s="64"/>
      <c r="U72" s="103"/>
      <c r="V72" s="13"/>
      <c r="W72" s="75" t="s">
        <v>54</v>
      </c>
    </row>
    <row r="73" spans="1:23" x14ac:dyDescent="0.3">
      <c r="A73" s="75"/>
      <c r="B73" s="12"/>
      <c r="C73" s="75"/>
      <c r="D73" s="13"/>
      <c r="E73" s="38"/>
      <c r="F73" s="40"/>
      <c r="G73" s="51"/>
      <c r="H73" s="13"/>
      <c r="I73" s="15"/>
      <c r="J73" s="15"/>
      <c r="K73" s="13"/>
      <c r="L73" s="13"/>
      <c r="M73" s="13"/>
      <c r="N73" s="13"/>
      <c r="O73" s="13"/>
      <c r="P73" s="13"/>
      <c r="Q73" s="13"/>
      <c r="R73" s="13"/>
      <c r="S73" s="113"/>
      <c r="T73" s="64"/>
      <c r="U73" s="103"/>
      <c r="V73" s="13"/>
      <c r="W73" s="75" t="s">
        <v>54</v>
      </c>
    </row>
    <row r="74" spans="1:23" x14ac:dyDescent="0.3">
      <c r="A74" s="75"/>
      <c r="B74" s="12"/>
      <c r="C74" s="75"/>
      <c r="D74" s="13"/>
      <c r="E74" s="38"/>
      <c r="F74" s="40"/>
      <c r="G74" s="51"/>
      <c r="H74" s="13"/>
      <c r="I74" s="15"/>
      <c r="J74" s="15"/>
      <c r="K74" s="13"/>
      <c r="L74" s="13"/>
      <c r="M74" s="13"/>
      <c r="N74" s="13"/>
      <c r="O74" s="13"/>
      <c r="P74" s="13"/>
      <c r="Q74" s="13"/>
      <c r="R74" s="13"/>
      <c r="S74" s="113"/>
      <c r="T74" s="64"/>
      <c r="U74" s="103"/>
      <c r="V74" s="13"/>
      <c r="W74" s="22"/>
    </row>
    <row r="75" spans="1:23" x14ac:dyDescent="0.3">
      <c r="A75" s="75"/>
      <c r="B75" s="12"/>
      <c r="C75" s="75"/>
      <c r="D75" s="13"/>
      <c r="E75" s="38"/>
      <c r="F75" s="40"/>
      <c r="G75" s="51"/>
      <c r="H75" s="13"/>
      <c r="I75" s="15"/>
      <c r="J75" s="15"/>
      <c r="K75" s="13"/>
      <c r="L75" s="13"/>
      <c r="M75" s="13"/>
      <c r="N75" s="13"/>
      <c r="O75" s="13"/>
      <c r="P75" s="13"/>
      <c r="Q75" s="13"/>
      <c r="R75" s="13"/>
      <c r="S75" s="113"/>
      <c r="T75" s="64"/>
      <c r="U75" s="103"/>
      <c r="V75" s="13"/>
      <c r="W75" s="22"/>
    </row>
    <row r="76" spans="1:23" x14ac:dyDescent="0.3">
      <c r="A76" s="75"/>
      <c r="B76" s="12"/>
      <c r="C76" s="75"/>
      <c r="D76" s="13"/>
      <c r="E76" s="38"/>
      <c r="F76" s="40"/>
      <c r="G76" s="51"/>
      <c r="H76" s="13"/>
      <c r="I76" s="15"/>
      <c r="J76" s="15"/>
      <c r="K76" s="13"/>
      <c r="L76" s="13"/>
      <c r="M76" s="13"/>
      <c r="N76" s="13"/>
      <c r="O76" s="13"/>
      <c r="P76" s="13"/>
      <c r="Q76" s="13"/>
      <c r="R76" s="13"/>
      <c r="S76" s="113"/>
      <c r="T76" s="64"/>
      <c r="U76" s="103"/>
      <c r="V76" s="13"/>
      <c r="W76" s="22"/>
    </row>
    <row r="77" spans="1:23" x14ac:dyDescent="0.3">
      <c r="A77" s="75"/>
      <c r="B77" s="12"/>
      <c r="C77" s="75"/>
      <c r="D77" s="13"/>
      <c r="E77" s="38"/>
      <c r="F77" s="40"/>
      <c r="G77" s="51"/>
      <c r="H77" s="13"/>
      <c r="I77" s="15"/>
      <c r="J77" s="15"/>
      <c r="K77" s="13"/>
      <c r="L77" s="13"/>
      <c r="M77" s="13"/>
      <c r="N77" s="13"/>
      <c r="O77" s="13"/>
      <c r="P77" s="13"/>
      <c r="Q77" s="13"/>
      <c r="R77" s="13"/>
      <c r="S77" s="113"/>
      <c r="T77" s="64"/>
      <c r="U77" s="103"/>
      <c r="V77" s="13"/>
      <c r="W77" s="22"/>
    </row>
    <row r="78" spans="1:23" x14ac:dyDescent="0.3">
      <c r="A78" s="75"/>
      <c r="B78" s="12"/>
      <c r="C78" s="75"/>
      <c r="D78" s="13"/>
      <c r="E78" s="38"/>
      <c r="F78" s="40"/>
      <c r="G78" s="51"/>
      <c r="H78" s="13"/>
      <c r="I78" s="15"/>
      <c r="J78" s="15"/>
      <c r="K78" s="13"/>
      <c r="L78" s="13"/>
      <c r="M78" s="13"/>
      <c r="N78" s="13"/>
      <c r="O78" s="13"/>
      <c r="P78" s="13"/>
      <c r="Q78" s="13"/>
      <c r="R78" s="13"/>
      <c r="S78" s="113"/>
      <c r="T78" s="64"/>
      <c r="U78" s="103"/>
      <c r="V78" s="13"/>
      <c r="W78" s="13"/>
    </row>
    <row r="79" spans="1:23" x14ac:dyDescent="0.3">
      <c r="A79" s="75"/>
      <c r="B79" s="12"/>
      <c r="C79" s="75"/>
      <c r="D79" s="13"/>
      <c r="E79" s="38"/>
      <c r="F79" s="40"/>
      <c r="G79" s="51"/>
      <c r="H79" s="13"/>
      <c r="I79" s="15"/>
      <c r="J79" s="15"/>
      <c r="K79" s="13"/>
      <c r="L79" s="13"/>
      <c r="M79" s="13"/>
      <c r="N79" s="13"/>
      <c r="O79" s="13"/>
      <c r="P79" s="13"/>
      <c r="Q79" s="13"/>
      <c r="R79" s="13"/>
      <c r="S79" s="113"/>
      <c r="T79" s="64"/>
      <c r="U79" s="103"/>
      <c r="V79" s="13"/>
      <c r="W79" s="13"/>
    </row>
  </sheetData>
  <mergeCells count="2">
    <mergeCell ref="A8:P8"/>
    <mergeCell ref="Q8:W8"/>
  </mergeCells>
  <conditionalFormatting sqref="U9">
    <cfRule type="cellIs" dxfId="10" priority="14" operator="between">
      <formula>6</formula>
      <formula>10</formula>
    </cfRule>
    <cfRule type="cellIs" dxfId="9" priority="15" operator="between">
      <formula>1</formula>
      <formula>5</formula>
    </cfRule>
  </conditionalFormatting>
  <conditionalFormatting sqref="U9">
    <cfRule type="cellIs" dxfId="8" priority="13" operator="between">
      <formula>11</formula>
      <formula>30</formula>
    </cfRule>
  </conditionalFormatting>
  <dataValidations count="3">
    <dataValidation type="list" allowBlank="1" showInputMessage="1" showErrorMessage="1" sqref="D10:D79" xr:uid="{E9CDD140-0650-418E-8268-C7AA162E6B10}">
      <formula1>"Sim, Não"</formula1>
    </dataValidation>
    <dataValidation type="list" allowBlank="1" showInputMessage="1" showErrorMessage="1" sqref="K10:K79" xr:uid="{C9744AFA-16DC-4480-878E-640A590FD824}">
      <formula1>"Legado,Novo"</formula1>
    </dataValidation>
    <dataValidation type="list" allowBlank="1" showInputMessage="1" showErrorMessage="1" sqref="L10:N79" xr:uid="{648DDDD0-D915-4333-B2F6-A33B91C0BBE1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E8D64-8DFA-425A-B19F-1956B3536732}">
  <sheetPr codeName="Planilha10"/>
  <dimension ref="A1:E6"/>
  <sheetViews>
    <sheetView workbookViewId="0">
      <selection activeCell="C8" sqref="C8"/>
    </sheetView>
  </sheetViews>
  <sheetFormatPr defaultRowHeight="14.4" x14ac:dyDescent="0.3"/>
  <cols>
    <col min="2" max="2" width="10.6640625" bestFit="1" customWidth="1"/>
    <col min="3" max="3" width="14.5546875" bestFit="1" customWidth="1"/>
    <col min="4" max="4" width="13.6640625" bestFit="1" customWidth="1"/>
    <col min="5" max="5" width="18.5546875" bestFit="1" customWidth="1"/>
  </cols>
  <sheetData>
    <row r="1" spans="1:5" x14ac:dyDescent="0.3">
      <c r="A1" s="127" t="s">
        <v>86</v>
      </c>
      <c r="B1" s="28" t="s">
        <v>1322</v>
      </c>
      <c r="C1" s="28" t="s">
        <v>1323</v>
      </c>
      <c r="D1" s="28" t="s">
        <v>1324</v>
      </c>
      <c r="E1" s="28" t="s">
        <v>1325</v>
      </c>
    </row>
    <row r="2" spans="1:5" x14ac:dyDescent="0.3">
      <c r="A2" s="127"/>
      <c r="B2" s="28"/>
      <c r="C2" s="28"/>
      <c r="D2" s="28"/>
      <c r="E2" s="28"/>
    </row>
    <row r="3" spans="1:5" x14ac:dyDescent="0.3">
      <c r="A3" s="127"/>
      <c r="B3" s="28"/>
      <c r="C3" s="28"/>
      <c r="D3" s="28"/>
      <c r="E3" s="28"/>
    </row>
    <row r="4" spans="1:5" x14ac:dyDescent="0.3">
      <c r="A4" s="127"/>
      <c r="B4" s="28"/>
      <c r="C4" s="28"/>
      <c r="D4" s="28"/>
      <c r="E4" s="28"/>
    </row>
    <row r="5" spans="1:5" x14ac:dyDescent="0.3">
      <c r="A5" s="127"/>
      <c r="B5" s="28"/>
      <c r="C5" s="28"/>
      <c r="D5" s="28"/>
      <c r="E5" s="28"/>
    </row>
    <row r="6" spans="1:5" x14ac:dyDescent="0.3">
      <c r="A6" s="127"/>
      <c r="B6" s="28"/>
      <c r="C6" s="28"/>
      <c r="D6" s="28"/>
      <c r="E6" s="28"/>
    </row>
  </sheetData>
  <mergeCells count="1">
    <mergeCell ref="A1:A6"/>
  </mergeCell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53DE4-D9A9-448D-80B1-A4300D9E4875}">
  <sheetPr codeName="Planilha11"/>
  <dimension ref="A1:M1840"/>
  <sheetViews>
    <sheetView zoomScale="70" zoomScaleNormal="70" workbookViewId="0">
      <selection activeCell="H22" sqref="H22"/>
    </sheetView>
  </sheetViews>
  <sheetFormatPr defaultRowHeight="14.4" x14ac:dyDescent="0.3"/>
  <cols>
    <col min="1" max="1" width="16.33203125" customWidth="1"/>
    <col min="2" max="2" width="74.44140625" bestFit="1" customWidth="1"/>
    <col min="3" max="3" width="17.44140625" bestFit="1" customWidth="1"/>
    <col min="4" max="4" width="16.33203125" bestFit="1" customWidth="1"/>
    <col min="5" max="5" width="52.109375" hidden="1" customWidth="1"/>
    <col min="6" max="6" width="19.5546875" bestFit="1" customWidth="1"/>
    <col min="7" max="7" width="52.109375" hidden="1" customWidth="1"/>
    <col min="8" max="8" width="40.5546875" bestFit="1" customWidth="1"/>
    <col min="9" max="9" width="36.33203125" bestFit="1" customWidth="1"/>
    <col min="10" max="10" width="28" bestFit="1" customWidth="1"/>
    <col min="11" max="11" width="21" customWidth="1"/>
    <col min="12" max="12" width="10.6640625" bestFit="1" customWidth="1"/>
    <col min="13" max="13" width="19.44140625" bestFit="1" customWidth="1"/>
  </cols>
  <sheetData>
    <row r="1" spans="1:13" ht="18" thickBot="1" x14ac:dyDescent="0.35">
      <c r="A1" s="29" t="s">
        <v>75</v>
      </c>
      <c r="B1" s="30" t="s">
        <v>76</v>
      </c>
      <c r="C1" s="31" t="s">
        <v>77</v>
      </c>
      <c r="D1" s="30" t="s">
        <v>78</v>
      </c>
      <c r="E1" s="30"/>
      <c r="F1" s="30" t="s">
        <v>79</v>
      </c>
      <c r="G1" s="30"/>
      <c r="H1" s="30" t="s">
        <v>80</v>
      </c>
      <c r="I1" s="30" t="s">
        <v>7</v>
      </c>
      <c r="J1" s="30" t="s">
        <v>81</v>
      </c>
      <c r="K1" s="30" t="s">
        <v>82</v>
      </c>
      <c r="L1" s="30" t="s">
        <v>83</v>
      </c>
      <c r="M1" s="32" t="s">
        <v>84</v>
      </c>
    </row>
    <row r="2" spans="1:13" x14ac:dyDescent="0.3">
      <c r="A2" s="33">
        <v>53</v>
      </c>
      <c r="B2" s="13" t="s">
        <v>85</v>
      </c>
      <c r="C2" s="21">
        <v>7896181900085</v>
      </c>
      <c r="D2" s="34" t="s">
        <v>86</v>
      </c>
      <c r="E2" s="34" t="str">
        <f>B2&amp;I2</f>
        <v>CORUS H 100/25G 30 COMPDesconto Flat</v>
      </c>
      <c r="F2" s="13">
        <v>34</v>
      </c>
      <c r="G2" s="13"/>
      <c r="H2" s="13" t="s">
        <v>87</v>
      </c>
      <c r="I2" s="13" t="s">
        <v>88</v>
      </c>
      <c r="J2" s="13">
        <v>3</v>
      </c>
      <c r="K2" s="35">
        <v>0.59</v>
      </c>
      <c r="L2" s="34" t="s">
        <v>89</v>
      </c>
      <c r="M2" s="36" t="s">
        <v>90</v>
      </c>
    </row>
    <row r="3" spans="1:13" x14ac:dyDescent="0.3">
      <c r="A3" s="37">
        <v>53</v>
      </c>
      <c r="B3" s="38" t="s">
        <v>85</v>
      </c>
      <c r="C3" s="39">
        <v>7896181900085</v>
      </c>
      <c r="D3" s="40" t="s">
        <v>86</v>
      </c>
      <c r="E3" s="40"/>
      <c r="F3" s="38">
        <v>206</v>
      </c>
      <c r="G3" s="38"/>
      <c r="H3" s="38" t="s">
        <v>87</v>
      </c>
      <c r="I3" s="38" t="s">
        <v>88</v>
      </c>
      <c r="J3" s="38">
        <v>3</v>
      </c>
      <c r="K3" s="41">
        <v>0.59</v>
      </c>
      <c r="L3" s="38" t="s">
        <v>89</v>
      </c>
      <c r="M3" s="42" t="s">
        <v>90</v>
      </c>
    </row>
    <row r="4" spans="1:13" x14ac:dyDescent="0.3">
      <c r="A4" s="37">
        <v>53</v>
      </c>
      <c r="B4" s="38" t="s">
        <v>91</v>
      </c>
      <c r="C4" s="39">
        <v>7896181900115</v>
      </c>
      <c r="D4" s="40" t="s">
        <v>86</v>
      </c>
      <c r="E4" s="40"/>
      <c r="F4" s="38">
        <v>34</v>
      </c>
      <c r="G4" s="38"/>
      <c r="H4" s="38" t="s">
        <v>87</v>
      </c>
      <c r="I4" s="38" t="s">
        <v>88</v>
      </c>
      <c r="J4" s="38">
        <v>3</v>
      </c>
      <c r="K4" s="41">
        <v>0.31</v>
      </c>
      <c r="L4" s="38" t="s">
        <v>89</v>
      </c>
      <c r="M4" s="42" t="s">
        <v>90</v>
      </c>
    </row>
    <row r="5" spans="1:13" x14ac:dyDescent="0.3">
      <c r="A5" s="37">
        <v>53</v>
      </c>
      <c r="B5" s="38" t="s">
        <v>91</v>
      </c>
      <c r="C5" s="39">
        <v>7896181900115</v>
      </c>
      <c r="D5" s="40" t="s">
        <v>86</v>
      </c>
      <c r="E5" s="40"/>
      <c r="F5" s="38">
        <v>206</v>
      </c>
      <c r="G5" s="38"/>
      <c r="H5" s="38" t="s">
        <v>87</v>
      </c>
      <c r="I5" s="38" t="s">
        <v>88</v>
      </c>
      <c r="J5" s="38">
        <v>3</v>
      </c>
      <c r="K5" s="41">
        <v>0.31</v>
      </c>
      <c r="L5" s="38" t="s">
        <v>89</v>
      </c>
      <c r="M5" s="42" t="s">
        <v>90</v>
      </c>
    </row>
    <row r="6" spans="1:13" x14ac:dyDescent="0.3">
      <c r="A6" s="37">
        <v>53</v>
      </c>
      <c r="B6" s="38" t="s">
        <v>92</v>
      </c>
      <c r="C6" s="39">
        <v>7896181905271</v>
      </c>
      <c r="D6" s="40" t="s">
        <v>86</v>
      </c>
      <c r="E6" s="40"/>
      <c r="F6" s="38">
        <v>20</v>
      </c>
      <c r="G6" s="38"/>
      <c r="H6" s="38" t="s">
        <v>93</v>
      </c>
      <c r="I6" s="38" t="s">
        <v>88</v>
      </c>
      <c r="J6" s="38">
        <v>3</v>
      </c>
      <c r="K6" s="41">
        <v>0.32</v>
      </c>
      <c r="L6" s="38" t="s">
        <v>94</v>
      </c>
      <c r="M6" s="42" t="s">
        <v>90</v>
      </c>
    </row>
    <row r="7" spans="1:13" x14ac:dyDescent="0.3">
      <c r="A7" s="37">
        <v>53</v>
      </c>
      <c r="B7" s="38" t="s">
        <v>92</v>
      </c>
      <c r="C7" s="39">
        <v>7896181905271</v>
      </c>
      <c r="D7" s="40" t="s">
        <v>86</v>
      </c>
      <c r="E7" s="40"/>
      <c r="F7" s="38">
        <v>20</v>
      </c>
      <c r="G7" s="38"/>
      <c r="H7" s="38" t="s">
        <v>93</v>
      </c>
      <c r="I7" s="38" t="s">
        <v>88</v>
      </c>
      <c r="J7" s="38">
        <v>3</v>
      </c>
      <c r="K7" s="41">
        <v>0.31</v>
      </c>
      <c r="L7" s="38" t="s">
        <v>95</v>
      </c>
      <c r="M7" s="42" t="s">
        <v>90</v>
      </c>
    </row>
    <row r="8" spans="1:13" x14ac:dyDescent="0.3">
      <c r="A8" s="37">
        <v>53</v>
      </c>
      <c r="B8" s="38" t="s">
        <v>92</v>
      </c>
      <c r="C8" s="39">
        <v>7896181905271</v>
      </c>
      <c r="D8" s="40" t="s">
        <v>86</v>
      </c>
      <c r="E8" s="40"/>
      <c r="F8" s="38">
        <v>20</v>
      </c>
      <c r="G8" s="38"/>
      <c r="H8" s="38" t="s">
        <v>93</v>
      </c>
      <c r="I8" s="38" t="s">
        <v>88</v>
      </c>
      <c r="J8" s="38">
        <v>3</v>
      </c>
      <c r="K8" s="41">
        <v>0.36</v>
      </c>
      <c r="L8" s="38" t="s">
        <v>89</v>
      </c>
      <c r="M8" s="42" t="s">
        <v>90</v>
      </c>
    </row>
    <row r="9" spans="1:13" x14ac:dyDescent="0.3">
      <c r="A9" s="37">
        <v>53</v>
      </c>
      <c r="B9" s="38" t="s">
        <v>92</v>
      </c>
      <c r="C9" s="39">
        <v>7896181905271</v>
      </c>
      <c r="D9" s="40" t="s">
        <v>86</v>
      </c>
      <c r="E9" s="40"/>
      <c r="F9" s="38">
        <v>204</v>
      </c>
      <c r="G9" s="38"/>
      <c r="H9" s="38" t="s">
        <v>93</v>
      </c>
      <c r="I9" s="38" t="s">
        <v>88</v>
      </c>
      <c r="J9" s="38">
        <v>3</v>
      </c>
      <c r="K9" s="41">
        <v>0.32</v>
      </c>
      <c r="L9" s="38" t="s">
        <v>94</v>
      </c>
      <c r="M9" s="42" t="s">
        <v>90</v>
      </c>
    </row>
    <row r="10" spans="1:13" x14ac:dyDescent="0.3">
      <c r="A10" s="37">
        <v>53</v>
      </c>
      <c r="B10" s="38" t="s">
        <v>92</v>
      </c>
      <c r="C10" s="39">
        <v>7896181905271</v>
      </c>
      <c r="D10" s="40" t="s">
        <v>86</v>
      </c>
      <c r="E10" s="40"/>
      <c r="F10" s="38">
        <v>204</v>
      </c>
      <c r="G10" s="38"/>
      <c r="H10" s="38" t="s">
        <v>93</v>
      </c>
      <c r="I10" s="38" t="s">
        <v>88</v>
      </c>
      <c r="J10" s="38">
        <v>3</v>
      </c>
      <c r="K10" s="41">
        <v>0.31</v>
      </c>
      <c r="L10" s="38" t="s">
        <v>95</v>
      </c>
      <c r="M10" s="42" t="s">
        <v>90</v>
      </c>
    </row>
    <row r="11" spans="1:13" x14ac:dyDescent="0.3">
      <c r="A11" s="37">
        <v>53</v>
      </c>
      <c r="B11" s="38" t="s">
        <v>92</v>
      </c>
      <c r="C11" s="39">
        <v>7896181905271</v>
      </c>
      <c r="D11" s="40" t="s">
        <v>86</v>
      </c>
      <c r="E11" s="40"/>
      <c r="F11" s="38">
        <v>204</v>
      </c>
      <c r="G11" s="38"/>
      <c r="H11" s="38" t="s">
        <v>93</v>
      </c>
      <c r="I11" s="38" t="s">
        <v>88</v>
      </c>
      <c r="J11" s="38">
        <v>3</v>
      </c>
      <c r="K11" s="41">
        <v>0.36</v>
      </c>
      <c r="L11" s="38" t="s">
        <v>89</v>
      </c>
      <c r="M11" s="42" t="s">
        <v>90</v>
      </c>
    </row>
    <row r="12" spans="1:13" x14ac:dyDescent="0.3">
      <c r="A12" s="37">
        <v>53</v>
      </c>
      <c r="B12" s="38" t="s">
        <v>96</v>
      </c>
      <c r="C12" s="39">
        <v>7896181905288</v>
      </c>
      <c r="D12" s="40" t="s">
        <v>86</v>
      </c>
      <c r="E12" s="40"/>
      <c r="F12" s="38">
        <v>20</v>
      </c>
      <c r="G12" s="38"/>
      <c r="H12" s="38" t="s">
        <v>93</v>
      </c>
      <c r="I12" s="38" t="s">
        <v>88</v>
      </c>
      <c r="J12" s="38">
        <v>3</v>
      </c>
      <c r="K12" s="41">
        <v>0.32</v>
      </c>
      <c r="L12" s="38" t="s">
        <v>94</v>
      </c>
      <c r="M12" s="42" t="s">
        <v>90</v>
      </c>
    </row>
    <row r="13" spans="1:13" x14ac:dyDescent="0.3">
      <c r="A13" s="37">
        <v>53</v>
      </c>
      <c r="B13" s="38" t="s">
        <v>96</v>
      </c>
      <c r="C13" s="39">
        <v>7896181905288</v>
      </c>
      <c r="D13" s="40" t="s">
        <v>86</v>
      </c>
      <c r="E13" s="40"/>
      <c r="F13" s="38">
        <v>20</v>
      </c>
      <c r="G13" s="38"/>
      <c r="H13" s="38" t="s">
        <v>93</v>
      </c>
      <c r="I13" s="38" t="s">
        <v>88</v>
      </c>
      <c r="J13" s="38">
        <v>3</v>
      </c>
      <c r="K13" s="41">
        <v>0.31</v>
      </c>
      <c r="L13" s="38" t="s">
        <v>95</v>
      </c>
      <c r="M13" s="42" t="s">
        <v>90</v>
      </c>
    </row>
    <row r="14" spans="1:13" x14ac:dyDescent="0.3">
      <c r="A14" s="37">
        <v>53</v>
      </c>
      <c r="B14" s="38" t="s">
        <v>96</v>
      </c>
      <c r="C14" s="39">
        <v>7896181905288</v>
      </c>
      <c r="D14" s="40" t="s">
        <v>86</v>
      </c>
      <c r="E14" s="40"/>
      <c r="F14" s="38">
        <v>20</v>
      </c>
      <c r="G14" s="38"/>
      <c r="H14" s="38" t="s">
        <v>93</v>
      </c>
      <c r="I14" s="38" t="s">
        <v>88</v>
      </c>
      <c r="J14" s="38">
        <v>3</v>
      </c>
      <c r="K14" s="41">
        <v>0.36</v>
      </c>
      <c r="L14" s="38" t="s">
        <v>89</v>
      </c>
      <c r="M14" s="42" t="s">
        <v>90</v>
      </c>
    </row>
    <row r="15" spans="1:13" x14ac:dyDescent="0.3">
      <c r="A15" s="37">
        <v>53</v>
      </c>
      <c r="B15" s="38" t="s">
        <v>96</v>
      </c>
      <c r="C15" s="39">
        <v>7896181905288</v>
      </c>
      <c r="D15" s="40" t="s">
        <v>86</v>
      </c>
      <c r="E15" s="40"/>
      <c r="F15" s="38">
        <v>204</v>
      </c>
      <c r="G15" s="38"/>
      <c r="H15" s="38" t="s">
        <v>93</v>
      </c>
      <c r="I15" s="38" t="s">
        <v>88</v>
      </c>
      <c r="J15" s="38">
        <v>3</v>
      </c>
      <c r="K15" s="41">
        <v>0.32</v>
      </c>
      <c r="L15" s="38" t="s">
        <v>94</v>
      </c>
      <c r="M15" s="42" t="s">
        <v>90</v>
      </c>
    </row>
    <row r="16" spans="1:13" x14ac:dyDescent="0.3">
      <c r="A16" s="37">
        <v>53</v>
      </c>
      <c r="B16" s="38" t="s">
        <v>96</v>
      </c>
      <c r="C16" s="39">
        <v>7896181905288</v>
      </c>
      <c r="D16" s="40" t="s">
        <v>86</v>
      </c>
      <c r="E16" s="40"/>
      <c r="F16" s="38">
        <v>204</v>
      </c>
      <c r="G16" s="38"/>
      <c r="H16" s="38" t="s">
        <v>93</v>
      </c>
      <c r="I16" s="38" t="s">
        <v>88</v>
      </c>
      <c r="J16" s="38">
        <v>3</v>
      </c>
      <c r="K16" s="41">
        <v>0.31</v>
      </c>
      <c r="L16" s="38" t="s">
        <v>95</v>
      </c>
      <c r="M16" s="42" t="s">
        <v>90</v>
      </c>
    </row>
    <row r="17" spans="1:13" x14ac:dyDescent="0.3">
      <c r="A17" s="37">
        <v>53</v>
      </c>
      <c r="B17" s="38" t="s">
        <v>96</v>
      </c>
      <c r="C17" s="39">
        <v>7896181905288</v>
      </c>
      <c r="D17" s="40" t="s">
        <v>86</v>
      </c>
      <c r="E17" s="40"/>
      <c r="F17" s="38">
        <v>204</v>
      </c>
      <c r="G17" s="38"/>
      <c r="H17" s="38" t="s">
        <v>93</v>
      </c>
      <c r="I17" s="38" t="s">
        <v>88</v>
      </c>
      <c r="J17" s="38">
        <v>3</v>
      </c>
      <c r="K17" s="41">
        <v>0.36</v>
      </c>
      <c r="L17" s="38" t="s">
        <v>89</v>
      </c>
      <c r="M17" s="42" t="s">
        <v>90</v>
      </c>
    </row>
    <row r="18" spans="1:13" x14ac:dyDescent="0.3">
      <c r="A18" s="37">
        <v>53</v>
      </c>
      <c r="B18" s="38" t="s">
        <v>97</v>
      </c>
      <c r="C18" s="39">
        <v>7896181905295</v>
      </c>
      <c r="D18" s="40" t="s">
        <v>86</v>
      </c>
      <c r="E18" s="40"/>
      <c r="F18" s="38">
        <v>20</v>
      </c>
      <c r="G18" s="38"/>
      <c r="H18" s="38" t="s">
        <v>93</v>
      </c>
      <c r="I18" s="38" t="s">
        <v>88</v>
      </c>
      <c r="J18" s="38">
        <v>3</v>
      </c>
      <c r="K18" s="41">
        <v>0.4</v>
      </c>
      <c r="L18" s="38" t="s">
        <v>94</v>
      </c>
      <c r="M18" s="42" t="s">
        <v>90</v>
      </c>
    </row>
    <row r="19" spans="1:13" x14ac:dyDescent="0.3">
      <c r="A19" s="37">
        <v>53</v>
      </c>
      <c r="B19" s="38" t="s">
        <v>97</v>
      </c>
      <c r="C19" s="39">
        <v>7896181905295</v>
      </c>
      <c r="D19" s="40" t="s">
        <v>86</v>
      </c>
      <c r="E19" s="40"/>
      <c r="F19" s="38">
        <v>20</v>
      </c>
      <c r="G19" s="38"/>
      <c r="H19" s="38" t="s">
        <v>93</v>
      </c>
      <c r="I19" s="38" t="s">
        <v>88</v>
      </c>
      <c r="J19" s="38">
        <v>3</v>
      </c>
      <c r="K19" s="41">
        <v>0.39</v>
      </c>
      <c r="L19" s="38" t="s">
        <v>95</v>
      </c>
      <c r="M19" s="42" t="s">
        <v>90</v>
      </c>
    </row>
    <row r="20" spans="1:13" x14ac:dyDescent="0.3">
      <c r="A20" s="37">
        <v>53</v>
      </c>
      <c r="B20" s="38" t="s">
        <v>97</v>
      </c>
      <c r="C20" s="39">
        <v>7896181905295</v>
      </c>
      <c r="D20" s="40" t="s">
        <v>86</v>
      </c>
      <c r="E20" s="40"/>
      <c r="F20" s="38">
        <v>20</v>
      </c>
      <c r="G20" s="38"/>
      <c r="H20" s="38" t="s">
        <v>93</v>
      </c>
      <c r="I20" s="38" t="s">
        <v>88</v>
      </c>
      <c r="J20" s="38">
        <v>3</v>
      </c>
      <c r="K20" s="41">
        <v>0.46</v>
      </c>
      <c r="L20" s="38" t="s">
        <v>89</v>
      </c>
      <c r="M20" s="42" t="s">
        <v>90</v>
      </c>
    </row>
    <row r="21" spans="1:13" x14ac:dyDescent="0.3">
      <c r="A21" s="37">
        <v>53</v>
      </c>
      <c r="B21" s="38" t="s">
        <v>97</v>
      </c>
      <c r="C21" s="39">
        <v>7896181905295</v>
      </c>
      <c r="D21" s="40" t="s">
        <v>86</v>
      </c>
      <c r="E21" s="40"/>
      <c r="F21" s="38">
        <v>204</v>
      </c>
      <c r="G21" s="38"/>
      <c r="H21" s="38" t="s">
        <v>93</v>
      </c>
      <c r="I21" s="38" t="s">
        <v>88</v>
      </c>
      <c r="J21" s="38">
        <v>3</v>
      </c>
      <c r="K21" s="41">
        <v>0.4</v>
      </c>
      <c r="L21" s="38" t="s">
        <v>94</v>
      </c>
      <c r="M21" s="42" t="s">
        <v>90</v>
      </c>
    </row>
    <row r="22" spans="1:13" x14ac:dyDescent="0.3">
      <c r="A22" s="37">
        <v>53</v>
      </c>
      <c r="B22" s="38" t="s">
        <v>97</v>
      </c>
      <c r="C22" s="39">
        <v>7896181905295</v>
      </c>
      <c r="D22" s="40" t="s">
        <v>86</v>
      </c>
      <c r="E22" s="40"/>
      <c r="F22" s="38">
        <v>204</v>
      </c>
      <c r="G22" s="38"/>
      <c r="H22" s="38" t="s">
        <v>93</v>
      </c>
      <c r="I22" s="38" t="s">
        <v>88</v>
      </c>
      <c r="J22" s="38">
        <v>3</v>
      </c>
      <c r="K22" s="41">
        <v>0.39</v>
      </c>
      <c r="L22" s="38" t="s">
        <v>95</v>
      </c>
      <c r="M22" s="42" t="s">
        <v>90</v>
      </c>
    </row>
    <row r="23" spans="1:13" x14ac:dyDescent="0.3">
      <c r="A23" s="37">
        <v>53</v>
      </c>
      <c r="B23" s="38" t="s">
        <v>97</v>
      </c>
      <c r="C23" s="39">
        <v>7896181905295</v>
      </c>
      <c r="D23" s="40" t="s">
        <v>86</v>
      </c>
      <c r="E23" s="40"/>
      <c r="F23" s="38">
        <v>204</v>
      </c>
      <c r="G23" s="38"/>
      <c r="H23" s="38" t="s">
        <v>93</v>
      </c>
      <c r="I23" s="38" t="s">
        <v>88</v>
      </c>
      <c r="J23" s="38">
        <v>3</v>
      </c>
      <c r="K23" s="41">
        <v>0.46</v>
      </c>
      <c r="L23" s="38" t="s">
        <v>89</v>
      </c>
      <c r="M23" s="42" t="s">
        <v>90</v>
      </c>
    </row>
    <row r="24" spans="1:13" ht="15" customHeight="1" x14ac:dyDescent="0.3">
      <c r="A24" s="43">
        <v>53</v>
      </c>
      <c r="B24" s="44" t="s">
        <v>98</v>
      </c>
      <c r="C24" s="45">
        <v>7896181909118</v>
      </c>
      <c r="D24" s="46" t="s">
        <v>86</v>
      </c>
      <c r="E24" s="46"/>
      <c r="F24" s="44">
        <v>596</v>
      </c>
      <c r="G24" s="44"/>
      <c r="H24" s="44" t="s">
        <v>99</v>
      </c>
      <c r="I24" s="44" t="s">
        <v>88</v>
      </c>
      <c r="J24" s="44">
        <v>150</v>
      </c>
      <c r="K24" s="47" t="s">
        <v>100</v>
      </c>
      <c r="L24" s="44" t="s">
        <v>89</v>
      </c>
      <c r="M24" s="48" t="s">
        <v>90</v>
      </c>
    </row>
    <row r="25" spans="1:13" x14ac:dyDescent="0.3">
      <c r="A25" s="37">
        <v>53</v>
      </c>
      <c r="B25" s="38" t="s">
        <v>98</v>
      </c>
      <c r="C25" s="39">
        <v>7896181909118</v>
      </c>
      <c r="D25" s="40" t="s">
        <v>86</v>
      </c>
      <c r="E25" s="40"/>
      <c r="F25" s="38">
        <v>598</v>
      </c>
      <c r="G25" s="38"/>
      <c r="H25" s="38" t="s">
        <v>101</v>
      </c>
      <c r="I25" s="38" t="s">
        <v>102</v>
      </c>
      <c r="J25" s="38">
        <v>150</v>
      </c>
      <c r="K25" s="41" t="s">
        <v>103</v>
      </c>
      <c r="L25" s="38" t="s">
        <v>89</v>
      </c>
      <c r="M25" s="42" t="s">
        <v>90</v>
      </c>
    </row>
    <row r="26" spans="1:13" x14ac:dyDescent="0.3">
      <c r="A26" s="37">
        <v>53</v>
      </c>
      <c r="B26" s="38" t="s">
        <v>104</v>
      </c>
      <c r="C26" s="39">
        <v>7896181918943</v>
      </c>
      <c r="D26" s="40" t="s">
        <v>86</v>
      </c>
      <c r="E26" s="40"/>
      <c r="F26" s="38">
        <v>20</v>
      </c>
      <c r="G26" s="38"/>
      <c r="H26" s="38" t="s">
        <v>93</v>
      </c>
      <c r="I26" s="38" t="s">
        <v>88</v>
      </c>
      <c r="J26" s="38">
        <v>3</v>
      </c>
      <c r="K26" s="41">
        <v>0.37</v>
      </c>
      <c r="L26" s="38" t="s">
        <v>89</v>
      </c>
      <c r="M26" s="42" t="s">
        <v>90</v>
      </c>
    </row>
    <row r="27" spans="1:13" x14ac:dyDescent="0.3">
      <c r="A27" s="37">
        <v>53</v>
      </c>
      <c r="B27" s="38" t="s">
        <v>104</v>
      </c>
      <c r="C27" s="39">
        <v>7896181918943</v>
      </c>
      <c r="D27" s="40" t="s">
        <v>86</v>
      </c>
      <c r="E27" s="40"/>
      <c r="F27" s="38">
        <v>204</v>
      </c>
      <c r="G27" s="38"/>
      <c r="H27" s="38" t="s">
        <v>93</v>
      </c>
      <c r="I27" s="38" t="s">
        <v>88</v>
      </c>
      <c r="J27" s="38">
        <v>3</v>
      </c>
      <c r="K27" s="41">
        <v>0.37</v>
      </c>
      <c r="L27" s="38" t="s">
        <v>89</v>
      </c>
      <c r="M27" s="42" t="s">
        <v>90</v>
      </c>
    </row>
    <row r="28" spans="1:13" x14ac:dyDescent="0.3">
      <c r="A28" s="37">
        <v>53</v>
      </c>
      <c r="B28" s="38" t="s">
        <v>105</v>
      </c>
      <c r="C28" s="39">
        <v>7896181918950</v>
      </c>
      <c r="D28" s="40" t="s">
        <v>86</v>
      </c>
      <c r="E28" s="40"/>
      <c r="F28" s="38">
        <v>20</v>
      </c>
      <c r="G28" s="38"/>
      <c r="H28" s="38" t="s">
        <v>93</v>
      </c>
      <c r="I28" s="38" t="s">
        <v>88</v>
      </c>
      <c r="J28" s="38">
        <v>3</v>
      </c>
      <c r="K28" s="41">
        <v>0.44</v>
      </c>
      <c r="L28" s="38" t="s">
        <v>89</v>
      </c>
      <c r="M28" s="42" t="s">
        <v>90</v>
      </c>
    </row>
    <row r="29" spans="1:13" x14ac:dyDescent="0.3">
      <c r="A29" s="37">
        <v>53</v>
      </c>
      <c r="B29" s="38" t="s">
        <v>105</v>
      </c>
      <c r="C29" s="39">
        <v>7896181918950</v>
      </c>
      <c r="D29" s="40" t="s">
        <v>86</v>
      </c>
      <c r="E29" s="40"/>
      <c r="F29" s="38">
        <v>204</v>
      </c>
      <c r="G29" s="38"/>
      <c r="H29" s="38" t="s">
        <v>93</v>
      </c>
      <c r="I29" s="38" t="s">
        <v>88</v>
      </c>
      <c r="J29" s="38">
        <v>3</v>
      </c>
      <c r="K29" s="41">
        <v>0.44</v>
      </c>
      <c r="L29" s="38" t="s">
        <v>89</v>
      </c>
      <c r="M29" s="42" t="s">
        <v>90</v>
      </c>
    </row>
    <row r="30" spans="1:13" x14ac:dyDescent="0.3">
      <c r="A30" s="37">
        <v>53</v>
      </c>
      <c r="B30" s="38" t="s">
        <v>106</v>
      </c>
      <c r="C30" s="39">
        <v>7896181920397</v>
      </c>
      <c r="D30" s="40" t="s">
        <v>86</v>
      </c>
      <c r="E30" s="40"/>
      <c r="F30" s="38">
        <v>34</v>
      </c>
      <c r="G30" s="38"/>
      <c r="H30" s="38" t="s">
        <v>87</v>
      </c>
      <c r="I30" s="38" t="s">
        <v>88</v>
      </c>
      <c r="J30" s="38">
        <v>3</v>
      </c>
      <c r="K30" s="41">
        <v>0.36</v>
      </c>
      <c r="L30" s="38" t="s">
        <v>94</v>
      </c>
      <c r="M30" s="42" t="s">
        <v>90</v>
      </c>
    </row>
    <row r="31" spans="1:13" x14ac:dyDescent="0.3">
      <c r="A31" s="37">
        <v>53</v>
      </c>
      <c r="B31" s="38" t="s">
        <v>106</v>
      </c>
      <c r="C31" s="39">
        <v>7896181920397</v>
      </c>
      <c r="D31" s="40" t="s">
        <v>86</v>
      </c>
      <c r="E31" s="40"/>
      <c r="F31" s="38">
        <v>34</v>
      </c>
      <c r="G31" s="38"/>
      <c r="H31" s="38" t="s">
        <v>87</v>
      </c>
      <c r="I31" s="38" t="s">
        <v>88</v>
      </c>
      <c r="J31" s="38">
        <v>3</v>
      </c>
      <c r="K31" s="41">
        <v>0.36</v>
      </c>
      <c r="L31" s="38" t="s">
        <v>95</v>
      </c>
      <c r="M31" s="42" t="s">
        <v>90</v>
      </c>
    </row>
    <row r="32" spans="1:13" x14ac:dyDescent="0.3">
      <c r="A32" s="37">
        <v>53</v>
      </c>
      <c r="B32" s="38" t="s">
        <v>106</v>
      </c>
      <c r="C32" s="39">
        <v>7896181920397</v>
      </c>
      <c r="D32" s="40" t="s">
        <v>86</v>
      </c>
      <c r="E32" s="40"/>
      <c r="F32" s="38">
        <v>34</v>
      </c>
      <c r="G32" s="38"/>
      <c r="H32" s="38" t="s">
        <v>87</v>
      </c>
      <c r="I32" s="38" t="s">
        <v>88</v>
      </c>
      <c r="J32" s="38">
        <v>3</v>
      </c>
      <c r="K32" s="41">
        <v>0.39</v>
      </c>
      <c r="L32" s="38" t="s">
        <v>89</v>
      </c>
      <c r="M32" s="42" t="s">
        <v>90</v>
      </c>
    </row>
    <row r="33" spans="1:13" x14ac:dyDescent="0.3">
      <c r="A33" s="37">
        <v>53</v>
      </c>
      <c r="B33" s="38" t="s">
        <v>106</v>
      </c>
      <c r="C33" s="39">
        <v>7896181920397</v>
      </c>
      <c r="D33" s="40" t="s">
        <v>86</v>
      </c>
      <c r="E33" s="40"/>
      <c r="F33" s="38">
        <v>206</v>
      </c>
      <c r="G33" s="38"/>
      <c r="H33" s="38" t="s">
        <v>87</v>
      </c>
      <c r="I33" s="38" t="s">
        <v>88</v>
      </c>
      <c r="J33" s="38">
        <v>3</v>
      </c>
      <c r="K33" s="41">
        <v>0.36</v>
      </c>
      <c r="L33" s="38" t="s">
        <v>94</v>
      </c>
      <c r="M33" s="42" t="s">
        <v>90</v>
      </c>
    </row>
    <row r="34" spans="1:13" x14ac:dyDescent="0.3">
      <c r="A34" s="37">
        <v>53</v>
      </c>
      <c r="B34" s="38" t="s">
        <v>106</v>
      </c>
      <c r="C34" s="39">
        <v>7896181920397</v>
      </c>
      <c r="D34" s="40" t="s">
        <v>86</v>
      </c>
      <c r="E34" s="40"/>
      <c r="F34" s="38">
        <v>206</v>
      </c>
      <c r="G34" s="38"/>
      <c r="H34" s="38" t="s">
        <v>87</v>
      </c>
      <c r="I34" s="38" t="s">
        <v>88</v>
      </c>
      <c r="J34" s="38">
        <v>3</v>
      </c>
      <c r="K34" s="41">
        <v>0.36</v>
      </c>
      <c r="L34" s="38" t="s">
        <v>95</v>
      </c>
      <c r="M34" s="42" t="s">
        <v>90</v>
      </c>
    </row>
    <row r="35" spans="1:13" x14ac:dyDescent="0.3">
      <c r="A35" s="37">
        <v>53</v>
      </c>
      <c r="B35" s="38" t="s">
        <v>106</v>
      </c>
      <c r="C35" s="39">
        <v>7896181920397</v>
      </c>
      <c r="D35" s="40" t="s">
        <v>86</v>
      </c>
      <c r="E35" s="40"/>
      <c r="F35" s="38">
        <v>206</v>
      </c>
      <c r="G35" s="38"/>
      <c r="H35" s="38" t="s">
        <v>87</v>
      </c>
      <c r="I35" s="38" t="s">
        <v>88</v>
      </c>
      <c r="J35" s="38">
        <v>3</v>
      </c>
      <c r="K35" s="41">
        <v>0.39</v>
      </c>
      <c r="L35" s="38" t="s">
        <v>89</v>
      </c>
      <c r="M35" s="42" t="s">
        <v>90</v>
      </c>
    </row>
    <row r="36" spans="1:13" x14ac:dyDescent="0.3">
      <c r="A36" s="37">
        <v>53</v>
      </c>
      <c r="B36" s="38" t="s">
        <v>107</v>
      </c>
      <c r="C36" s="39">
        <v>7896181929178</v>
      </c>
      <c r="D36" s="40" t="s">
        <v>86</v>
      </c>
      <c r="E36" s="40"/>
      <c r="F36" s="38">
        <v>284</v>
      </c>
      <c r="G36" s="38"/>
      <c r="H36" s="38" t="s">
        <v>108</v>
      </c>
      <c r="I36" s="38" t="s">
        <v>102</v>
      </c>
      <c r="J36" s="38">
        <v>1</v>
      </c>
      <c r="K36" s="41">
        <v>0.56000000000000005</v>
      </c>
      <c r="L36" s="38" t="s">
        <v>89</v>
      </c>
      <c r="M36" s="42" t="s">
        <v>90</v>
      </c>
    </row>
    <row r="37" spans="1:13" x14ac:dyDescent="0.3">
      <c r="A37" s="37">
        <v>53</v>
      </c>
      <c r="B37" s="38" t="s">
        <v>107</v>
      </c>
      <c r="C37" s="39">
        <v>7896181929178</v>
      </c>
      <c r="D37" s="40" t="s">
        <v>86</v>
      </c>
      <c r="E37" s="40"/>
      <c r="F37" s="38">
        <v>933</v>
      </c>
      <c r="G37" s="38"/>
      <c r="H37" s="38" t="s">
        <v>109</v>
      </c>
      <c r="I37" s="38" t="s">
        <v>102</v>
      </c>
      <c r="J37" s="38">
        <v>1</v>
      </c>
      <c r="K37" s="41">
        <v>0.56000000000000005</v>
      </c>
      <c r="L37" s="38" t="s">
        <v>89</v>
      </c>
      <c r="M37" s="42" t="s">
        <v>90</v>
      </c>
    </row>
    <row r="38" spans="1:13" x14ac:dyDescent="0.3">
      <c r="A38" s="37">
        <v>53</v>
      </c>
      <c r="B38" s="38" t="s">
        <v>110</v>
      </c>
      <c r="C38" s="39">
        <v>7896658000201</v>
      </c>
      <c r="D38" s="40" t="s">
        <v>86</v>
      </c>
      <c r="E38" s="40"/>
      <c r="F38" s="38">
        <v>839</v>
      </c>
      <c r="G38" s="38"/>
      <c r="H38" s="38" t="s">
        <v>111</v>
      </c>
      <c r="I38" s="38" t="s">
        <v>88</v>
      </c>
      <c r="J38" s="38">
        <v>1</v>
      </c>
      <c r="K38" s="41">
        <v>0.65</v>
      </c>
      <c r="L38" s="38" t="s">
        <v>89</v>
      </c>
      <c r="M38" s="42" t="s">
        <v>90</v>
      </c>
    </row>
    <row r="39" spans="1:13" x14ac:dyDescent="0.3">
      <c r="A39" s="37">
        <v>53</v>
      </c>
      <c r="B39" s="38" t="s">
        <v>112</v>
      </c>
      <c r="C39" s="39">
        <v>7896658000843</v>
      </c>
      <c r="D39" s="40" t="s">
        <v>86</v>
      </c>
      <c r="E39" s="40"/>
      <c r="F39" s="38">
        <v>10</v>
      </c>
      <c r="G39" s="38"/>
      <c r="H39" s="38" t="s">
        <v>113</v>
      </c>
      <c r="I39" s="38" t="s">
        <v>88</v>
      </c>
      <c r="J39" s="38">
        <v>4</v>
      </c>
      <c r="K39" s="41">
        <v>0.48</v>
      </c>
      <c r="L39" s="38" t="s">
        <v>114</v>
      </c>
      <c r="M39" s="42" t="s">
        <v>115</v>
      </c>
    </row>
    <row r="40" spans="1:13" x14ac:dyDescent="0.3">
      <c r="A40" s="37">
        <v>53</v>
      </c>
      <c r="B40" s="38" t="s">
        <v>112</v>
      </c>
      <c r="C40" s="39">
        <v>7896658000843</v>
      </c>
      <c r="D40" s="40" t="s">
        <v>86</v>
      </c>
      <c r="E40" s="40"/>
      <c r="F40" s="38">
        <v>10</v>
      </c>
      <c r="G40" s="38"/>
      <c r="H40" s="38" t="s">
        <v>113</v>
      </c>
      <c r="I40" s="38" t="s">
        <v>88</v>
      </c>
      <c r="J40" s="38">
        <v>4</v>
      </c>
      <c r="K40" s="41">
        <v>0.48</v>
      </c>
      <c r="L40" s="38" t="s">
        <v>114</v>
      </c>
      <c r="M40" s="42" t="s">
        <v>116</v>
      </c>
    </row>
    <row r="41" spans="1:13" x14ac:dyDescent="0.3">
      <c r="A41" s="37">
        <v>53</v>
      </c>
      <c r="B41" s="38" t="s">
        <v>112</v>
      </c>
      <c r="C41" s="39">
        <v>7896658000843</v>
      </c>
      <c r="D41" s="40" t="s">
        <v>86</v>
      </c>
      <c r="E41" s="40"/>
      <c r="F41" s="38">
        <v>10</v>
      </c>
      <c r="G41" s="38"/>
      <c r="H41" s="38" t="s">
        <v>113</v>
      </c>
      <c r="I41" s="38" t="s">
        <v>88</v>
      </c>
      <c r="J41" s="38">
        <v>4</v>
      </c>
      <c r="K41" s="41">
        <v>0.48</v>
      </c>
      <c r="L41" s="38" t="s">
        <v>114</v>
      </c>
      <c r="M41" s="42" t="s">
        <v>117</v>
      </c>
    </row>
    <row r="42" spans="1:13" x14ac:dyDescent="0.3">
      <c r="A42" s="37">
        <v>53</v>
      </c>
      <c r="B42" s="38" t="s">
        <v>112</v>
      </c>
      <c r="C42" s="39">
        <v>7896658000843</v>
      </c>
      <c r="D42" s="40" t="s">
        <v>86</v>
      </c>
      <c r="E42" s="40"/>
      <c r="F42" s="38">
        <v>10</v>
      </c>
      <c r="G42" s="38"/>
      <c r="H42" s="38" t="s">
        <v>113</v>
      </c>
      <c r="I42" s="38" t="s">
        <v>88</v>
      </c>
      <c r="J42" s="38">
        <v>4</v>
      </c>
      <c r="K42" s="41">
        <v>0.48</v>
      </c>
      <c r="L42" s="38" t="s">
        <v>114</v>
      </c>
      <c r="M42" s="42" t="s">
        <v>118</v>
      </c>
    </row>
    <row r="43" spans="1:13" x14ac:dyDescent="0.3">
      <c r="A43" s="37">
        <v>53</v>
      </c>
      <c r="B43" s="38" t="s">
        <v>112</v>
      </c>
      <c r="C43" s="39">
        <v>7896658000843</v>
      </c>
      <c r="D43" s="40" t="s">
        <v>86</v>
      </c>
      <c r="E43" s="40"/>
      <c r="F43" s="38">
        <v>10</v>
      </c>
      <c r="G43" s="38"/>
      <c r="H43" s="38" t="s">
        <v>113</v>
      </c>
      <c r="I43" s="38" t="s">
        <v>88</v>
      </c>
      <c r="J43" s="38">
        <v>4</v>
      </c>
      <c r="K43" s="41">
        <v>0.48</v>
      </c>
      <c r="L43" s="38" t="s">
        <v>114</v>
      </c>
      <c r="M43" s="42" t="s">
        <v>119</v>
      </c>
    </row>
    <row r="44" spans="1:13" x14ac:dyDescent="0.3">
      <c r="A44" s="37">
        <v>53</v>
      </c>
      <c r="B44" s="38" t="s">
        <v>112</v>
      </c>
      <c r="C44" s="39">
        <v>7896658000843</v>
      </c>
      <c r="D44" s="40" t="s">
        <v>86</v>
      </c>
      <c r="E44" s="40"/>
      <c r="F44" s="38">
        <v>10</v>
      </c>
      <c r="G44" s="38"/>
      <c r="H44" s="38" t="s">
        <v>113</v>
      </c>
      <c r="I44" s="38" t="s">
        <v>88</v>
      </c>
      <c r="J44" s="38">
        <v>4</v>
      </c>
      <c r="K44" s="41">
        <v>0.48</v>
      </c>
      <c r="L44" s="49" t="s">
        <v>114</v>
      </c>
      <c r="M44" s="42" t="s">
        <v>120</v>
      </c>
    </row>
    <row r="45" spans="1:13" x14ac:dyDescent="0.3">
      <c r="A45" s="37">
        <v>53</v>
      </c>
      <c r="B45" s="38" t="s">
        <v>112</v>
      </c>
      <c r="C45" s="39">
        <v>7896658000843</v>
      </c>
      <c r="D45" s="40" t="s">
        <v>86</v>
      </c>
      <c r="E45" s="40"/>
      <c r="F45" s="38">
        <v>10</v>
      </c>
      <c r="G45" s="38"/>
      <c r="H45" s="38" t="s">
        <v>113</v>
      </c>
      <c r="I45" s="38" t="s">
        <v>88</v>
      </c>
      <c r="J45" s="38">
        <v>4</v>
      </c>
      <c r="K45" s="41">
        <v>0.48</v>
      </c>
      <c r="L45" s="38" t="s">
        <v>114</v>
      </c>
      <c r="M45" s="42" t="s">
        <v>121</v>
      </c>
    </row>
    <row r="46" spans="1:13" x14ac:dyDescent="0.3">
      <c r="A46" s="37">
        <v>53</v>
      </c>
      <c r="B46" s="38" t="s">
        <v>112</v>
      </c>
      <c r="C46" s="39">
        <v>7896658000843</v>
      </c>
      <c r="D46" s="40" t="s">
        <v>86</v>
      </c>
      <c r="E46" s="40"/>
      <c r="F46" s="38">
        <v>10</v>
      </c>
      <c r="G46" s="38"/>
      <c r="H46" s="38" t="s">
        <v>113</v>
      </c>
      <c r="I46" s="38" t="s">
        <v>88</v>
      </c>
      <c r="J46" s="38">
        <v>4</v>
      </c>
      <c r="K46" s="41">
        <v>0.48</v>
      </c>
      <c r="L46" s="38" t="s">
        <v>114</v>
      </c>
      <c r="M46" s="42" t="s">
        <v>122</v>
      </c>
    </row>
    <row r="47" spans="1:13" x14ac:dyDescent="0.3">
      <c r="A47" s="37">
        <v>53</v>
      </c>
      <c r="B47" s="38" t="s">
        <v>112</v>
      </c>
      <c r="C47" s="39">
        <v>7896658000843</v>
      </c>
      <c r="D47" s="40" t="s">
        <v>86</v>
      </c>
      <c r="E47" s="40"/>
      <c r="F47" s="38">
        <v>10</v>
      </c>
      <c r="G47" s="38"/>
      <c r="H47" s="38" t="s">
        <v>113</v>
      </c>
      <c r="I47" s="38" t="s">
        <v>88</v>
      </c>
      <c r="J47" s="38">
        <v>4</v>
      </c>
      <c r="K47" s="41">
        <v>0.48</v>
      </c>
      <c r="L47" s="38" t="s">
        <v>114</v>
      </c>
      <c r="M47" s="42" t="s">
        <v>123</v>
      </c>
    </row>
    <row r="48" spans="1:13" x14ac:dyDescent="0.3">
      <c r="A48" s="37">
        <v>53</v>
      </c>
      <c r="B48" s="38" t="s">
        <v>112</v>
      </c>
      <c r="C48" s="39">
        <v>7896658000843</v>
      </c>
      <c r="D48" s="40" t="s">
        <v>86</v>
      </c>
      <c r="E48" s="40"/>
      <c r="F48" s="38">
        <v>10</v>
      </c>
      <c r="G48" s="38"/>
      <c r="H48" s="38" t="s">
        <v>113</v>
      </c>
      <c r="I48" s="38" t="s">
        <v>88</v>
      </c>
      <c r="J48" s="38">
        <v>4</v>
      </c>
      <c r="K48" s="41">
        <v>0.48</v>
      </c>
      <c r="L48" s="38" t="s">
        <v>114</v>
      </c>
      <c r="M48" s="42" t="s">
        <v>124</v>
      </c>
    </row>
    <row r="49" spans="1:13" x14ac:dyDescent="0.3">
      <c r="A49" s="37">
        <v>53</v>
      </c>
      <c r="B49" s="38" t="s">
        <v>112</v>
      </c>
      <c r="C49" s="39">
        <v>7896658000843</v>
      </c>
      <c r="D49" s="40" t="s">
        <v>86</v>
      </c>
      <c r="E49" s="40"/>
      <c r="F49" s="38">
        <v>10</v>
      </c>
      <c r="G49" s="38"/>
      <c r="H49" s="38" t="s">
        <v>113</v>
      </c>
      <c r="I49" s="38" t="s">
        <v>88</v>
      </c>
      <c r="J49" s="38">
        <v>4</v>
      </c>
      <c r="K49" s="41">
        <v>0.48</v>
      </c>
      <c r="L49" s="38" t="s">
        <v>114</v>
      </c>
      <c r="M49" s="42" t="s">
        <v>125</v>
      </c>
    </row>
    <row r="50" spans="1:13" x14ac:dyDescent="0.3">
      <c r="A50" s="37">
        <v>53</v>
      </c>
      <c r="B50" s="38" t="s">
        <v>112</v>
      </c>
      <c r="C50" s="39">
        <v>7896658000843</v>
      </c>
      <c r="D50" s="40" t="s">
        <v>86</v>
      </c>
      <c r="E50" s="40"/>
      <c r="F50" s="38">
        <v>10</v>
      </c>
      <c r="G50" s="38"/>
      <c r="H50" s="38" t="s">
        <v>113</v>
      </c>
      <c r="I50" s="38" t="s">
        <v>88</v>
      </c>
      <c r="J50" s="38">
        <v>4</v>
      </c>
      <c r="K50" s="41">
        <v>0.48</v>
      </c>
      <c r="L50" s="38" t="s">
        <v>114</v>
      </c>
      <c r="M50" s="42" t="s">
        <v>126</v>
      </c>
    </row>
    <row r="51" spans="1:13" x14ac:dyDescent="0.3">
      <c r="A51" s="37">
        <v>53</v>
      </c>
      <c r="B51" s="38" t="s">
        <v>112</v>
      </c>
      <c r="C51" s="39">
        <v>7896658000843</v>
      </c>
      <c r="D51" s="40" t="s">
        <v>86</v>
      </c>
      <c r="E51" s="40"/>
      <c r="F51" s="38">
        <v>10</v>
      </c>
      <c r="G51" s="38"/>
      <c r="H51" s="38" t="s">
        <v>113</v>
      </c>
      <c r="I51" s="38" t="s">
        <v>88</v>
      </c>
      <c r="J51" s="38">
        <v>4</v>
      </c>
      <c r="K51" s="41">
        <v>0.48</v>
      </c>
      <c r="L51" s="38" t="s">
        <v>127</v>
      </c>
      <c r="M51" s="42" t="s">
        <v>128</v>
      </c>
    </row>
    <row r="52" spans="1:13" x14ac:dyDescent="0.3">
      <c r="A52" s="37">
        <v>53</v>
      </c>
      <c r="B52" s="38" t="s">
        <v>112</v>
      </c>
      <c r="C52" s="39">
        <v>7896658000843</v>
      </c>
      <c r="D52" s="40" t="s">
        <v>86</v>
      </c>
      <c r="E52" s="40"/>
      <c r="F52" s="38">
        <v>10</v>
      </c>
      <c r="G52" s="38"/>
      <c r="H52" s="38" t="s">
        <v>113</v>
      </c>
      <c r="I52" s="38" t="s">
        <v>88</v>
      </c>
      <c r="J52" s="38">
        <v>4</v>
      </c>
      <c r="K52" s="41">
        <v>0.28999999999999998</v>
      </c>
      <c r="L52" s="38" t="s">
        <v>89</v>
      </c>
      <c r="M52" s="42" t="s">
        <v>90</v>
      </c>
    </row>
    <row r="53" spans="1:13" x14ac:dyDescent="0.3">
      <c r="A53" s="37">
        <v>53</v>
      </c>
      <c r="B53" s="38" t="s">
        <v>112</v>
      </c>
      <c r="C53" s="39">
        <v>7896658000843</v>
      </c>
      <c r="D53" s="40" t="s">
        <v>86</v>
      </c>
      <c r="E53" s="40"/>
      <c r="F53" s="38">
        <v>24</v>
      </c>
      <c r="G53" s="38"/>
      <c r="H53" s="38" t="s">
        <v>129</v>
      </c>
      <c r="I53" s="38" t="s">
        <v>88</v>
      </c>
      <c r="J53" s="38">
        <v>4</v>
      </c>
      <c r="K53" s="41">
        <v>0.48</v>
      </c>
      <c r="L53" s="38" t="s">
        <v>114</v>
      </c>
      <c r="M53" s="42" t="s">
        <v>115</v>
      </c>
    </row>
    <row r="54" spans="1:13" x14ac:dyDescent="0.3">
      <c r="A54" s="37">
        <v>53</v>
      </c>
      <c r="B54" s="38" t="s">
        <v>112</v>
      </c>
      <c r="C54" s="39">
        <v>7896658000843</v>
      </c>
      <c r="D54" s="40" t="s">
        <v>86</v>
      </c>
      <c r="E54" s="40"/>
      <c r="F54" s="38">
        <v>24</v>
      </c>
      <c r="G54" s="38"/>
      <c r="H54" s="38" t="s">
        <v>129</v>
      </c>
      <c r="I54" s="38" t="s">
        <v>88</v>
      </c>
      <c r="J54" s="38">
        <v>4</v>
      </c>
      <c r="K54" s="41">
        <v>0.48</v>
      </c>
      <c r="L54" s="38" t="s">
        <v>114</v>
      </c>
      <c r="M54" s="42" t="s">
        <v>116</v>
      </c>
    </row>
    <row r="55" spans="1:13" x14ac:dyDescent="0.3">
      <c r="A55" s="37">
        <v>53</v>
      </c>
      <c r="B55" s="38" t="s">
        <v>112</v>
      </c>
      <c r="C55" s="39">
        <v>7896658000843</v>
      </c>
      <c r="D55" s="40" t="s">
        <v>86</v>
      </c>
      <c r="E55" s="40"/>
      <c r="F55" s="38">
        <v>24</v>
      </c>
      <c r="G55" s="38"/>
      <c r="H55" s="38" t="s">
        <v>129</v>
      </c>
      <c r="I55" s="38" t="s">
        <v>88</v>
      </c>
      <c r="J55" s="38">
        <v>4</v>
      </c>
      <c r="K55" s="41">
        <v>0.48</v>
      </c>
      <c r="L55" s="38" t="s">
        <v>114</v>
      </c>
      <c r="M55" s="42" t="s">
        <v>117</v>
      </c>
    </row>
    <row r="56" spans="1:13" x14ac:dyDescent="0.3">
      <c r="A56" s="37">
        <v>53</v>
      </c>
      <c r="B56" s="38" t="s">
        <v>112</v>
      </c>
      <c r="C56" s="39">
        <v>7896658000843</v>
      </c>
      <c r="D56" s="40" t="s">
        <v>86</v>
      </c>
      <c r="E56" s="40"/>
      <c r="F56" s="38">
        <v>24</v>
      </c>
      <c r="G56" s="38"/>
      <c r="H56" s="38" t="s">
        <v>129</v>
      </c>
      <c r="I56" s="38" t="s">
        <v>88</v>
      </c>
      <c r="J56" s="38">
        <v>4</v>
      </c>
      <c r="K56" s="41">
        <v>0.48</v>
      </c>
      <c r="L56" s="38" t="s">
        <v>114</v>
      </c>
      <c r="M56" s="42" t="s">
        <v>118</v>
      </c>
    </row>
    <row r="57" spans="1:13" x14ac:dyDescent="0.3">
      <c r="A57" s="37">
        <v>53</v>
      </c>
      <c r="B57" s="38" t="s">
        <v>112</v>
      </c>
      <c r="C57" s="39">
        <v>7896658000843</v>
      </c>
      <c r="D57" s="40" t="s">
        <v>86</v>
      </c>
      <c r="E57" s="40"/>
      <c r="F57" s="38">
        <v>24</v>
      </c>
      <c r="G57" s="38"/>
      <c r="H57" s="38" t="s">
        <v>129</v>
      </c>
      <c r="I57" s="38" t="s">
        <v>88</v>
      </c>
      <c r="J57" s="38">
        <v>4</v>
      </c>
      <c r="K57" s="41">
        <v>0.48</v>
      </c>
      <c r="L57" s="38" t="s">
        <v>114</v>
      </c>
      <c r="M57" s="42" t="s">
        <v>119</v>
      </c>
    </row>
    <row r="58" spans="1:13" x14ac:dyDescent="0.3">
      <c r="A58" s="37">
        <v>53</v>
      </c>
      <c r="B58" s="38" t="s">
        <v>112</v>
      </c>
      <c r="C58" s="39">
        <v>7896658000843</v>
      </c>
      <c r="D58" s="40" t="s">
        <v>86</v>
      </c>
      <c r="E58" s="40"/>
      <c r="F58" s="38">
        <v>24</v>
      </c>
      <c r="G58" s="38"/>
      <c r="H58" s="38" t="s">
        <v>129</v>
      </c>
      <c r="I58" s="38" t="s">
        <v>88</v>
      </c>
      <c r="J58" s="38">
        <v>4</v>
      </c>
      <c r="K58" s="41">
        <v>0.48</v>
      </c>
      <c r="L58" s="38" t="s">
        <v>114</v>
      </c>
      <c r="M58" s="42" t="s">
        <v>120</v>
      </c>
    </row>
    <row r="59" spans="1:13" x14ac:dyDescent="0.3">
      <c r="A59" s="37">
        <v>53</v>
      </c>
      <c r="B59" s="38" t="s">
        <v>112</v>
      </c>
      <c r="C59" s="39">
        <v>7896658000843</v>
      </c>
      <c r="D59" s="40" t="s">
        <v>86</v>
      </c>
      <c r="E59" s="40"/>
      <c r="F59" s="38">
        <v>24</v>
      </c>
      <c r="G59" s="38"/>
      <c r="H59" s="38" t="s">
        <v>129</v>
      </c>
      <c r="I59" s="38" t="s">
        <v>88</v>
      </c>
      <c r="J59" s="38">
        <v>4</v>
      </c>
      <c r="K59" s="41">
        <v>0.48</v>
      </c>
      <c r="L59" s="38" t="s">
        <v>114</v>
      </c>
      <c r="M59" s="42" t="s">
        <v>121</v>
      </c>
    </row>
    <row r="60" spans="1:13" x14ac:dyDescent="0.3">
      <c r="A60" s="37">
        <v>53</v>
      </c>
      <c r="B60" s="38" t="s">
        <v>112</v>
      </c>
      <c r="C60" s="39">
        <v>7896658000843</v>
      </c>
      <c r="D60" s="40" t="s">
        <v>86</v>
      </c>
      <c r="E60" s="40"/>
      <c r="F60" s="38">
        <v>24</v>
      </c>
      <c r="G60" s="38"/>
      <c r="H60" s="38" t="s">
        <v>129</v>
      </c>
      <c r="I60" s="38" t="s">
        <v>88</v>
      </c>
      <c r="J60" s="38">
        <v>4</v>
      </c>
      <c r="K60" s="41">
        <v>0.48</v>
      </c>
      <c r="L60" s="38" t="s">
        <v>114</v>
      </c>
      <c r="M60" s="42" t="s">
        <v>122</v>
      </c>
    </row>
    <row r="61" spans="1:13" x14ac:dyDescent="0.3">
      <c r="A61" s="37">
        <v>53</v>
      </c>
      <c r="B61" s="38" t="s">
        <v>112</v>
      </c>
      <c r="C61" s="39">
        <v>7896658000843</v>
      </c>
      <c r="D61" s="40" t="s">
        <v>86</v>
      </c>
      <c r="E61" s="40"/>
      <c r="F61" s="38">
        <v>24</v>
      </c>
      <c r="G61" s="38"/>
      <c r="H61" s="38" t="s">
        <v>129</v>
      </c>
      <c r="I61" s="38" t="s">
        <v>88</v>
      </c>
      <c r="J61" s="38">
        <v>4</v>
      </c>
      <c r="K61" s="41">
        <v>0.48</v>
      </c>
      <c r="L61" s="38" t="s">
        <v>114</v>
      </c>
      <c r="M61" s="42" t="s">
        <v>123</v>
      </c>
    </row>
    <row r="62" spans="1:13" x14ac:dyDescent="0.3">
      <c r="A62" s="37">
        <v>53</v>
      </c>
      <c r="B62" s="38" t="s">
        <v>112</v>
      </c>
      <c r="C62" s="39">
        <v>7896658000843</v>
      </c>
      <c r="D62" s="40" t="s">
        <v>86</v>
      </c>
      <c r="E62" s="40"/>
      <c r="F62" s="38">
        <v>24</v>
      </c>
      <c r="G62" s="38"/>
      <c r="H62" s="38" t="s">
        <v>129</v>
      </c>
      <c r="I62" s="38" t="s">
        <v>88</v>
      </c>
      <c r="J62" s="38">
        <v>4</v>
      </c>
      <c r="K62" s="41">
        <v>0.48</v>
      </c>
      <c r="L62" s="38" t="s">
        <v>114</v>
      </c>
      <c r="M62" s="42" t="s">
        <v>124</v>
      </c>
    </row>
    <row r="63" spans="1:13" x14ac:dyDescent="0.3">
      <c r="A63" s="37">
        <v>53</v>
      </c>
      <c r="B63" s="38" t="s">
        <v>112</v>
      </c>
      <c r="C63" s="39">
        <v>7896658000843</v>
      </c>
      <c r="D63" s="40" t="s">
        <v>86</v>
      </c>
      <c r="E63" s="40"/>
      <c r="F63" s="38">
        <v>24</v>
      </c>
      <c r="G63" s="38"/>
      <c r="H63" s="38" t="s">
        <v>129</v>
      </c>
      <c r="I63" s="38" t="s">
        <v>88</v>
      </c>
      <c r="J63" s="38">
        <v>4</v>
      </c>
      <c r="K63" s="41">
        <v>0.48</v>
      </c>
      <c r="L63" s="38" t="s">
        <v>114</v>
      </c>
      <c r="M63" s="42" t="s">
        <v>125</v>
      </c>
    </row>
    <row r="64" spans="1:13" x14ac:dyDescent="0.3">
      <c r="A64" s="37">
        <v>53</v>
      </c>
      <c r="B64" s="38" t="s">
        <v>112</v>
      </c>
      <c r="C64" s="39">
        <v>7896658000843</v>
      </c>
      <c r="D64" s="40" t="s">
        <v>86</v>
      </c>
      <c r="E64" s="40"/>
      <c r="F64" s="38">
        <v>24</v>
      </c>
      <c r="G64" s="38"/>
      <c r="H64" s="38" t="s">
        <v>129</v>
      </c>
      <c r="I64" s="38" t="s">
        <v>88</v>
      </c>
      <c r="J64" s="38">
        <v>4</v>
      </c>
      <c r="K64" s="41">
        <v>0.48</v>
      </c>
      <c r="L64" s="38" t="s">
        <v>114</v>
      </c>
      <c r="M64" s="42" t="s">
        <v>126</v>
      </c>
    </row>
    <row r="65" spans="1:13" x14ac:dyDescent="0.3">
      <c r="A65" s="37">
        <v>53</v>
      </c>
      <c r="B65" s="38" t="s">
        <v>112</v>
      </c>
      <c r="C65" s="39">
        <v>7896658000843</v>
      </c>
      <c r="D65" s="40" t="s">
        <v>86</v>
      </c>
      <c r="E65" s="40"/>
      <c r="F65" s="38">
        <v>24</v>
      </c>
      <c r="G65" s="38"/>
      <c r="H65" s="38" t="s">
        <v>129</v>
      </c>
      <c r="I65" s="38" t="s">
        <v>88</v>
      </c>
      <c r="J65" s="38">
        <v>4</v>
      </c>
      <c r="K65" s="41">
        <v>0.48</v>
      </c>
      <c r="L65" s="38" t="s">
        <v>127</v>
      </c>
      <c r="M65" s="42" t="s">
        <v>128</v>
      </c>
    </row>
    <row r="66" spans="1:13" x14ac:dyDescent="0.3">
      <c r="A66" s="37">
        <v>53</v>
      </c>
      <c r="B66" s="38" t="s">
        <v>112</v>
      </c>
      <c r="C66" s="39">
        <v>7896658000843</v>
      </c>
      <c r="D66" s="40" t="s">
        <v>86</v>
      </c>
      <c r="E66" s="40"/>
      <c r="F66" s="38">
        <v>24</v>
      </c>
      <c r="G66" s="38"/>
      <c r="H66" s="38" t="s">
        <v>129</v>
      </c>
      <c r="I66" s="38" t="s">
        <v>88</v>
      </c>
      <c r="J66" s="38">
        <v>4</v>
      </c>
      <c r="K66" s="41">
        <v>0.28999999999999998</v>
      </c>
      <c r="L66" s="38" t="s">
        <v>89</v>
      </c>
      <c r="M66" s="42" t="s">
        <v>90</v>
      </c>
    </row>
    <row r="67" spans="1:13" x14ac:dyDescent="0.3">
      <c r="A67" s="37">
        <v>53</v>
      </c>
      <c r="B67" s="38" t="s">
        <v>112</v>
      </c>
      <c r="C67" s="39">
        <v>7896658000843</v>
      </c>
      <c r="D67" s="40" t="s">
        <v>86</v>
      </c>
      <c r="E67" s="40"/>
      <c r="F67" s="38">
        <v>201</v>
      </c>
      <c r="G67" s="38"/>
      <c r="H67" s="38" t="s">
        <v>130</v>
      </c>
      <c r="I67" s="38" t="s">
        <v>88</v>
      </c>
      <c r="J67" s="38">
        <v>4</v>
      </c>
      <c r="K67" s="41">
        <v>0.48</v>
      </c>
      <c r="L67" s="38" t="s">
        <v>114</v>
      </c>
      <c r="M67" s="42" t="s">
        <v>115</v>
      </c>
    </row>
    <row r="68" spans="1:13" x14ac:dyDescent="0.3">
      <c r="A68" s="37">
        <v>53</v>
      </c>
      <c r="B68" s="38" t="s">
        <v>112</v>
      </c>
      <c r="C68" s="39">
        <v>7896658000843</v>
      </c>
      <c r="D68" s="40" t="s">
        <v>86</v>
      </c>
      <c r="E68" s="40"/>
      <c r="F68" s="38">
        <v>201</v>
      </c>
      <c r="G68" s="38"/>
      <c r="H68" s="38" t="s">
        <v>130</v>
      </c>
      <c r="I68" s="38" t="s">
        <v>88</v>
      </c>
      <c r="J68" s="38">
        <v>4</v>
      </c>
      <c r="K68" s="41">
        <v>0.48</v>
      </c>
      <c r="L68" s="38" t="s">
        <v>114</v>
      </c>
      <c r="M68" s="42" t="s">
        <v>116</v>
      </c>
    </row>
    <row r="69" spans="1:13" x14ac:dyDescent="0.3">
      <c r="A69" s="37">
        <v>53</v>
      </c>
      <c r="B69" s="38" t="s">
        <v>112</v>
      </c>
      <c r="C69" s="39">
        <v>7896658000843</v>
      </c>
      <c r="D69" s="40" t="s">
        <v>86</v>
      </c>
      <c r="E69" s="40"/>
      <c r="F69" s="38">
        <v>201</v>
      </c>
      <c r="G69" s="38"/>
      <c r="H69" s="38" t="s">
        <v>130</v>
      </c>
      <c r="I69" s="38" t="s">
        <v>88</v>
      </c>
      <c r="J69" s="38">
        <v>4</v>
      </c>
      <c r="K69" s="41">
        <v>0.48</v>
      </c>
      <c r="L69" s="38" t="s">
        <v>114</v>
      </c>
      <c r="M69" s="42" t="s">
        <v>117</v>
      </c>
    </row>
    <row r="70" spans="1:13" x14ac:dyDescent="0.3">
      <c r="A70" s="37">
        <v>53</v>
      </c>
      <c r="B70" s="38" t="s">
        <v>112</v>
      </c>
      <c r="C70" s="39">
        <v>7896658000843</v>
      </c>
      <c r="D70" s="40" t="s">
        <v>86</v>
      </c>
      <c r="E70" s="40"/>
      <c r="F70" s="38">
        <v>201</v>
      </c>
      <c r="G70" s="38"/>
      <c r="H70" s="38" t="s">
        <v>130</v>
      </c>
      <c r="I70" s="38" t="s">
        <v>88</v>
      </c>
      <c r="J70" s="38">
        <v>4</v>
      </c>
      <c r="K70" s="41">
        <v>0.48</v>
      </c>
      <c r="L70" s="38" t="s">
        <v>114</v>
      </c>
      <c r="M70" s="42" t="s">
        <v>118</v>
      </c>
    </row>
    <row r="71" spans="1:13" x14ac:dyDescent="0.3">
      <c r="A71" s="37">
        <v>53</v>
      </c>
      <c r="B71" s="38" t="s">
        <v>112</v>
      </c>
      <c r="C71" s="39">
        <v>7896658000843</v>
      </c>
      <c r="D71" s="40" t="s">
        <v>86</v>
      </c>
      <c r="E71" s="40"/>
      <c r="F71" s="38">
        <v>201</v>
      </c>
      <c r="G71" s="38"/>
      <c r="H71" s="38" t="s">
        <v>130</v>
      </c>
      <c r="I71" s="38" t="s">
        <v>88</v>
      </c>
      <c r="J71" s="38">
        <v>4</v>
      </c>
      <c r="K71" s="41">
        <v>0.48</v>
      </c>
      <c r="L71" s="38" t="s">
        <v>114</v>
      </c>
      <c r="M71" s="42" t="s">
        <v>119</v>
      </c>
    </row>
    <row r="72" spans="1:13" x14ac:dyDescent="0.3">
      <c r="A72" s="37">
        <v>53</v>
      </c>
      <c r="B72" s="38" t="s">
        <v>112</v>
      </c>
      <c r="C72" s="39">
        <v>7896658000843</v>
      </c>
      <c r="D72" s="40" t="s">
        <v>86</v>
      </c>
      <c r="E72" s="40"/>
      <c r="F72" s="38">
        <v>201</v>
      </c>
      <c r="G72" s="38"/>
      <c r="H72" s="38" t="s">
        <v>130</v>
      </c>
      <c r="I72" s="38" t="s">
        <v>88</v>
      </c>
      <c r="J72" s="38">
        <v>4</v>
      </c>
      <c r="K72" s="41">
        <v>0.48</v>
      </c>
      <c r="L72" s="38" t="s">
        <v>114</v>
      </c>
      <c r="M72" s="42" t="s">
        <v>120</v>
      </c>
    </row>
    <row r="73" spans="1:13" x14ac:dyDescent="0.3">
      <c r="A73" s="37">
        <v>53</v>
      </c>
      <c r="B73" s="38" t="s">
        <v>112</v>
      </c>
      <c r="C73" s="39">
        <v>7896658000843</v>
      </c>
      <c r="D73" s="40" t="s">
        <v>86</v>
      </c>
      <c r="E73" s="40"/>
      <c r="F73" s="38">
        <v>201</v>
      </c>
      <c r="G73" s="38"/>
      <c r="H73" s="38" t="s">
        <v>130</v>
      </c>
      <c r="I73" s="38" t="s">
        <v>88</v>
      </c>
      <c r="J73" s="38">
        <v>4</v>
      </c>
      <c r="K73" s="41">
        <v>0.48</v>
      </c>
      <c r="L73" s="38" t="s">
        <v>114</v>
      </c>
      <c r="M73" s="42" t="s">
        <v>121</v>
      </c>
    </row>
    <row r="74" spans="1:13" x14ac:dyDescent="0.3">
      <c r="A74" s="37">
        <v>53</v>
      </c>
      <c r="B74" s="38" t="s">
        <v>112</v>
      </c>
      <c r="C74" s="39">
        <v>7896658000843</v>
      </c>
      <c r="D74" s="40" t="s">
        <v>86</v>
      </c>
      <c r="E74" s="40"/>
      <c r="F74" s="38">
        <v>201</v>
      </c>
      <c r="G74" s="38"/>
      <c r="H74" s="38" t="s">
        <v>130</v>
      </c>
      <c r="I74" s="38" t="s">
        <v>88</v>
      </c>
      <c r="J74" s="38">
        <v>4</v>
      </c>
      <c r="K74" s="41">
        <v>0.48</v>
      </c>
      <c r="L74" s="38" t="s">
        <v>114</v>
      </c>
      <c r="M74" s="42" t="s">
        <v>122</v>
      </c>
    </row>
    <row r="75" spans="1:13" x14ac:dyDescent="0.3">
      <c r="A75" s="37">
        <v>53</v>
      </c>
      <c r="B75" s="38" t="s">
        <v>112</v>
      </c>
      <c r="C75" s="39">
        <v>7896658000843</v>
      </c>
      <c r="D75" s="40" t="s">
        <v>86</v>
      </c>
      <c r="E75" s="40"/>
      <c r="F75" s="38">
        <v>201</v>
      </c>
      <c r="G75" s="38"/>
      <c r="H75" s="38" t="s">
        <v>130</v>
      </c>
      <c r="I75" s="38" t="s">
        <v>88</v>
      </c>
      <c r="J75" s="38">
        <v>4</v>
      </c>
      <c r="K75" s="41">
        <v>0.48</v>
      </c>
      <c r="L75" s="38" t="s">
        <v>114</v>
      </c>
      <c r="M75" s="42" t="s">
        <v>123</v>
      </c>
    </row>
    <row r="76" spans="1:13" x14ac:dyDescent="0.3">
      <c r="A76" s="37">
        <v>53</v>
      </c>
      <c r="B76" s="38" t="s">
        <v>112</v>
      </c>
      <c r="C76" s="39">
        <v>7896658000843</v>
      </c>
      <c r="D76" s="40" t="s">
        <v>86</v>
      </c>
      <c r="E76" s="40"/>
      <c r="F76" s="38">
        <v>201</v>
      </c>
      <c r="G76" s="38"/>
      <c r="H76" s="38" t="s">
        <v>130</v>
      </c>
      <c r="I76" s="38" t="s">
        <v>88</v>
      </c>
      <c r="J76" s="38">
        <v>4</v>
      </c>
      <c r="K76" s="41">
        <v>0.48</v>
      </c>
      <c r="L76" s="38" t="s">
        <v>114</v>
      </c>
      <c r="M76" s="42" t="s">
        <v>124</v>
      </c>
    </row>
    <row r="77" spans="1:13" x14ac:dyDescent="0.3">
      <c r="A77" s="37">
        <v>53</v>
      </c>
      <c r="B77" s="38" t="s">
        <v>112</v>
      </c>
      <c r="C77" s="39">
        <v>7896658000843</v>
      </c>
      <c r="D77" s="40" t="s">
        <v>86</v>
      </c>
      <c r="E77" s="40"/>
      <c r="F77" s="38">
        <v>201</v>
      </c>
      <c r="G77" s="38"/>
      <c r="H77" s="38" t="s">
        <v>130</v>
      </c>
      <c r="I77" s="38" t="s">
        <v>88</v>
      </c>
      <c r="J77" s="38">
        <v>4</v>
      </c>
      <c r="K77" s="41">
        <v>0.48</v>
      </c>
      <c r="L77" s="38" t="s">
        <v>114</v>
      </c>
      <c r="M77" s="42" t="s">
        <v>125</v>
      </c>
    </row>
    <row r="78" spans="1:13" x14ac:dyDescent="0.3">
      <c r="A78" s="37">
        <v>53</v>
      </c>
      <c r="B78" s="38" t="s">
        <v>112</v>
      </c>
      <c r="C78" s="39">
        <v>7896658000843</v>
      </c>
      <c r="D78" s="40" t="s">
        <v>86</v>
      </c>
      <c r="E78" s="40"/>
      <c r="F78" s="38">
        <v>201</v>
      </c>
      <c r="G78" s="38"/>
      <c r="H78" s="38" t="s">
        <v>130</v>
      </c>
      <c r="I78" s="38" t="s">
        <v>88</v>
      </c>
      <c r="J78" s="38">
        <v>4</v>
      </c>
      <c r="K78" s="41">
        <v>0.48</v>
      </c>
      <c r="L78" s="38" t="s">
        <v>114</v>
      </c>
      <c r="M78" s="42" t="s">
        <v>126</v>
      </c>
    </row>
    <row r="79" spans="1:13" x14ac:dyDescent="0.3">
      <c r="A79" s="37">
        <v>53</v>
      </c>
      <c r="B79" s="38" t="s">
        <v>112</v>
      </c>
      <c r="C79" s="39">
        <v>7896658000843</v>
      </c>
      <c r="D79" s="40" t="s">
        <v>86</v>
      </c>
      <c r="E79" s="40"/>
      <c r="F79" s="38">
        <v>201</v>
      </c>
      <c r="G79" s="38"/>
      <c r="H79" s="38" t="s">
        <v>130</v>
      </c>
      <c r="I79" s="38" t="s">
        <v>88</v>
      </c>
      <c r="J79" s="38">
        <v>4</v>
      </c>
      <c r="K79" s="41">
        <v>0.48</v>
      </c>
      <c r="L79" s="38" t="s">
        <v>127</v>
      </c>
      <c r="M79" s="42" t="s">
        <v>128</v>
      </c>
    </row>
    <row r="80" spans="1:13" x14ac:dyDescent="0.3">
      <c r="A80" s="37">
        <v>53</v>
      </c>
      <c r="B80" s="38" t="s">
        <v>112</v>
      </c>
      <c r="C80" s="39">
        <v>7896658000843</v>
      </c>
      <c r="D80" s="40" t="s">
        <v>86</v>
      </c>
      <c r="E80" s="40"/>
      <c r="F80" s="38">
        <v>201</v>
      </c>
      <c r="G80" s="38"/>
      <c r="H80" s="38" t="s">
        <v>130</v>
      </c>
      <c r="I80" s="38" t="s">
        <v>88</v>
      </c>
      <c r="J80" s="38">
        <v>4</v>
      </c>
      <c r="K80" s="41">
        <v>0.28999999999999998</v>
      </c>
      <c r="L80" s="38" t="s">
        <v>89</v>
      </c>
      <c r="M80" s="42" t="s">
        <v>90</v>
      </c>
    </row>
    <row r="81" spans="1:13" x14ac:dyDescent="0.3">
      <c r="A81" s="37">
        <v>53</v>
      </c>
      <c r="B81" s="38" t="s">
        <v>112</v>
      </c>
      <c r="C81" s="39">
        <v>7896658000843</v>
      </c>
      <c r="D81" s="40" t="s">
        <v>86</v>
      </c>
      <c r="E81" s="40"/>
      <c r="F81" s="38">
        <v>591</v>
      </c>
      <c r="G81" s="38"/>
      <c r="H81" s="38" t="s">
        <v>130</v>
      </c>
      <c r="I81" s="38" t="s">
        <v>88</v>
      </c>
      <c r="J81" s="38">
        <v>4</v>
      </c>
      <c r="K81" s="41">
        <v>0.48</v>
      </c>
      <c r="L81" s="38" t="s">
        <v>114</v>
      </c>
      <c r="M81" s="42" t="s">
        <v>115</v>
      </c>
    </row>
    <row r="82" spans="1:13" x14ac:dyDescent="0.3">
      <c r="A82" s="37">
        <v>53</v>
      </c>
      <c r="B82" s="38" t="s">
        <v>112</v>
      </c>
      <c r="C82" s="39">
        <v>7896658000843</v>
      </c>
      <c r="D82" s="40" t="s">
        <v>86</v>
      </c>
      <c r="E82" s="40"/>
      <c r="F82" s="38">
        <v>591</v>
      </c>
      <c r="G82" s="38"/>
      <c r="H82" s="38" t="s">
        <v>130</v>
      </c>
      <c r="I82" s="38" t="s">
        <v>88</v>
      </c>
      <c r="J82" s="38">
        <v>4</v>
      </c>
      <c r="K82" s="41">
        <v>0.48</v>
      </c>
      <c r="L82" s="38" t="s">
        <v>114</v>
      </c>
      <c r="M82" s="42" t="s">
        <v>116</v>
      </c>
    </row>
    <row r="83" spans="1:13" x14ac:dyDescent="0.3">
      <c r="A83" s="37">
        <v>53</v>
      </c>
      <c r="B83" s="38" t="s">
        <v>112</v>
      </c>
      <c r="C83" s="39">
        <v>7896658000843</v>
      </c>
      <c r="D83" s="40" t="s">
        <v>86</v>
      </c>
      <c r="E83" s="40"/>
      <c r="F83" s="38">
        <v>591</v>
      </c>
      <c r="G83" s="38"/>
      <c r="H83" s="38" t="s">
        <v>130</v>
      </c>
      <c r="I83" s="38" t="s">
        <v>88</v>
      </c>
      <c r="J83" s="38">
        <v>4</v>
      </c>
      <c r="K83" s="41">
        <v>0.48</v>
      </c>
      <c r="L83" s="38" t="s">
        <v>114</v>
      </c>
      <c r="M83" s="42" t="s">
        <v>117</v>
      </c>
    </row>
    <row r="84" spans="1:13" x14ac:dyDescent="0.3">
      <c r="A84" s="37">
        <v>53</v>
      </c>
      <c r="B84" s="38" t="s">
        <v>112</v>
      </c>
      <c r="C84" s="39">
        <v>7896658000843</v>
      </c>
      <c r="D84" s="40" t="s">
        <v>86</v>
      </c>
      <c r="E84" s="40"/>
      <c r="F84" s="38">
        <v>591</v>
      </c>
      <c r="G84" s="38"/>
      <c r="H84" s="38" t="s">
        <v>130</v>
      </c>
      <c r="I84" s="38" t="s">
        <v>88</v>
      </c>
      <c r="J84" s="38">
        <v>4</v>
      </c>
      <c r="K84" s="41">
        <v>0.48</v>
      </c>
      <c r="L84" s="38" t="s">
        <v>114</v>
      </c>
      <c r="M84" s="42" t="s">
        <v>118</v>
      </c>
    </row>
    <row r="85" spans="1:13" x14ac:dyDescent="0.3">
      <c r="A85" s="37">
        <v>53</v>
      </c>
      <c r="B85" s="38" t="s">
        <v>112</v>
      </c>
      <c r="C85" s="39">
        <v>7896658000843</v>
      </c>
      <c r="D85" s="40" t="s">
        <v>86</v>
      </c>
      <c r="E85" s="40"/>
      <c r="F85" s="38">
        <v>591</v>
      </c>
      <c r="G85" s="38"/>
      <c r="H85" s="38" t="s">
        <v>130</v>
      </c>
      <c r="I85" s="38" t="s">
        <v>88</v>
      </c>
      <c r="J85" s="38">
        <v>4</v>
      </c>
      <c r="K85" s="41">
        <v>0.48</v>
      </c>
      <c r="L85" s="38" t="s">
        <v>114</v>
      </c>
      <c r="M85" s="42" t="s">
        <v>119</v>
      </c>
    </row>
    <row r="86" spans="1:13" x14ac:dyDescent="0.3">
      <c r="A86" s="37">
        <v>53</v>
      </c>
      <c r="B86" s="38" t="s">
        <v>112</v>
      </c>
      <c r="C86" s="39">
        <v>7896658000843</v>
      </c>
      <c r="D86" s="40" t="s">
        <v>86</v>
      </c>
      <c r="E86" s="40"/>
      <c r="F86" s="38">
        <v>591</v>
      </c>
      <c r="G86" s="38"/>
      <c r="H86" s="38" t="s">
        <v>130</v>
      </c>
      <c r="I86" s="38" t="s">
        <v>88</v>
      </c>
      <c r="J86" s="38">
        <v>4</v>
      </c>
      <c r="K86" s="41">
        <v>0.48</v>
      </c>
      <c r="L86" s="38" t="s">
        <v>114</v>
      </c>
      <c r="M86" s="42" t="s">
        <v>120</v>
      </c>
    </row>
    <row r="87" spans="1:13" x14ac:dyDescent="0.3">
      <c r="A87" s="37">
        <v>53</v>
      </c>
      <c r="B87" s="38" t="s">
        <v>112</v>
      </c>
      <c r="C87" s="39">
        <v>7896658000843</v>
      </c>
      <c r="D87" s="40" t="s">
        <v>86</v>
      </c>
      <c r="E87" s="40"/>
      <c r="F87" s="38">
        <v>591</v>
      </c>
      <c r="G87" s="38"/>
      <c r="H87" s="38" t="s">
        <v>130</v>
      </c>
      <c r="I87" s="38" t="s">
        <v>88</v>
      </c>
      <c r="J87" s="38">
        <v>4</v>
      </c>
      <c r="K87" s="41">
        <v>0.48</v>
      </c>
      <c r="L87" s="38" t="s">
        <v>114</v>
      </c>
      <c r="M87" s="42" t="s">
        <v>121</v>
      </c>
    </row>
    <row r="88" spans="1:13" x14ac:dyDescent="0.3">
      <c r="A88" s="37">
        <v>53</v>
      </c>
      <c r="B88" s="38" t="s">
        <v>112</v>
      </c>
      <c r="C88" s="39">
        <v>7896658000843</v>
      </c>
      <c r="D88" s="40" t="s">
        <v>86</v>
      </c>
      <c r="E88" s="40"/>
      <c r="F88" s="38">
        <v>591</v>
      </c>
      <c r="G88" s="38"/>
      <c r="H88" s="38" t="s">
        <v>130</v>
      </c>
      <c r="I88" s="38" t="s">
        <v>88</v>
      </c>
      <c r="J88" s="38">
        <v>4</v>
      </c>
      <c r="K88" s="41">
        <v>0.48</v>
      </c>
      <c r="L88" s="38" t="s">
        <v>114</v>
      </c>
      <c r="M88" s="42" t="s">
        <v>122</v>
      </c>
    </row>
    <row r="89" spans="1:13" x14ac:dyDescent="0.3">
      <c r="A89" s="37">
        <v>53</v>
      </c>
      <c r="B89" s="38" t="s">
        <v>112</v>
      </c>
      <c r="C89" s="39">
        <v>7896658000843</v>
      </c>
      <c r="D89" s="40" t="s">
        <v>86</v>
      </c>
      <c r="E89" s="40"/>
      <c r="F89" s="38">
        <v>591</v>
      </c>
      <c r="G89" s="38"/>
      <c r="H89" s="38" t="s">
        <v>130</v>
      </c>
      <c r="I89" s="38" t="s">
        <v>88</v>
      </c>
      <c r="J89" s="38">
        <v>4</v>
      </c>
      <c r="K89" s="41">
        <v>0.48</v>
      </c>
      <c r="L89" s="38" t="s">
        <v>114</v>
      </c>
      <c r="M89" s="42" t="s">
        <v>123</v>
      </c>
    </row>
    <row r="90" spans="1:13" x14ac:dyDescent="0.3">
      <c r="A90" s="37">
        <v>53</v>
      </c>
      <c r="B90" s="38" t="s">
        <v>112</v>
      </c>
      <c r="C90" s="39">
        <v>7896658000843</v>
      </c>
      <c r="D90" s="40" t="s">
        <v>86</v>
      </c>
      <c r="E90" s="40"/>
      <c r="F90" s="38">
        <v>591</v>
      </c>
      <c r="G90" s="38"/>
      <c r="H90" s="38" t="s">
        <v>130</v>
      </c>
      <c r="I90" s="38" t="s">
        <v>88</v>
      </c>
      <c r="J90" s="38">
        <v>4</v>
      </c>
      <c r="K90" s="41">
        <v>0.48</v>
      </c>
      <c r="L90" s="38" t="s">
        <v>114</v>
      </c>
      <c r="M90" s="42" t="s">
        <v>124</v>
      </c>
    </row>
    <row r="91" spans="1:13" x14ac:dyDescent="0.3">
      <c r="A91" s="37">
        <v>53</v>
      </c>
      <c r="B91" s="38" t="s">
        <v>112</v>
      </c>
      <c r="C91" s="39">
        <v>7896658000843</v>
      </c>
      <c r="D91" s="40" t="s">
        <v>86</v>
      </c>
      <c r="E91" s="40"/>
      <c r="F91" s="38">
        <v>591</v>
      </c>
      <c r="G91" s="38"/>
      <c r="H91" s="38" t="s">
        <v>130</v>
      </c>
      <c r="I91" s="38" t="s">
        <v>88</v>
      </c>
      <c r="J91" s="38">
        <v>4</v>
      </c>
      <c r="K91" s="41">
        <v>0.48</v>
      </c>
      <c r="L91" s="38" t="s">
        <v>114</v>
      </c>
      <c r="M91" s="42" t="s">
        <v>125</v>
      </c>
    </row>
    <row r="92" spans="1:13" x14ac:dyDescent="0.3">
      <c r="A92" s="37">
        <v>53</v>
      </c>
      <c r="B92" s="38" t="s">
        <v>112</v>
      </c>
      <c r="C92" s="39">
        <v>7896658000843</v>
      </c>
      <c r="D92" s="40" t="s">
        <v>86</v>
      </c>
      <c r="E92" s="40"/>
      <c r="F92" s="38">
        <v>591</v>
      </c>
      <c r="G92" s="38"/>
      <c r="H92" s="38" t="s">
        <v>130</v>
      </c>
      <c r="I92" s="38" t="s">
        <v>88</v>
      </c>
      <c r="J92" s="38">
        <v>4</v>
      </c>
      <c r="K92" s="41">
        <v>0.48</v>
      </c>
      <c r="L92" s="38" t="s">
        <v>114</v>
      </c>
      <c r="M92" s="42" t="s">
        <v>126</v>
      </c>
    </row>
    <row r="93" spans="1:13" x14ac:dyDescent="0.3">
      <c r="A93" s="37">
        <v>53</v>
      </c>
      <c r="B93" s="38" t="s">
        <v>112</v>
      </c>
      <c r="C93" s="39">
        <v>7896658000843</v>
      </c>
      <c r="D93" s="40" t="s">
        <v>86</v>
      </c>
      <c r="E93" s="40"/>
      <c r="F93" s="38">
        <v>591</v>
      </c>
      <c r="G93" s="38"/>
      <c r="H93" s="38" t="s">
        <v>130</v>
      </c>
      <c r="I93" s="38" t="s">
        <v>88</v>
      </c>
      <c r="J93" s="38">
        <v>4</v>
      </c>
      <c r="K93" s="41">
        <v>0.48</v>
      </c>
      <c r="L93" s="38" t="s">
        <v>127</v>
      </c>
      <c r="M93" s="42" t="s">
        <v>128</v>
      </c>
    </row>
    <row r="94" spans="1:13" x14ac:dyDescent="0.3">
      <c r="A94" s="37">
        <v>53</v>
      </c>
      <c r="B94" s="38" t="s">
        <v>112</v>
      </c>
      <c r="C94" s="39">
        <v>7896658000843</v>
      </c>
      <c r="D94" s="40" t="s">
        <v>86</v>
      </c>
      <c r="E94" s="40"/>
      <c r="F94" s="38">
        <v>591</v>
      </c>
      <c r="G94" s="38"/>
      <c r="H94" s="38" t="s">
        <v>130</v>
      </c>
      <c r="I94" s="38" t="s">
        <v>88</v>
      </c>
      <c r="J94" s="38">
        <v>4</v>
      </c>
      <c r="K94" s="41">
        <v>0.28999999999999998</v>
      </c>
      <c r="L94" s="38" t="s">
        <v>89</v>
      </c>
      <c r="M94" s="42" t="s">
        <v>90</v>
      </c>
    </row>
    <row r="95" spans="1:13" x14ac:dyDescent="0.3">
      <c r="A95" s="37">
        <v>53</v>
      </c>
      <c r="B95" s="38" t="s">
        <v>131</v>
      </c>
      <c r="C95" s="39">
        <v>7896658000911</v>
      </c>
      <c r="D95" s="40" t="s">
        <v>86</v>
      </c>
      <c r="E95" s="40"/>
      <c r="F95" s="38">
        <v>10</v>
      </c>
      <c r="G95" s="38"/>
      <c r="H95" s="38" t="s">
        <v>113</v>
      </c>
      <c r="I95" s="38" t="s">
        <v>88</v>
      </c>
      <c r="J95" s="38">
        <v>4</v>
      </c>
      <c r="K95" s="41">
        <v>0.48</v>
      </c>
      <c r="L95" s="38" t="s">
        <v>132</v>
      </c>
      <c r="M95" s="42" t="s">
        <v>133</v>
      </c>
    </row>
    <row r="96" spans="1:13" x14ac:dyDescent="0.3">
      <c r="A96" s="37">
        <v>53</v>
      </c>
      <c r="B96" s="38" t="s">
        <v>131</v>
      </c>
      <c r="C96" s="39">
        <v>7896658000911</v>
      </c>
      <c r="D96" s="40" t="s">
        <v>86</v>
      </c>
      <c r="E96" s="40"/>
      <c r="F96" s="38">
        <v>10</v>
      </c>
      <c r="G96" s="38"/>
      <c r="H96" s="38" t="s">
        <v>113</v>
      </c>
      <c r="I96" s="38" t="s">
        <v>88</v>
      </c>
      <c r="J96" s="38">
        <v>4</v>
      </c>
      <c r="K96" s="41">
        <v>0.48</v>
      </c>
      <c r="L96" s="38" t="s">
        <v>114</v>
      </c>
      <c r="M96" s="42" t="s">
        <v>115</v>
      </c>
    </row>
    <row r="97" spans="1:13" x14ac:dyDescent="0.3">
      <c r="A97" s="37">
        <v>53</v>
      </c>
      <c r="B97" s="38" t="s">
        <v>131</v>
      </c>
      <c r="C97" s="39">
        <v>7896658000911</v>
      </c>
      <c r="D97" s="40" t="s">
        <v>86</v>
      </c>
      <c r="E97" s="40"/>
      <c r="F97" s="38">
        <v>10</v>
      </c>
      <c r="G97" s="38"/>
      <c r="H97" s="38" t="s">
        <v>113</v>
      </c>
      <c r="I97" s="38" t="s">
        <v>88</v>
      </c>
      <c r="J97" s="38">
        <v>4</v>
      </c>
      <c r="K97" s="41">
        <v>0.48</v>
      </c>
      <c r="L97" s="38" t="s">
        <v>114</v>
      </c>
      <c r="M97" s="42" t="s">
        <v>116</v>
      </c>
    </row>
    <row r="98" spans="1:13" x14ac:dyDescent="0.3">
      <c r="A98" s="37">
        <v>53</v>
      </c>
      <c r="B98" s="38" t="s">
        <v>131</v>
      </c>
      <c r="C98" s="39">
        <v>7896658000911</v>
      </c>
      <c r="D98" s="40" t="s">
        <v>86</v>
      </c>
      <c r="E98" s="40"/>
      <c r="F98" s="38">
        <v>10</v>
      </c>
      <c r="G98" s="38"/>
      <c r="H98" s="38" t="s">
        <v>113</v>
      </c>
      <c r="I98" s="38" t="s">
        <v>88</v>
      </c>
      <c r="J98" s="38">
        <v>4</v>
      </c>
      <c r="K98" s="41">
        <v>0.48</v>
      </c>
      <c r="L98" s="38" t="s">
        <v>114</v>
      </c>
      <c r="M98" s="42" t="s">
        <v>117</v>
      </c>
    </row>
    <row r="99" spans="1:13" x14ac:dyDescent="0.3">
      <c r="A99" s="37">
        <v>53</v>
      </c>
      <c r="B99" s="38" t="s">
        <v>131</v>
      </c>
      <c r="C99" s="39">
        <v>7896658000911</v>
      </c>
      <c r="D99" s="40" t="s">
        <v>86</v>
      </c>
      <c r="E99" s="40"/>
      <c r="F99" s="38">
        <v>10</v>
      </c>
      <c r="G99" s="38"/>
      <c r="H99" s="38" t="s">
        <v>113</v>
      </c>
      <c r="I99" s="38" t="s">
        <v>88</v>
      </c>
      <c r="J99" s="38">
        <v>4</v>
      </c>
      <c r="K99" s="41">
        <v>0.48</v>
      </c>
      <c r="L99" s="38" t="s">
        <v>114</v>
      </c>
      <c r="M99" s="42" t="s">
        <v>118</v>
      </c>
    </row>
    <row r="100" spans="1:13" x14ac:dyDescent="0.3">
      <c r="A100" s="37">
        <v>53</v>
      </c>
      <c r="B100" s="38" t="s">
        <v>131</v>
      </c>
      <c r="C100" s="39">
        <v>7896658000911</v>
      </c>
      <c r="D100" s="40" t="s">
        <v>86</v>
      </c>
      <c r="E100" s="40"/>
      <c r="F100" s="38">
        <v>10</v>
      </c>
      <c r="G100" s="38"/>
      <c r="H100" s="38" t="s">
        <v>113</v>
      </c>
      <c r="I100" s="38" t="s">
        <v>88</v>
      </c>
      <c r="J100" s="38">
        <v>4</v>
      </c>
      <c r="K100" s="41">
        <v>0.48</v>
      </c>
      <c r="L100" s="38" t="s">
        <v>114</v>
      </c>
      <c r="M100" s="42" t="s">
        <v>119</v>
      </c>
    </row>
    <row r="101" spans="1:13" x14ac:dyDescent="0.3">
      <c r="A101" s="37">
        <v>53</v>
      </c>
      <c r="B101" s="38" t="s">
        <v>131</v>
      </c>
      <c r="C101" s="39">
        <v>7896658000911</v>
      </c>
      <c r="D101" s="40" t="s">
        <v>86</v>
      </c>
      <c r="E101" s="40"/>
      <c r="F101" s="38">
        <v>10</v>
      </c>
      <c r="G101" s="38"/>
      <c r="H101" s="38" t="s">
        <v>113</v>
      </c>
      <c r="I101" s="38" t="s">
        <v>88</v>
      </c>
      <c r="J101" s="38">
        <v>4</v>
      </c>
      <c r="K101" s="41">
        <v>0.48</v>
      </c>
      <c r="L101" s="38" t="s">
        <v>114</v>
      </c>
      <c r="M101" s="42" t="s">
        <v>120</v>
      </c>
    </row>
    <row r="102" spans="1:13" x14ac:dyDescent="0.3">
      <c r="A102" s="37">
        <v>53</v>
      </c>
      <c r="B102" s="38" t="s">
        <v>131</v>
      </c>
      <c r="C102" s="39">
        <v>7896658000911</v>
      </c>
      <c r="D102" s="40" t="s">
        <v>86</v>
      </c>
      <c r="E102" s="40"/>
      <c r="F102" s="38">
        <v>10</v>
      </c>
      <c r="G102" s="38"/>
      <c r="H102" s="38" t="s">
        <v>113</v>
      </c>
      <c r="I102" s="38" t="s">
        <v>88</v>
      </c>
      <c r="J102" s="38">
        <v>4</v>
      </c>
      <c r="K102" s="41">
        <v>0.48</v>
      </c>
      <c r="L102" s="38" t="s">
        <v>114</v>
      </c>
      <c r="M102" s="42" t="s">
        <v>121</v>
      </c>
    </row>
    <row r="103" spans="1:13" x14ac:dyDescent="0.3">
      <c r="A103" s="37">
        <v>53</v>
      </c>
      <c r="B103" s="38" t="s">
        <v>131</v>
      </c>
      <c r="C103" s="39">
        <v>7896658000911</v>
      </c>
      <c r="D103" s="40" t="s">
        <v>86</v>
      </c>
      <c r="E103" s="40"/>
      <c r="F103" s="38">
        <v>10</v>
      </c>
      <c r="G103" s="38"/>
      <c r="H103" s="38" t="s">
        <v>113</v>
      </c>
      <c r="I103" s="38" t="s">
        <v>88</v>
      </c>
      <c r="J103" s="38">
        <v>4</v>
      </c>
      <c r="K103" s="41">
        <v>0.48</v>
      </c>
      <c r="L103" s="38" t="s">
        <v>114</v>
      </c>
      <c r="M103" s="42" t="s">
        <v>122</v>
      </c>
    </row>
    <row r="104" spans="1:13" x14ac:dyDescent="0.3">
      <c r="A104" s="37">
        <v>53</v>
      </c>
      <c r="B104" s="38" t="s">
        <v>131</v>
      </c>
      <c r="C104" s="39">
        <v>7896658000911</v>
      </c>
      <c r="D104" s="40" t="s">
        <v>86</v>
      </c>
      <c r="E104" s="40"/>
      <c r="F104" s="38">
        <v>10</v>
      </c>
      <c r="G104" s="38"/>
      <c r="H104" s="38" t="s">
        <v>113</v>
      </c>
      <c r="I104" s="38" t="s">
        <v>88</v>
      </c>
      <c r="J104" s="38">
        <v>4</v>
      </c>
      <c r="K104" s="41">
        <v>0.48</v>
      </c>
      <c r="L104" s="38" t="s">
        <v>114</v>
      </c>
      <c r="M104" s="42" t="s">
        <v>123</v>
      </c>
    </row>
    <row r="105" spans="1:13" x14ac:dyDescent="0.3">
      <c r="A105" s="37">
        <v>53</v>
      </c>
      <c r="B105" s="38" t="s">
        <v>131</v>
      </c>
      <c r="C105" s="39">
        <v>7896658000911</v>
      </c>
      <c r="D105" s="40" t="s">
        <v>86</v>
      </c>
      <c r="E105" s="40"/>
      <c r="F105" s="38">
        <v>10</v>
      </c>
      <c r="G105" s="38"/>
      <c r="H105" s="38" t="s">
        <v>113</v>
      </c>
      <c r="I105" s="38" t="s">
        <v>88</v>
      </c>
      <c r="J105" s="38">
        <v>4</v>
      </c>
      <c r="K105" s="41">
        <v>0.48</v>
      </c>
      <c r="L105" s="38" t="s">
        <v>114</v>
      </c>
      <c r="M105" s="42" t="s">
        <v>124</v>
      </c>
    </row>
    <row r="106" spans="1:13" x14ac:dyDescent="0.3">
      <c r="A106" s="37">
        <v>53</v>
      </c>
      <c r="B106" s="38" t="s">
        <v>131</v>
      </c>
      <c r="C106" s="39">
        <v>7896658000911</v>
      </c>
      <c r="D106" s="40" t="s">
        <v>86</v>
      </c>
      <c r="E106" s="40"/>
      <c r="F106" s="38">
        <v>10</v>
      </c>
      <c r="G106" s="38"/>
      <c r="H106" s="38" t="s">
        <v>113</v>
      </c>
      <c r="I106" s="38" t="s">
        <v>88</v>
      </c>
      <c r="J106" s="38">
        <v>4</v>
      </c>
      <c r="K106" s="41">
        <v>0.48</v>
      </c>
      <c r="L106" s="38" t="s">
        <v>114</v>
      </c>
      <c r="M106" s="42" t="s">
        <v>125</v>
      </c>
    </row>
    <row r="107" spans="1:13" x14ac:dyDescent="0.3">
      <c r="A107" s="37">
        <v>53</v>
      </c>
      <c r="B107" s="38" t="s">
        <v>131</v>
      </c>
      <c r="C107" s="39">
        <v>7896658000911</v>
      </c>
      <c r="D107" s="40" t="s">
        <v>86</v>
      </c>
      <c r="E107" s="40"/>
      <c r="F107" s="38">
        <v>10</v>
      </c>
      <c r="G107" s="38"/>
      <c r="H107" s="38" t="s">
        <v>113</v>
      </c>
      <c r="I107" s="38" t="s">
        <v>88</v>
      </c>
      <c r="J107" s="38">
        <v>4</v>
      </c>
      <c r="K107" s="41">
        <v>0.48</v>
      </c>
      <c r="L107" s="38" t="s">
        <v>114</v>
      </c>
      <c r="M107" s="42" t="s">
        <v>126</v>
      </c>
    </row>
    <row r="108" spans="1:13" x14ac:dyDescent="0.3">
      <c r="A108" s="37">
        <v>53</v>
      </c>
      <c r="B108" s="38" t="s">
        <v>131</v>
      </c>
      <c r="C108" s="39">
        <v>7896658000911</v>
      </c>
      <c r="D108" s="40" t="s">
        <v>86</v>
      </c>
      <c r="E108" s="40"/>
      <c r="F108" s="38">
        <v>10</v>
      </c>
      <c r="G108" s="38"/>
      <c r="H108" s="38" t="s">
        <v>113</v>
      </c>
      <c r="I108" s="38" t="s">
        <v>88</v>
      </c>
      <c r="J108" s="38">
        <v>4</v>
      </c>
      <c r="K108" s="41">
        <v>0.48</v>
      </c>
      <c r="L108" s="38" t="s">
        <v>127</v>
      </c>
      <c r="M108" s="42" t="s">
        <v>128</v>
      </c>
    </row>
    <row r="109" spans="1:13" x14ac:dyDescent="0.3">
      <c r="A109" s="37">
        <v>53</v>
      </c>
      <c r="B109" s="38" t="s">
        <v>131</v>
      </c>
      <c r="C109" s="39">
        <v>7896658000911</v>
      </c>
      <c r="D109" s="40" t="s">
        <v>86</v>
      </c>
      <c r="E109" s="40"/>
      <c r="F109" s="38">
        <v>10</v>
      </c>
      <c r="G109" s="38"/>
      <c r="H109" s="38" t="s">
        <v>113</v>
      </c>
      <c r="I109" s="38" t="s">
        <v>88</v>
      </c>
      <c r="J109" s="38">
        <v>4</v>
      </c>
      <c r="K109" s="41">
        <v>0.28999999999999998</v>
      </c>
      <c r="L109" s="38" t="s">
        <v>89</v>
      </c>
      <c r="M109" s="42" t="s">
        <v>90</v>
      </c>
    </row>
    <row r="110" spans="1:13" x14ac:dyDescent="0.3">
      <c r="A110" s="37">
        <v>53</v>
      </c>
      <c r="B110" s="38" t="s">
        <v>131</v>
      </c>
      <c r="C110" s="39">
        <v>7896658000911</v>
      </c>
      <c r="D110" s="40" t="s">
        <v>86</v>
      </c>
      <c r="E110" s="40"/>
      <c r="F110" s="38">
        <v>24</v>
      </c>
      <c r="G110" s="38"/>
      <c r="H110" s="38" t="s">
        <v>129</v>
      </c>
      <c r="I110" s="38" t="s">
        <v>88</v>
      </c>
      <c r="J110" s="38">
        <v>4</v>
      </c>
      <c r="K110" s="41">
        <v>0.48</v>
      </c>
      <c r="L110" s="38" t="s">
        <v>132</v>
      </c>
      <c r="M110" s="42" t="s">
        <v>133</v>
      </c>
    </row>
    <row r="111" spans="1:13" x14ac:dyDescent="0.3">
      <c r="A111" s="37">
        <v>53</v>
      </c>
      <c r="B111" s="38" t="s">
        <v>131</v>
      </c>
      <c r="C111" s="39">
        <v>7896658000911</v>
      </c>
      <c r="D111" s="40" t="s">
        <v>86</v>
      </c>
      <c r="E111" s="40"/>
      <c r="F111" s="38">
        <v>24</v>
      </c>
      <c r="G111" s="38"/>
      <c r="H111" s="38" t="s">
        <v>129</v>
      </c>
      <c r="I111" s="38" t="s">
        <v>88</v>
      </c>
      <c r="J111" s="38">
        <v>4</v>
      </c>
      <c r="K111" s="41">
        <v>0.48</v>
      </c>
      <c r="L111" s="38" t="s">
        <v>114</v>
      </c>
      <c r="M111" s="42" t="s">
        <v>115</v>
      </c>
    </row>
    <row r="112" spans="1:13" x14ac:dyDescent="0.3">
      <c r="A112" s="37">
        <v>53</v>
      </c>
      <c r="B112" s="38" t="s">
        <v>131</v>
      </c>
      <c r="C112" s="39">
        <v>7896658000911</v>
      </c>
      <c r="D112" s="40" t="s">
        <v>86</v>
      </c>
      <c r="E112" s="40"/>
      <c r="F112" s="38">
        <v>24</v>
      </c>
      <c r="G112" s="38"/>
      <c r="H112" s="38" t="s">
        <v>129</v>
      </c>
      <c r="I112" s="38" t="s">
        <v>88</v>
      </c>
      <c r="J112" s="38">
        <v>4</v>
      </c>
      <c r="K112" s="41">
        <v>0.48</v>
      </c>
      <c r="L112" s="38" t="s">
        <v>114</v>
      </c>
      <c r="M112" s="42" t="s">
        <v>116</v>
      </c>
    </row>
    <row r="113" spans="1:13" x14ac:dyDescent="0.3">
      <c r="A113" s="37">
        <v>53</v>
      </c>
      <c r="B113" s="38" t="s">
        <v>131</v>
      </c>
      <c r="C113" s="39">
        <v>7896658000911</v>
      </c>
      <c r="D113" s="40" t="s">
        <v>86</v>
      </c>
      <c r="E113" s="40"/>
      <c r="F113" s="38">
        <v>24</v>
      </c>
      <c r="G113" s="38"/>
      <c r="H113" s="38" t="s">
        <v>129</v>
      </c>
      <c r="I113" s="38" t="s">
        <v>88</v>
      </c>
      <c r="J113" s="38">
        <v>4</v>
      </c>
      <c r="K113" s="41">
        <v>0.48</v>
      </c>
      <c r="L113" s="38" t="s">
        <v>114</v>
      </c>
      <c r="M113" s="42" t="s">
        <v>117</v>
      </c>
    </row>
    <row r="114" spans="1:13" x14ac:dyDescent="0.3">
      <c r="A114" s="37">
        <v>53</v>
      </c>
      <c r="B114" s="38" t="s">
        <v>131</v>
      </c>
      <c r="C114" s="39">
        <v>7896658000911</v>
      </c>
      <c r="D114" s="40" t="s">
        <v>86</v>
      </c>
      <c r="E114" s="40"/>
      <c r="F114" s="38">
        <v>24</v>
      </c>
      <c r="G114" s="38"/>
      <c r="H114" s="38" t="s">
        <v>129</v>
      </c>
      <c r="I114" s="38" t="s">
        <v>88</v>
      </c>
      <c r="J114" s="38">
        <v>4</v>
      </c>
      <c r="K114" s="41">
        <v>0.48</v>
      </c>
      <c r="L114" s="38" t="s">
        <v>114</v>
      </c>
      <c r="M114" s="42" t="s">
        <v>118</v>
      </c>
    </row>
    <row r="115" spans="1:13" x14ac:dyDescent="0.3">
      <c r="A115" s="37">
        <v>53</v>
      </c>
      <c r="B115" s="38" t="s">
        <v>131</v>
      </c>
      <c r="C115" s="39">
        <v>7896658000911</v>
      </c>
      <c r="D115" s="40" t="s">
        <v>86</v>
      </c>
      <c r="E115" s="40"/>
      <c r="F115" s="38">
        <v>24</v>
      </c>
      <c r="G115" s="38"/>
      <c r="H115" s="38" t="s">
        <v>129</v>
      </c>
      <c r="I115" s="38" t="s">
        <v>88</v>
      </c>
      <c r="J115" s="38">
        <v>4</v>
      </c>
      <c r="K115" s="41">
        <v>0.48</v>
      </c>
      <c r="L115" s="38" t="s">
        <v>114</v>
      </c>
      <c r="M115" s="42" t="s">
        <v>119</v>
      </c>
    </row>
    <row r="116" spans="1:13" x14ac:dyDescent="0.3">
      <c r="A116" s="37">
        <v>53</v>
      </c>
      <c r="B116" s="38" t="s">
        <v>131</v>
      </c>
      <c r="C116" s="39">
        <v>7896658000911</v>
      </c>
      <c r="D116" s="40" t="s">
        <v>86</v>
      </c>
      <c r="E116" s="40"/>
      <c r="F116" s="38">
        <v>24</v>
      </c>
      <c r="G116" s="38"/>
      <c r="H116" s="38" t="s">
        <v>129</v>
      </c>
      <c r="I116" s="38" t="s">
        <v>88</v>
      </c>
      <c r="J116" s="38">
        <v>4</v>
      </c>
      <c r="K116" s="41">
        <v>0.48</v>
      </c>
      <c r="L116" s="38" t="s">
        <v>114</v>
      </c>
      <c r="M116" s="42" t="s">
        <v>120</v>
      </c>
    </row>
    <row r="117" spans="1:13" x14ac:dyDescent="0.3">
      <c r="A117" s="37">
        <v>53</v>
      </c>
      <c r="B117" s="38" t="s">
        <v>131</v>
      </c>
      <c r="C117" s="39">
        <v>7896658000911</v>
      </c>
      <c r="D117" s="40" t="s">
        <v>86</v>
      </c>
      <c r="E117" s="40"/>
      <c r="F117" s="38">
        <v>24</v>
      </c>
      <c r="G117" s="38"/>
      <c r="H117" s="38" t="s">
        <v>129</v>
      </c>
      <c r="I117" s="38" t="s">
        <v>88</v>
      </c>
      <c r="J117" s="38">
        <v>4</v>
      </c>
      <c r="K117" s="41">
        <v>0.48</v>
      </c>
      <c r="L117" s="38" t="s">
        <v>114</v>
      </c>
      <c r="M117" s="42" t="s">
        <v>121</v>
      </c>
    </row>
    <row r="118" spans="1:13" x14ac:dyDescent="0.3">
      <c r="A118" s="37">
        <v>53</v>
      </c>
      <c r="B118" s="38" t="s">
        <v>131</v>
      </c>
      <c r="C118" s="39">
        <v>7896658000911</v>
      </c>
      <c r="D118" s="40" t="s">
        <v>86</v>
      </c>
      <c r="E118" s="40"/>
      <c r="F118" s="38">
        <v>24</v>
      </c>
      <c r="G118" s="38"/>
      <c r="H118" s="38" t="s">
        <v>129</v>
      </c>
      <c r="I118" s="38" t="s">
        <v>88</v>
      </c>
      <c r="J118" s="38">
        <v>4</v>
      </c>
      <c r="K118" s="41">
        <v>0.48</v>
      </c>
      <c r="L118" s="38" t="s">
        <v>114</v>
      </c>
      <c r="M118" s="42" t="s">
        <v>122</v>
      </c>
    </row>
    <row r="119" spans="1:13" x14ac:dyDescent="0.3">
      <c r="A119" s="37">
        <v>53</v>
      </c>
      <c r="B119" s="38" t="s">
        <v>131</v>
      </c>
      <c r="C119" s="39">
        <v>7896658000911</v>
      </c>
      <c r="D119" s="40" t="s">
        <v>86</v>
      </c>
      <c r="E119" s="40"/>
      <c r="F119" s="38">
        <v>24</v>
      </c>
      <c r="G119" s="38"/>
      <c r="H119" s="38" t="s">
        <v>129</v>
      </c>
      <c r="I119" s="38" t="s">
        <v>88</v>
      </c>
      <c r="J119" s="38">
        <v>4</v>
      </c>
      <c r="K119" s="41">
        <v>0.48</v>
      </c>
      <c r="L119" s="38" t="s">
        <v>114</v>
      </c>
      <c r="M119" s="42" t="s">
        <v>123</v>
      </c>
    </row>
    <row r="120" spans="1:13" x14ac:dyDescent="0.3">
      <c r="A120" s="37">
        <v>53</v>
      </c>
      <c r="B120" s="38" t="s">
        <v>131</v>
      </c>
      <c r="C120" s="39">
        <v>7896658000911</v>
      </c>
      <c r="D120" s="40" t="s">
        <v>86</v>
      </c>
      <c r="E120" s="40"/>
      <c r="F120" s="38">
        <v>24</v>
      </c>
      <c r="G120" s="38"/>
      <c r="H120" s="38" t="s">
        <v>129</v>
      </c>
      <c r="I120" s="38" t="s">
        <v>88</v>
      </c>
      <c r="J120" s="38">
        <v>4</v>
      </c>
      <c r="K120" s="41">
        <v>0.48</v>
      </c>
      <c r="L120" s="38" t="s">
        <v>114</v>
      </c>
      <c r="M120" s="42" t="s">
        <v>124</v>
      </c>
    </row>
    <row r="121" spans="1:13" x14ac:dyDescent="0.3">
      <c r="A121" s="37">
        <v>53</v>
      </c>
      <c r="B121" s="38" t="s">
        <v>131</v>
      </c>
      <c r="C121" s="39">
        <v>7896658000911</v>
      </c>
      <c r="D121" s="40" t="s">
        <v>86</v>
      </c>
      <c r="E121" s="40"/>
      <c r="F121" s="38">
        <v>24</v>
      </c>
      <c r="G121" s="38"/>
      <c r="H121" s="38" t="s">
        <v>129</v>
      </c>
      <c r="I121" s="38" t="s">
        <v>88</v>
      </c>
      <c r="J121" s="38">
        <v>4</v>
      </c>
      <c r="K121" s="41">
        <v>0.48</v>
      </c>
      <c r="L121" s="38" t="s">
        <v>114</v>
      </c>
      <c r="M121" s="42" t="s">
        <v>125</v>
      </c>
    </row>
    <row r="122" spans="1:13" x14ac:dyDescent="0.3">
      <c r="A122" s="37">
        <v>53</v>
      </c>
      <c r="B122" s="38" t="s">
        <v>131</v>
      </c>
      <c r="C122" s="39">
        <v>7896658000911</v>
      </c>
      <c r="D122" s="40" t="s">
        <v>86</v>
      </c>
      <c r="E122" s="40"/>
      <c r="F122" s="38">
        <v>24</v>
      </c>
      <c r="G122" s="38"/>
      <c r="H122" s="38" t="s">
        <v>129</v>
      </c>
      <c r="I122" s="38" t="s">
        <v>88</v>
      </c>
      <c r="J122" s="38">
        <v>4</v>
      </c>
      <c r="K122" s="41">
        <v>0.48</v>
      </c>
      <c r="L122" s="38" t="s">
        <v>114</v>
      </c>
      <c r="M122" s="42" t="s">
        <v>126</v>
      </c>
    </row>
    <row r="123" spans="1:13" x14ac:dyDescent="0.3">
      <c r="A123" s="37">
        <v>53</v>
      </c>
      <c r="B123" s="38" t="s">
        <v>131</v>
      </c>
      <c r="C123" s="39">
        <v>7896658000911</v>
      </c>
      <c r="D123" s="40" t="s">
        <v>86</v>
      </c>
      <c r="E123" s="40"/>
      <c r="F123" s="38">
        <v>24</v>
      </c>
      <c r="G123" s="38"/>
      <c r="H123" s="38" t="s">
        <v>129</v>
      </c>
      <c r="I123" s="38" t="s">
        <v>88</v>
      </c>
      <c r="J123" s="38">
        <v>4</v>
      </c>
      <c r="K123" s="41">
        <v>0.48</v>
      </c>
      <c r="L123" s="38" t="s">
        <v>127</v>
      </c>
      <c r="M123" s="42" t="s">
        <v>128</v>
      </c>
    </row>
    <row r="124" spans="1:13" x14ac:dyDescent="0.3">
      <c r="A124" s="37">
        <v>53</v>
      </c>
      <c r="B124" s="38" t="s">
        <v>131</v>
      </c>
      <c r="C124" s="39">
        <v>7896658000911</v>
      </c>
      <c r="D124" s="40" t="s">
        <v>86</v>
      </c>
      <c r="E124" s="40"/>
      <c r="F124" s="38">
        <v>24</v>
      </c>
      <c r="G124" s="38"/>
      <c r="H124" s="38" t="s">
        <v>129</v>
      </c>
      <c r="I124" s="38" t="s">
        <v>88</v>
      </c>
      <c r="J124" s="38">
        <v>4</v>
      </c>
      <c r="K124" s="41">
        <v>0.28999999999999998</v>
      </c>
      <c r="L124" s="38" t="s">
        <v>89</v>
      </c>
      <c r="M124" s="42" t="s">
        <v>90</v>
      </c>
    </row>
    <row r="125" spans="1:13" x14ac:dyDescent="0.3">
      <c r="A125" s="37">
        <v>53</v>
      </c>
      <c r="B125" s="38" t="s">
        <v>131</v>
      </c>
      <c r="C125" s="39">
        <v>7896658000911</v>
      </c>
      <c r="D125" s="40" t="s">
        <v>86</v>
      </c>
      <c r="E125" s="40"/>
      <c r="F125" s="38">
        <v>201</v>
      </c>
      <c r="G125" s="38"/>
      <c r="H125" s="38" t="s">
        <v>130</v>
      </c>
      <c r="I125" s="38" t="s">
        <v>88</v>
      </c>
      <c r="J125" s="38">
        <v>4</v>
      </c>
      <c r="K125" s="41">
        <v>0.48</v>
      </c>
      <c r="L125" s="38" t="s">
        <v>132</v>
      </c>
      <c r="M125" s="42" t="s">
        <v>133</v>
      </c>
    </row>
    <row r="126" spans="1:13" x14ac:dyDescent="0.3">
      <c r="A126" s="37">
        <v>53</v>
      </c>
      <c r="B126" s="38" t="s">
        <v>131</v>
      </c>
      <c r="C126" s="39">
        <v>7896658000911</v>
      </c>
      <c r="D126" s="40" t="s">
        <v>86</v>
      </c>
      <c r="E126" s="40"/>
      <c r="F126" s="38">
        <v>201</v>
      </c>
      <c r="G126" s="38"/>
      <c r="H126" s="38" t="s">
        <v>130</v>
      </c>
      <c r="I126" s="38" t="s">
        <v>88</v>
      </c>
      <c r="J126" s="38">
        <v>4</v>
      </c>
      <c r="K126" s="41">
        <v>0.48</v>
      </c>
      <c r="L126" s="38" t="s">
        <v>114</v>
      </c>
      <c r="M126" s="42" t="s">
        <v>115</v>
      </c>
    </row>
    <row r="127" spans="1:13" x14ac:dyDescent="0.3">
      <c r="A127" s="37">
        <v>53</v>
      </c>
      <c r="B127" s="38" t="s">
        <v>131</v>
      </c>
      <c r="C127" s="39">
        <v>7896658000911</v>
      </c>
      <c r="D127" s="40" t="s">
        <v>86</v>
      </c>
      <c r="E127" s="40"/>
      <c r="F127" s="38">
        <v>201</v>
      </c>
      <c r="G127" s="38"/>
      <c r="H127" s="38" t="s">
        <v>130</v>
      </c>
      <c r="I127" s="38" t="s">
        <v>88</v>
      </c>
      <c r="J127" s="38">
        <v>4</v>
      </c>
      <c r="K127" s="41">
        <v>0.48</v>
      </c>
      <c r="L127" s="38" t="s">
        <v>114</v>
      </c>
      <c r="M127" s="42" t="s">
        <v>116</v>
      </c>
    </row>
    <row r="128" spans="1:13" x14ac:dyDescent="0.3">
      <c r="A128" s="37">
        <v>53</v>
      </c>
      <c r="B128" s="38" t="s">
        <v>131</v>
      </c>
      <c r="C128" s="39">
        <v>7896658000911</v>
      </c>
      <c r="D128" s="40" t="s">
        <v>86</v>
      </c>
      <c r="E128" s="40"/>
      <c r="F128" s="38">
        <v>201</v>
      </c>
      <c r="G128" s="38"/>
      <c r="H128" s="38" t="s">
        <v>130</v>
      </c>
      <c r="I128" s="38" t="s">
        <v>88</v>
      </c>
      <c r="J128" s="38">
        <v>4</v>
      </c>
      <c r="K128" s="41">
        <v>0.48</v>
      </c>
      <c r="L128" s="38" t="s">
        <v>114</v>
      </c>
      <c r="M128" s="42" t="s">
        <v>117</v>
      </c>
    </row>
    <row r="129" spans="1:13" x14ac:dyDescent="0.3">
      <c r="A129" s="37">
        <v>53</v>
      </c>
      <c r="B129" s="38" t="s">
        <v>131</v>
      </c>
      <c r="C129" s="39">
        <v>7896658000911</v>
      </c>
      <c r="D129" s="40" t="s">
        <v>86</v>
      </c>
      <c r="E129" s="40"/>
      <c r="F129" s="38">
        <v>201</v>
      </c>
      <c r="G129" s="38"/>
      <c r="H129" s="38" t="s">
        <v>130</v>
      </c>
      <c r="I129" s="38" t="s">
        <v>88</v>
      </c>
      <c r="J129" s="38">
        <v>4</v>
      </c>
      <c r="K129" s="41">
        <v>0.48</v>
      </c>
      <c r="L129" s="38" t="s">
        <v>114</v>
      </c>
      <c r="M129" s="42" t="s">
        <v>118</v>
      </c>
    </row>
    <row r="130" spans="1:13" x14ac:dyDescent="0.3">
      <c r="A130" s="37">
        <v>53</v>
      </c>
      <c r="B130" s="38" t="s">
        <v>131</v>
      </c>
      <c r="C130" s="39">
        <v>7896658000911</v>
      </c>
      <c r="D130" s="40" t="s">
        <v>86</v>
      </c>
      <c r="E130" s="40"/>
      <c r="F130" s="38">
        <v>201</v>
      </c>
      <c r="G130" s="38"/>
      <c r="H130" s="38" t="s">
        <v>130</v>
      </c>
      <c r="I130" s="38" t="s">
        <v>88</v>
      </c>
      <c r="J130" s="38">
        <v>4</v>
      </c>
      <c r="K130" s="41">
        <v>0.48</v>
      </c>
      <c r="L130" s="38" t="s">
        <v>114</v>
      </c>
      <c r="M130" s="42" t="s">
        <v>119</v>
      </c>
    </row>
    <row r="131" spans="1:13" x14ac:dyDescent="0.3">
      <c r="A131" s="37">
        <v>53</v>
      </c>
      <c r="B131" s="38" t="s">
        <v>131</v>
      </c>
      <c r="C131" s="39">
        <v>7896658000911</v>
      </c>
      <c r="D131" s="40" t="s">
        <v>86</v>
      </c>
      <c r="E131" s="40"/>
      <c r="F131" s="38">
        <v>201</v>
      </c>
      <c r="G131" s="38"/>
      <c r="H131" s="38" t="s">
        <v>130</v>
      </c>
      <c r="I131" s="38" t="s">
        <v>88</v>
      </c>
      <c r="J131" s="38">
        <v>4</v>
      </c>
      <c r="K131" s="41">
        <v>0.48</v>
      </c>
      <c r="L131" s="38" t="s">
        <v>114</v>
      </c>
      <c r="M131" s="42" t="s">
        <v>120</v>
      </c>
    </row>
    <row r="132" spans="1:13" x14ac:dyDescent="0.3">
      <c r="A132" s="37">
        <v>53</v>
      </c>
      <c r="B132" s="38" t="s">
        <v>131</v>
      </c>
      <c r="C132" s="39">
        <v>7896658000911</v>
      </c>
      <c r="D132" s="40" t="s">
        <v>86</v>
      </c>
      <c r="E132" s="40"/>
      <c r="F132" s="38">
        <v>201</v>
      </c>
      <c r="G132" s="38"/>
      <c r="H132" s="38" t="s">
        <v>130</v>
      </c>
      <c r="I132" s="38" t="s">
        <v>88</v>
      </c>
      <c r="J132" s="38">
        <v>4</v>
      </c>
      <c r="K132" s="41">
        <v>0.48</v>
      </c>
      <c r="L132" s="38" t="s">
        <v>114</v>
      </c>
      <c r="M132" s="42" t="s">
        <v>121</v>
      </c>
    </row>
    <row r="133" spans="1:13" x14ac:dyDescent="0.3">
      <c r="A133" s="37">
        <v>53</v>
      </c>
      <c r="B133" s="38" t="s">
        <v>131</v>
      </c>
      <c r="C133" s="39">
        <v>7896658000911</v>
      </c>
      <c r="D133" s="40" t="s">
        <v>86</v>
      </c>
      <c r="E133" s="40"/>
      <c r="F133" s="38">
        <v>201</v>
      </c>
      <c r="G133" s="38"/>
      <c r="H133" s="38" t="s">
        <v>130</v>
      </c>
      <c r="I133" s="38" t="s">
        <v>88</v>
      </c>
      <c r="J133" s="38">
        <v>4</v>
      </c>
      <c r="K133" s="41">
        <v>0.48</v>
      </c>
      <c r="L133" s="38" t="s">
        <v>114</v>
      </c>
      <c r="M133" s="42" t="s">
        <v>122</v>
      </c>
    </row>
    <row r="134" spans="1:13" x14ac:dyDescent="0.3">
      <c r="A134" s="37">
        <v>53</v>
      </c>
      <c r="B134" s="38" t="s">
        <v>131</v>
      </c>
      <c r="C134" s="39">
        <v>7896658000911</v>
      </c>
      <c r="D134" s="40" t="s">
        <v>86</v>
      </c>
      <c r="E134" s="40"/>
      <c r="F134" s="38">
        <v>201</v>
      </c>
      <c r="G134" s="38"/>
      <c r="H134" s="38" t="s">
        <v>130</v>
      </c>
      <c r="I134" s="38" t="s">
        <v>88</v>
      </c>
      <c r="J134" s="38">
        <v>4</v>
      </c>
      <c r="K134" s="41">
        <v>0.48</v>
      </c>
      <c r="L134" s="38" t="s">
        <v>114</v>
      </c>
      <c r="M134" s="42" t="s">
        <v>123</v>
      </c>
    </row>
    <row r="135" spans="1:13" x14ac:dyDescent="0.3">
      <c r="A135" s="37">
        <v>53</v>
      </c>
      <c r="B135" s="38" t="s">
        <v>131</v>
      </c>
      <c r="C135" s="39">
        <v>7896658000911</v>
      </c>
      <c r="D135" s="40" t="s">
        <v>86</v>
      </c>
      <c r="E135" s="40"/>
      <c r="F135" s="38">
        <v>201</v>
      </c>
      <c r="G135" s="38"/>
      <c r="H135" s="38" t="s">
        <v>130</v>
      </c>
      <c r="I135" s="38" t="s">
        <v>88</v>
      </c>
      <c r="J135" s="38">
        <v>4</v>
      </c>
      <c r="K135" s="41">
        <v>0.48</v>
      </c>
      <c r="L135" s="38" t="s">
        <v>114</v>
      </c>
      <c r="M135" s="42" t="s">
        <v>124</v>
      </c>
    </row>
    <row r="136" spans="1:13" x14ac:dyDescent="0.3">
      <c r="A136" s="37">
        <v>53</v>
      </c>
      <c r="B136" s="38" t="s">
        <v>131</v>
      </c>
      <c r="C136" s="39">
        <v>7896658000911</v>
      </c>
      <c r="D136" s="40" t="s">
        <v>86</v>
      </c>
      <c r="E136" s="40"/>
      <c r="F136" s="38">
        <v>201</v>
      </c>
      <c r="G136" s="38"/>
      <c r="H136" s="38" t="s">
        <v>130</v>
      </c>
      <c r="I136" s="38" t="s">
        <v>88</v>
      </c>
      <c r="J136" s="38">
        <v>4</v>
      </c>
      <c r="K136" s="41">
        <v>0.48</v>
      </c>
      <c r="L136" s="38" t="s">
        <v>114</v>
      </c>
      <c r="M136" s="42" t="s">
        <v>125</v>
      </c>
    </row>
    <row r="137" spans="1:13" x14ac:dyDescent="0.3">
      <c r="A137" s="37">
        <v>53</v>
      </c>
      <c r="B137" s="38" t="s">
        <v>131</v>
      </c>
      <c r="C137" s="39">
        <v>7896658000911</v>
      </c>
      <c r="D137" s="40" t="s">
        <v>86</v>
      </c>
      <c r="E137" s="40"/>
      <c r="F137" s="38">
        <v>201</v>
      </c>
      <c r="G137" s="38"/>
      <c r="H137" s="38" t="s">
        <v>130</v>
      </c>
      <c r="I137" s="38" t="s">
        <v>88</v>
      </c>
      <c r="J137" s="38">
        <v>4</v>
      </c>
      <c r="K137" s="41">
        <v>0.48</v>
      </c>
      <c r="L137" s="38" t="s">
        <v>114</v>
      </c>
      <c r="M137" s="42" t="s">
        <v>126</v>
      </c>
    </row>
    <row r="138" spans="1:13" x14ac:dyDescent="0.3">
      <c r="A138" s="37">
        <v>53</v>
      </c>
      <c r="B138" s="38" t="s">
        <v>131</v>
      </c>
      <c r="C138" s="39">
        <v>7896658000911</v>
      </c>
      <c r="D138" s="40" t="s">
        <v>86</v>
      </c>
      <c r="E138" s="40"/>
      <c r="F138" s="38">
        <v>201</v>
      </c>
      <c r="G138" s="38"/>
      <c r="H138" s="38" t="s">
        <v>130</v>
      </c>
      <c r="I138" s="38" t="s">
        <v>88</v>
      </c>
      <c r="J138" s="38">
        <v>4</v>
      </c>
      <c r="K138" s="41">
        <v>0.48</v>
      </c>
      <c r="L138" s="38" t="s">
        <v>127</v>
      </c>
      <c r="M138" s="42" t="s">
        <v>128</v>
      </c>
    </row>
    <row r="139" spans="1:13" x14ac:dyDescent="0.3">
      <c r="A139" s="37">
        <v>53</v>
      </c>
      <c r="B139" s="38" t="s">
        <v>131</v>
      </c>
      <c r="C139" s="39">
        <v>7896658000911</v>
      </c>
      <c r="D139" s="40" t="s">
        <v>86</v>
      </c>
      <c r="E139" s="40"/>
      <c r="F139" s="38">
        <v>201</v>
      </c>
      <c r="G139" s="38"/>
      <c r="H139" s="38" t="s">
        <v>130</v>
      </c>
      <c r="I139" s="38" t="s">
        <v>88</v>
      </c>
      <c r="J139" s="38">
        <v>4</v>
      </c>
      <c r="K139" s="41">
        <v>0.28999999999999998</v>
      </c>
      <c r="L139" s="38" t="s">
        <v>89</v>
      </c>
      <c r="M139" s="42" t="s">
        <v>90</v>
      </c>
    </row>
    <row r="140" spans="1:13" x14ac:dyDescent="0.3">
      <c r="A140" s="37">
        <v>53</v>
      </c>
      <c r="B140" s="38" t="s">
        <v>131</v>
      </c>
      <c r="C140" s="39">
        <v>7896658000911</v>
      </c>
      <c r="D140" s="40" t="s">
        <v>86</v>
      </c>
      <c r="E140" s="40"/>
      <c r="F140" s="38">
        <v>591</v>
      </c>
      <c r="G140" s="38"/>
      <c r="H140" s="38" t="s">
        <v>130</v>
      </c>
      <c r="I140" s="38" t="s">
        <v>88</v>
      </c>
      <c r="J140" s="38">
        <v>4</v>
      </c>
      <c r="K140" s="41">
        <v>0.48</v>
      </c>
      <c r="L140" s="38" t="s">
        <v>132</v>
      </c>
      <c r="M140" s="42" t="s">
        <v>133</v>
      </c>
    </row>
    <row r="141" spans="1:13" x14ac:dyDescent="0.3">
      <c r="A141" s="37">
        <v>53</v>
      </c>
      <c r="B141" s="38" t="s">
        <v>131</v>
      </c>
      <c r="C141" s="39">
        <v>7896658000911</v>
      </c>
      <c r="D141" s="40" t="s">
        <v>86</v>
      </c>
      <c r="E141" s="40"/>
      <c r="F141" s="38">
        <v>591</v>
      </c>
      <c r="G141" s="38"/>
      <c r="H141" s="38" t="s">
        <v>130</v>
      </c>
      <c r="I141" s="38" t="s">
        <v>88</v>
      </c>
      <c r="J141" s="38">
        <v>4</v>
      </c>
      <c r="K141" s="41">
        <v>0.48</v>
      </c>
      <c r="L141" s="38" t="s">
        <v>114</v>
      </c>
      <c r="M141" s="42" t="s">
        <v>115</v>
      </c>
    </row>
    <row r="142" spans="1:13" x14ac:dyDescent="0.3">
      <c r="A142" s="37">
        <v>53</v>
      </c>
      <c r="B142" s="38" t="s">
        <v>131</v>
      </c>
      <c r="C142" s="39">
        <v>7896658000911</v>
      </c>
      <c r="D142" s="40" t="s">
        <v>86</v>
      </c>
      <c r="E142" s="40"/>
      <c r="F142" s="38">
        <v>591</v>
      </c>
      <c r="G142" s="38"/>
      <c r="H142" s="38" t="s">
        <v>130</v>
      </c>
      <c r="I142" s="38" t="s">
        <v>88</v>
      </c>
      <c r="J142" s="38">
        <v>4</v>
      </c>
      <c r="K142" s="41">
        <v>0.48</v>
      </c>
      <c r="L142" s="38" t="s">
        <v>114</v>
      </c>
      <c r="M142" s="42" t="s">
        <v>116</v>
      </c>
    </row>
    <row r="143" spans="1:13" x14ac:dyDescent="0.3">
      <c r="A143" s="37">
        <v>53</v>
      </c>
      <c r="B143" s="38" t="s">
        <v>131</v>
      </c>
      <c r="C143" s="39">
        <v>7896658000911</v>
      </c>
      <c r="D143" s="40" t="s">
        <v>86</v>
      </c>
      <c r="E143" s="40"/>
      <c r="F143" s="38">
        <v>591</v>
      </c>
      <c r="G143" s="38"/>
      <c r="H143" s="38" t="s">
        <v>130</v>
      </c>
      <c r="I143" s="38" t="s">
        <v>88</v>
      </c>
      <c r="J143" s="38">
        <v>4</v>
      </c>
      <c r="K143" s="41">
        <v>0.48</v>
      </c>
      <c r="L143" s="38" t="s">
        <v>114</v>
      </c>
      <c r="M143" s="42" t="s">
        <v>117</v>
      </c>
    </row>
    <row r="144" spans="1:13" x14ac:dyDescent="0.3">
      <c r="A144" s="37">
        <v>53</v>
      </c>
      <c r="B144" s="38" t="s">
        <v>131</v>
      </c>
      <c r="C144" s="39">
        <v>7896658000911</v>
      </c>
      <c r="D144" s="40" t="s">
        <v>86</v>
      </c>
      <c r="E144" s="40"/>
      <c r="F144" s="38">
        <v>591</v>
      </c>
      <c r="G144" s="38"/>
      <c r="H144" s="38" t="s">
        <v>130</v>
      </c>
      <c r="I144" s="38" t="s">
        <v>88</v>
      </c>
      <c r="J144" s="38">
        <v>4</v>
      </c>
      <c r="K144" s="41">
        <v>0.48</v>
      </c>
      <c r="L144" s="38" t="s">
        <v>114</v>
      </c>
      <c r="M144" s="42" t="s">
        <v>118</v>
      </c>
    </row>
    <row r="145" spans="1:13" x14ac:dyDescent="0.3">
      <c r="A145" s="37">
        <v>53</v>
      </c>
      <c r="B145" s="38" t="s">
        <v>131</v>
      </c>
      <c r="C145" s="39">
        <v>7896658000911</v>
      </c>
      <c r="D145" s="40" t="s">
        <v>86</v>
      </c>
      <c r="E145" s="40"/>
      <c r="F145" s="38">
        <v>591</v>
      </c>
      <c r="G145" s="38"/>
      <c r="H145" s="38" t="s">
        <v>130</v>
      </c>
      <c r="I145" s="38" t="s">
        <v>88</v>
      </c>
      <c r="J145" s="38">
        <v>4</v>
      </c>
      <c r="K145" s="41">
        <v>0.48</v>
      </c>
      <c r="L145" s="38" t="s">
        <v>114</v>
      </c>
      <c r="M145" s="42" t="s">
        <v>119</v>
      </c>
    </row>
    <row r="146" spans="1:13" x14ac:dyDescent="0.3">
      <c r="A146" s="37">
        <v>53</v>
      </c>
      <c r="B146" s="38" t="s">
        <v>131</v>
      </c>
      <c r="C146" s="39">
        <v>7896658000911</v>
      </c>
      <c r="D146" s="40" t="s">
        <v>86</v>
      </c>
      <c r="E146" s="40"/>
      <c r="F146" s="38">
        <v>591</v>
      </c>
      <c r="G146" s="38"/>
      <c r="H146" s="38" t="s">
        <v>130</v>
      </c>
      <c r="I146" s="38" t="s">
        <v>88</v>
      </c>
      <c r="J146" s="38">
        <v>4</v>
      </c>
      <c r="K146" s="41">
        <v>0.48</v>
      </c>
      <c r="L146" s="38" t="s">
        <v>114</v>
      </c>
      <c r="M146" s="42" t="s">
        <v>120</v>
      </c>
    </row>
    <row r="147" spans="1:13" x14ac:dyDescent="0.3">
      <c r="A147" s="37">
        <v>53</v>
      </c>
      <c r="B147" s="38" t="s">
        <v>131</v>
      </c>
      <c r="C147" s="39">
        <v>7896658000911</v>
      </c>
      <c r="D147" s="40" t="s">
        <v>86</v>
      </c>
      <c r="E147" s="40"/>
      <c r="F147" s="38">
        <v>591</v>
      </c>
      <c r="G147" s="38"/>
      <c r="H147" s="38" t="s">
        <v>130</v>
      </c>
      <c r="I147" s="38" t="s">
        <v>88</v>
      </c>
      <c r="J147" s="38">
        <v>4</v>
      </c>
      <c r="K147" s="41">
        <v>0.48</v>
      </c>
      <c r="L147" s="38" t="s">
        <v>114</v>
      </c>
      <c r="M147" s="42" t="s">
        <v>121</v>
      </c>
    </row>
    <row r="148" spans="1:13" x14ac:dyDescent="0.3">
      <c r="A148" s="37">
        <v>53</v>
      </c>
      <c r="B148" s="38" t="s">
        <v>131</v>
      </c>
      <c r="C148" s="39">
        <v>7896658000911</v>
      </c>
      <c r="D148" s="40" t="s">
        <v>86</v>
      </c>
      <c r="E148" s="40"/>
      <c r="F148" s="38">
        <v>591</v>
      </c>
      <c r="G148" s="38"/>
      <c r="H148" s="38" t="s">
        <v>130</v>
      </c>
      <c r="I148" s="38" t="s">
        <v>88</v>
      </c>
      <c r="J148" s="38">
        <v>4</v>
      </c>
      <c r="K148" s="41">
        <v>0.48</v>
      </c>
      <c r="L148" s="38" t="s">
        <v>114</v>
      </c>
      <c r="M148" s="42" t="s">
        <v>122</v>
      </c>
    </row>
    <row r="149" spans="1:13" x14ac:dyDescent="0.3">
      <c r="A149" s="37">
        <v>53</v>
      </c>
      <c r="B149" s="38" t="s">
        <v>131</v>
      </c>
      <c r="C149" s="39">
        <v>7896658000911</v>
      </c>
      <c r="D149" s="40" t="s">
        <v>86</v>
      </c>
      <c r="E149" s="40"/>
      <c r="F149" s="38">
        <v>591</v>
      </c>
      <c r="G149" s="38"/>
      <c r="H149" s="38" t="s">
        <v>130</v>
      </c>
      <c r="I149" s="38" t="s">
        <v>88</v>
      </c>
      <c r="J149" s="38">
        <v>4</v>
      </c>
      <c r="K149" s="41">
        <v>0.48</v>
      </c>
      <c r="L149" s="38" t="s">
        <v>114</v>
      </c>
      <c r="M149" s="42" t="s">
        <v>123</v>
      </c>
    </row>
    <row r="150" spans="1:13" x14ac:dyDescent="0.3">
      <c r="A150" s="37">
        <v>53</v>
      </c>
      <c r="B150" s="38" t="s">
        <v>131</v>
      </c>
      <c r="C150" s="39">
        <v>7896658000911</v>
      </c>
      <c r="D150" s="40" t="s">
        <v>86</v>
      </c>
      <c r="E150" s="40"/>
      <c r="F150" s="38">
        <v>591</v>
      </c>
      <c r="G150" s="38"/>
      <c r="H150" s="38" t="s">
        <v>130</v>
      </c>
      <c r="I150" s="38" t="s">
        <v>88</v>
      </c>
      <c r="J150" s="38">
        <v>4</v>
      </c>
      <c r="K150" s="41">
        <v>0.48</v>
      </c>
      <c r="L150" s="38" t="s">
        <v>114</v>
      </c>
      <c r="M150" s="42" t="s">
        <v>124</v>
      </c>
    </row>
    <row r="151" spans="1:13" x14ac:dyDescent="0.3">
      <c r="A151" s="37">
        <v>53</v>
      </c>
      <c r="B151" s="38" t="s">
        <v>131</v>
      </c>
      <c r="C151" s="39">
        <v>7896658000911</v>
      </c>
      <c r="D151" s="40" t="s">
        <v>86</v>
      </c>
      <c r="E151" s="40"/>
      <c r="F151" s="38">
        <v>591</v>
      </c>
      <c r="G151" s="38"/>
      <c r="H151" s="38" t="s">
        <v>130</v>
      </c>
      <c r="I151" s="38" t="s">
        <v>88</v>
      </c>
      <c r="J151" s="38">
        <v>4</v>
      </c>
      <c r="K151" s="41">
        <v>0.48</v>
      </c>
      <c r="L151" s="38" t="s">
        <v>114</v>
      </c>
      <c r="M151" s="42" t="s">
        <v>125</v>
      </c>
    </row>
    <row r="152" spans="1:13" x14ac:dyDescent="0.3">
      <c r="A152" s="37">
        <v>53</v>
      </c>
      <c r="B152" s="38" t="s">
        <v>131</v>
      </c>
      <c r="C152" s="39">
        <v>7896658000911</v>
      </c>
      <c r="D152" s="40" t="s">
        <v>86</v>
      </c>
      <c r="E152" s="40"/>
      <c r="F152" s="38">
        <v>591</v>
      </c>
      <c r="G152" s="38"/>
      <c r="H152" s="38" t="s">
        <v>130</v>
      </c>
      <c r="I152" s="38" t="s">
        <v>88</v>
      </c>
      <c r="J152" s="38">
        <v>4</v>
      </c>
      <c r="K152" s="41">
        <v>0.48</v>
      </c>
      <c r="L152" s="38" t="s">
        <v>114</v>
      </c>
      <c r="M152" s="42" t="s">
        <v>126</v>
      </c>
    </row>
    <row r="153" spans="1:13" x14ac:dyDescent="0.3">
      <c r="A153" s="37">
        <v>53</v>
      </c>
      <c r="B153" s="38" t="s">
        <v>131</v>
      </c>
      <c r="C153" s="39">
        <v>7896658000911</v>
      </c>
      <c r="D153" s="40" t="s">
        <v>86</v>
      </c>
      <c r="E153" s="40"/>
      <c r="F153" s="38">
        <v>591</v>
      </c>
      <c r="G153" s="38"/>
      <c r="H153" s="38" t="s">
        <v>130</v>
      </c>
      <c r="I153" s="38" t="s">
        <v>88</v>
      </c>
      <c r="J153" s="38">
        <v>4</v>
      </c>
      <c r="K153" s="41">
        <v>0.48</v>
      </c>
      <c r="L153" s="38" t="s">
        <v>127</v>
      </c>
      <c r="M153" s="42" t="s">
        <v>128</v>
      </c>
    </row>
    <row r="154" spans="1:13" x14ac:dyDescent="0.3">
      <c r="A154" s="37">
        <v>53</v>
      </c>
      <c r="B154" s="38" t="s">
        <v>131</v>
      </c>
      <c r="C154" s="39">
        <v>7896658000911</v>
      </c>
      <c r="D154" s="40" t="s">
        <v>86</v>
      </c>
      <c r="E154" s="40"/>
      <c r="F154" s="38">
        <v>591</v>
      </c>
      <c r="G154" s="38"/>
      <c r="H154" s="38" t="s">
        <v>130</v>
      </c>
      <c r="I154" s="38" t="s">
        <v>88</v>
      </c>
      <c r="J154" s="38">
        <v>4</v>
      </c>
      <c r="K154" s="41">
        <v>0.28999999999999998</v>
      </c>
      <c r="L154" s="38" t="s">
        <v>89</v>
      </c>
      <c r="M154" s="42" t="s">
        <v>90</v>
      </c>
    </row>
    <row r="155" spans="1:13" x14ac:dyDescent="0.3">
      <c r="A155" s="37">
        <v>53</v>
      </c>
      <c r="B155" s="38" t="s">
        <v>134</v>
      </c>
      <c r="C155" s="39">
        <v>7896658002403</v>
      </c>
      <c r="D155" s="40" t="s">
        <v>86</v>
      </c>
      <c r="E155" s="40"/>
      <c r="F155" s="38">
        <v>30</v>
      </c>
      <c r="G155" s="38"/>
      <c r="H155" s="38" t="s">
        <v>135</v>
      </c>
      <c r="I155" s="38" t="s">
        <v>88</v>
      </c>
      <c r="J155" s="38">
        <v>6</v>
      </c>
      <c r="K155" s="41">
        <v>0.38</v>
      </c>
      <c r="L155" s="38" t="s">
        <v>94</v>
      </c>
      <c r="M155" s="42" t="s">
        <v>90</v>
      </c>
    </row>
    <row r="156" spans="1:13" x14ac:dyDescent="0.3">
      <c r="A156" s="37">
        <v>53</v>
      </c>
      <c r="B156" s="38" t="s">
        <v>134</v>
      </c>
      <c r="C156" s="39">
        <v>7896658002403</v>
      </c>
      <c r="D156" s="40" t="s">
        <v>86</v>
      </c>
      <c r="E156" s="40"/>
      <c r="F156" s="38">
        <v>30</v>
      </c>
      <c r="G156" s="38"/>
      <c r="H156" s="38" t="s">
        <v>135</v>
      </c>
      <c r="I156" s="38" t="s">
        <v>88</v>
      </c>
      <c r="J156" s="38">
        <v>6</v>
      </c>
      <c r="K156" s="41">
        <v>0.37</v>
      </c>
      <c r="L156" s="38" t="s">
        <v>95</v>
      </c>
      <c r="M156" s="42" t="s">
        <v>90</v>
      </c>
    </row>
    <row r="157" spans="1:13" x14ac:dyDescent="0.3">
      <c r="A157" s="37">
        <v>53</v>
      </c>
      <c r="B157" s="38" t="s">
        <v>134</v>
      </c>
      <c r="C157" s="39">
        <v>7896658002403</v>
      </c>
      <c r="D157" s="40" t="s">
        <v>86</v>
      </c>
      <c r="E157" s="40"/>
      <c r="F157" s="38">
        <v>30</v>
      </c>
      <c r="G157" s="38"/>
      <c r="H157" s="38" t="s">
        <v>135</v>
      </c>
      <c r="I157" s="38" t="s">
        <v>88</v>
      </c>
      <c r="J157" s="38">
        <v>6</v>
      </c>
      <c r="K157" s="41">
        <v>0.4</v>
      </c>
      <c r="L157" s="38" t="s">
        <v>89</v>
      </c>
      <c r="M157" s="42" t="s">
        <v>90</v>
      </c>
    </row>
    <row r="158" spans="1:13" x14ac:dyDescent="0.3">
      <c r="A158" s="37">
        <v>53</v>
      </c>
      <c r="B158" s="38" t="s">
        <v>134</v>
      </c>
      <c r="C158" s="39">
        <v>7896658002403</v>
      </c>
      <c r="D158" s="40" t="s">
        <v>86</v>
      </c>
      <c r="E158" s="40"/>
      <c r="F158" s="38">
        <v>207</v>
      </c>
      <c r="G158" s="38"/>
      <c r="H158" s="38" t="s">
        <v>135</v>
      </c>
      <c r="I158" s="38" t="s">
        <v>88</v>
      </c>
      <c r="J158" s="38">
        <v>6</v>
      </c>
      <c r="K158" s="41">
        <v>0.38</v>
      </c>
      <c r="L158" s="38" t="s">
        <v>94</v>
      </c>
      <c r="M158" s="42" t="s">
        <v>90</v>
      </c>
    </row>
    <row r="159" spans="1:13" x14ac:dyDescent="0.3">
      <c r="A159" s="37">
        <v>53</v>
      </c>
      <c r="B159" s="38" t="s">
        <v>134</v>
      </c>
      <c r="C159" s="39">
        <v>7896658002403</v>
      </c>
      <c r="D159" s="40" t="s">
        <v>86</v>
      </c>
      <c r="E159" s="40"/>
      <c r="F159" s="38">
        <v>207</v>
      </c>
      <c r="G159" s="38"/>
      <c r="H159" s="38" t="s">
        <v>135</v>
      </c>
      <c r="I159" s="38" t="s">
        <v>88</v>
      </c>
      <c r="J159" s="38">
        <v>6</v>
      </c>
      <c r="K159" s="41">
        <v>0.37</v>
      </c>
      <c r="L159" s="38" t="s">
        <v>95</v>
      </c>
      <c r="M159" s="42" t="s">
        <v>90</v>
      </c>
    </row>
    <row r="160" spans="1:13" x14ac:dyDescent="0.3">
      <c r="A160" s="37">
        <v>53</v>
      </c>
      <c r="B160" s="38" t="s">
        <v>134</v>
      </c>
      <c r="C160" s="39">
        <v>7896658002403</v>
      </c>
      <c r="D160" s="40" t="s">
        <v>86</v>
      </c>
      <c r="E160" s="40"/>
      <c r="F160" s="38">
        <v>207</v>
      </c>
      <c r="G160" s="38"/>
      <c r="H160" s="38" t="s">
        <v>135</v>
      </c>
      <c r="I160" s="38" t="s">
        <v>88</v>
      </c>
      <c r="J160" s="38">
        <v>6</v>
      </c>
      <c r="K160" s="41">
        <v>0.4</v>
      </c>
      <c r="L160" s="38" t="s">
        <v>89</v>
      </c>
      <c r="M160" s="42" t="s">
        <v>90</v>
      </c>
    </row>
    <row r="161" spans="1:13" x14ac:dyDescent="0.3">
      <c r="A161" s="37">
        <v>53</v>
      </c>
      <c r="B161" s="38" t="s">
        <v>136</v>
      </c>
      <c r="C161" s="39">
        <v>7896658004308</v>
      </c>
      <c r="D161" s="40" t="s">
        <v>86</v>
      </c>
      <c r="E161" s="40"/>
      <c r="F161" s="38">
        <v>862</v>
      </c>
      <c r="G161" s="38"/>
      <c r="H161" s="38" t="s">
        <v>137</v>
      </c>
      <c r="I161" s="38" t="s">
        <v>138</v>
      </c>
      <c r="J161" s="38">
        <v>3</v>
      </c>
      <c r="K161" s="50">
        <v>120.12</v>
      </c>
      <c r="L161" s="38" t="s">
        <v>139</v>
      </c>
      <c r="M161" s="42" t="s">
        <v>90</v>
      </c>
    </row>
    <row r="162" spans="1:13" x14ac:dyDescent="0.3">
      <c r="A162" s="37">
        <v>53</v>
      </c>
      <c r="B162" s="38" t="s">
        <v>140</v>
      </c>
      <c r="C162" s="39">
        <v>7896658004360</v>
      </c>
      <c r="D162" s="40" t="s">
        <v>86</v>
      </c>
      <c r="E162" s="40"/>
      <c r="F162" s="38">
        <v>862</v>
      </c>
      <c r="G162" s="38"/>
      <c r="H162" s="38" t="s">
        <v>137</v>
      </c>
      <c r="I162" s="38" t="s">
        <v>138</v>
      </c>
      <c r="J162" s="38">
        <v>3</v>
      </c>
      <c r="K162" s="50">
        <v>120.12</v>
      </c>
      <c r="L162" s="38" t="s">
        <v>139</v>
      </c>
      <c r="M162" s="42" t="s">
        <v>90</v>
      </c>
    </row>
    <row r="163" spans="1:13" x14ac:dyDescent="0.3">
      <c r="A163" s="37">
        <v>53</v>
      </c>
      <c r="B163" s="38" t="s">
        <v>141</v>
      </c>
      <c r="C163" s="39">
        <v>7896658004391</v>
      </c>
      <c r="D163" s="40" t="s">
        <v>86</v>
      </c>
      <c r="E163" s="40"/>
      <c r="F163" s="38">
        <v>29</v>
      </c>
      <c r="G163" s="38"/>
      <c r="H163" s="38" t="s">
        <v>142</v>
      </c>
      <c r="I163" s="38" t="s">
        <v>88</v>
      </c>
      <c r="J163" s="38">
        <v>4</v>
      </c>
      <c r="K163" s="41">
        <v>0.48</v>
      </c>
      <c r="L163" s="38" t="s">
        <v>89</v>
      </c>
      <c r="M163" s="42" t="s">
        <v>90</v>
      </c>
    </row>
    <row r="164" spans="1:13" x14ac:dyDescent="0.3">
      <c r="A164" s="37">
        <v>53</v>
      </c>
      <c r="B164" s="38" t="s">
        <v>141</v>
      </c>
      <c r="C164" s="39">
        <v>7896658004391</v>
      </c>
      <c r="D164" s="40" t="s">
        <v>86</v>
      </c>
      <c r="E164" s="40"/>
      <c r="F164" s="38">
        <v>45</v>
      </c>
      <c r="G164" s="38"/>
      <c r="H164" s="38" t="s">
        <v>143</v>
      </c>
      <c r="I164" s="38" t="s">
        <v>88</v>
      </c>
      <c r="J164" s="38">
        <v>4</v>
      </c>
      <c r="K164" s="41">
        <v>0.46</v>
      </c>
      <c r="L164" s="38" t="s">
        <v>94</v>
      </c>
      <c r="M164" s="42" t="s">
        <v>90</v>
      </c>
    </row>
    <row r="165" spans="1:13" x14ac:dyDescent="0.3">
      <c r="A165" s="37">
        <v>53</v>
      </c>
      <c r="B165" s="38" t="s">
        <v>141</v>
      </c>
      <c r="C165" s="39">
        <v>7896658004391</v>
      </c>
      <c r="D165" s="40" t="s">
        <v>86</v>
      </c>
      <c r="E165" s="40"/>
      <c r="F165" s="38">
        <v>45</v>
      </c>
      <c r="G165" s="38"/>
      <c r="H165" s="38" t="s">
        <v>143</v>
      </c>
      <c r="I165" s="38" t="s">
        <v>88</v>
      </c>
      <c r="J165" s="38">
        <v>4</v>
      </c>
      <c r="K165" s="41">
        <v>0.45</v>
      </c>
      <c r="L165" s="38" t="s">
        <v>95</v>
      </c>
      <c r="M165" s="42" t="s">
        <v>90</v>
      </c>
    </row>
    <row r="166" spans="1:13" x14ac:dyDescent="0.3">
      <c r="A166" s="37">
        <v>53</v>
      </c>
      <c r="B166" s="38" t="s">
        <v>141</v>
      </c>
      <c r="C166" s="39">
        <v>7896658004391</v>
      </c>
      <c r="D166" s="40" t="s">
        <v>86</v>
      </c>
      <c r="E166" s="40"/>
      <c r="F166" s="38">
        <v>45</v>
      </c>
      <c r="G166" s="38"/>
      <c r="H166" s="38" t="s">
        <v>143</v>
      </c>
      <c r="I166" s="38" t="s">
        <v>88</v>
      </c>
      <c r="J166" s="38">
        <v>4</v>
      </c>
      <c r="K166" s="41">
        <v>0.5</v>
      </c>
      <c r="L166" s="38" t="s">
        <v>89</v>
      </c>
      <c r="M166" s="42" t="s">
        <v>90</v>
      </c>
    </row>
    <row r="167" spans="1:13" x14ac:dyDescent="0.3">
      <c r="A167" s="37">
        <v>53</v>
      </c>
      <c r="B167" s="38" t="s">
        <v>141</v>
      </c>
      <c r="C167" s="39">
        <v>7896658004391</v>
      </c>
      <c r="D167" s="40" t="s">
        <v>86</v>
      </c>
      <c r="E167" s="40"/>
      <c r="F167" s="38">
        <v>205</v>
      </c>
      <c r="G167" s="38"/>
      <c r="H167" s="38" t="s">
        <v>143</v>
      </c>
      <c r="I167" s="38" t="s">
        <v>88</v>
      </c>
      <c r="J167" s="38">
        <v>4</v>
      </c>
      <c r="K167" s="41">
        <v>0.46</v>
      </c>
      <c r="L167" s="38" t="s">
        <v>94</v>
      </c>
      <c r="M167" s="42" t="s">
        <v>90</v>
      </c>
    </row>
    <row r="168" spans="1:13" x14ac:dyDescent="0.3">
      <c r="A168" s="37">
        <v>53</v>
      </c>
      <c r="B168" s="38" t="s">
        <v>141</v>
      </c>
      <c r="C168" s="39">
        <v>7896658004391</v>
      </c>
      <c r="D168" s="40" t="s">
        <v>86</v>
      </c>
      <c r="E168" s="40"/>
      <c r="F168" s="38">
        <v>205</v>
      </c>
      <c r="G168" s="38"/>
      <c r="H168" s="38" t="s">
        <v>143</v>
      </c>
      <c r="I168" s="38" t="s">
        <v>88</v>
      </c>
      <c r="J168" s="38">
        <v>4</v>
      </c>
      <c r="K168" s="41">
        <v>0.45</v>
      </c>
      <c r="L168" s="38" t="s">
        <v>95</v>
      </c>
      <c r="M168" s="42" t="s">
        <v>90</v>
      </c>
    </row>
    <row r="169" spans="1:13" x14ac:dyDescent="0.3">
      <c r="A169" s="37">
        <v>53</v>
      </c>
      <c r="B169" s="38" t="s">
        <v>141</v>
      </c>
      <c r="C169" s="39">
        <v>7896658004391</v>
      </c>
      <c r="D169" s="40" t="s">
        <v>86</v>
      </c>
      <c r="E169" s="40"/>
      <c r="F169" s="38">
        <v>205</v>
      </c>
      <c r="G169" s="38"/>
      <c r="H169" s="38" t="s">
        <v>143</v>
      </c>
      <c r="I169" s="38" t="s">
        <v>88</v>
      </c>
      <c r="J169" s="38">
        <v>4</v>
      </c>
      <c r="K169" s="41">
        <v>0.5</v>
      </c>
      <c r="L169" s="38" t="s">
        <v>89</v>
      </c>
      <c r="M169" s="42" t="s">
        <v>90</v>
      </c>
    </row>
    <row r="170" spans="1:13" x14ac:dyDescent="0.3">
      <c r="A170" s="37">
        <v>53</v>
      </c>
      <c r="B170" s="38" t="s">
        <v>144</v>
      </c>
      <c r="C170" s="39">
        <v>7896658004858</v>
      </c>
      <c r="D170" s="40" t="s">
        <v>86</v>
      </c>
      <c r="E170" s="40"/>
      <c r="F170" s="38">
        <v>29</v>
      </c>
      <c r="G170" s="38"/>
      <c r="H170" s="38" t="s">
        <v>142</v>
      </c>
      <c r="I170" s="38" t="s">
        <v>88</v>
      </c>
      <c r="J170" s="38">
        <v>4</v>
      </c>
      <c r="K170" s="41">
        <v>0.48</v>
      </c>
      <c r="L170" s="38" t="s">
        <v>89</v>
      </c>
      <c r="M170" s="42" t="s">
        <v>90</v>
      </c>
    </row>
    <row r="171" spans="1:13" x14ac:dyDescent="0.3">
      <c r="A171" s="37">
        <v>53</v>
      </c>
      <c r="B171" s="38" t="s">
        <v>144</v>
      </c>
      <c r="C171" s="39">
        <v>7896658004858</v>
      </c>
      <c r="D171" s="40" t="s">
        <v>86</v>
      </c>
      <c r="E171" s="40"/>
      <c r="F171" s="38">
        <v>45</v>
      </c>
      <c r="G171" s="38"/>
      <c r="H171" s="38" t="s">
        <v>143</v>
      </c>
      <c r="I171" s="38" t="s">
        <v>88</v>
      </c>
      <c r="J171" s="38">
        <v>4</v>
      </c>
      <c r="K171" s="41">
        <v>0.26</v>
      </c>
      <c r="L171" s="38" t="s">
        <v>94</v>
      </c>
      <c r="M171" s="42" t="s">
        <v>90</v>
      </c>
    </row>
    <row r="172" spans="1:13" x14ac:dyDescent="0.3">
      <c r="A172" s="37">
        <v>53</v>
      </c>
      <c r="B172" s="38" t="s">
        <v>144</v>
      </c>
      <c r="C172" s="39">
        <v>7896658004858</v>
      </c>
      <c r="D172" s="40" t="s">
        <v>86</v>
      </c>
      <c r="E172" s="40"/>
      <c r="F172" s="38">
        <v>45</v>
      </c>
      <c r="G172" s="38"/>
      <c r="H172" s="38" t="s">
        <v>143</v>
      </c>
      <c r="I172" s="38" t="s">
        <v>88</v>
      </c>
      <c r="J172" s="38">
        <v>4</v>
      </c>
      <c r="K172" s="41">
        <v>0.25</v>
      </c>
      <c r="L172" s="38" t="s">
        <v>95</v>
      </c>
      <c r="M172" s="42" t="s">
        <v>90</v>
      </c>
    </row>
    <row r="173" spans="1:13" x14ac:dyDescent="0.3">
      <c r="A173" s="37">
        <v>53</v>
      </c>
      <c r="B173" s="38" t="s">
        <v>144</v>
      </c>
      <c r="C173" s="39">
        <v>7896658004858</v>
      </c>
      <c r="D173" s="40" t="s">
        <v>86</v>
      </c>
      <c r="E173" s="40"/>
      <c r="F173" s="38">
        <v>45</v>
      </c>
      <c r="G173" s="38"/>
      <c r="H173" s="38" t="s">
        <v>143</v>
      </c>
      <c r="I173" s="38" t="s">
        <v>88</v>
      </c>
      <c r="J173" s="38">
        <v>4</v>
      </c>
      <c r="K173" s="41">
        <v>0.3</v>
      </c>
      <c r="L173" s="38" t="s">
        <v>89</v>
      </c>
      <c r="M173" s="42" t="s">
        <v>90</v>
      </c>
    </row>
    <row r="174" spans="1:13" x14ac:dyDescent="0.3">
      <c r="A174" s="37">
        <v>53</v>
      </c>
      <c r="B174" s="38" t="s">
        <v>144</v>
      </c>
      <c r="C174" s="39">
        <v>7896658004858</v>
      </c>
      <c r="D174" s="40" t="s">
        <v>86</v>
      </c>
      <c r="E174" s="40"/>
      <c r="F174" s="38">
        <v>205</v>
      </c>
      <c r="G174" s="38"/>
      <c r="H174" s="38" t="s">
        <v>143</v>
      </c>
      <c r="I174" s="38" t="s">
        <v>88</v>
      </c>
      <c r="J174" s="38">
        <v>4</v>
      </c>
      <c r="K174" s="41">
        <v>0.26</v>
      </c>
      <c r="L174" s="38" t="s">
        <v>94</v>
      </c>
      <c r="M174" s="42" t="s">
        <v>90</v>
      </c>
    </row>
    <row r="175" spans="1:13" x14ac:dyDescent="0.3">
      <c r="A175" s="37">
        <v>53</v>
      </c>
      <c r="B175" s="38" t="s">
        <v>144</v>
      </c>
      <c r="C175" s="39">
        <v>7896658004858</v>
      </c>
      <c r="D175" s="40" t="s">
        <v>86</v>
      </c>
      <c r="E175" s="40"/>
      <c r="F175" s="38">
        <v>205</v>
      </c>
      <c r="G175" s="38"/>
      <c r="H175" s="38" t="s">
        <v>143</v>
      </c>
      <c r="I175" s="38" t="s">
        <v>88</v>
      </c>
      <c r="J175" s="38">
        <v>4</v>
      </c>
      <c r="K175" s="41">
        <v>0.25</v>
      </c>
      <c r="L175" s="38" t="s">
        <v>95</v>
      </c>
      <c r="M175" s="42" t="s">
        <v>90</v>
      </c>
    </row>
    <row r="176" spans="1:13" x14ac:dyDescent="0.3">
      <c r="A176" s="37">
        <v>53</v>
      </c>
      <c r="B176" s="38" t="s">
        <v>144</v>
      </c>
      <c r="C176" s="39">
        <v>7896658004858</v>
      </c>
      <c r="D176" s="40" t="s">
        <v>86</v>
      </c>
      <c r="E176" s="40"/>
      <c r="F176" s="38">
        <v>205</v>
      </c>
      <c r="G176" s="38"/>
      <c r="H176" s="38" t="s">
        <v>143</v>
      </c>
      <c r="I176" s="38" t="s">
        <v>88</v>
      </c>
      <c r="J176" s="38">
        <v>4</v>
      </c>
      <c r="K176" s="41">
        <v>0.3</v>
      </c>
      <c r="L176" s="38" t="s">
        <v>89</v>
      </c>
      <c r="M176" s="42" t="s">
        <v>90</v>
      </c>
    </row>
    <row r="177" spans="1:13" x14ac:dyDescent="0.3">
      <c r="A177" s="37">
        <v>53</v>
      </c>
      <c r="B177" s="38" t="s">
        <v>145</v>
      </c>
      <c r="C177" s="39">
        <v>7896658006043</v>
      </c>
      <c r="D177" s="40" t="s">
        <v>86</v>
      </c>
      <c r="E177" s="40"/>
      <c r="F177" s="38">
        <v>10</v>
      </c>
      <c r="G177" s="38"/>
      <c r="H177" s="38" t="s">
        <v>113</v>
      </c>
      <c r="I177" s="38" t="s">
        <v>88</v>
      </c>
      <c r="J177" s="38">
        <v>4</v>
      </c>
      <c r="K177" s="41">
        <v>0.25</v>
      </c>
      <c r="L177" s="38" t="s">
        <v>114</v>
      </c>
      <c r="M177" s="42" t="s">
        <v>115</v>
      </c>
    </row>
    <row r="178" spans="1:13" x14ac:dyDescent="0.3">
      <c r="A178" s="37">
        <v>53</v>
      </c>
      <c r="B178" s="38" t="s">
        <v>145</v>
      </c>
      <c r="C178" s="39">
        <v>7896658006043</v>
      </c>
      <c r="D178" s="40" t="s">
        <v>86</v>
      </c>
      <c r="E178" s="40"/>
      <c r="F178" s="38">
        <v>10</v>
      </c>
      <c r="G178" s="38"/>
      <c r="H178" s="38" t="s">
        <v>113</v>
      </c>
      <c r="I178" s="38" t="s">
        <v>88</v>
      </c>
      <c r="J178" s="38">
        <v>4</v>
      </c>
      <c r="K178" s="41">
        <v>0.25</v>
      </c>
      <c r="L178" s="38" t="s">
        <v>114</v>
      </c>
      <c r="M178" s="42" t="s">
        <v>116</v>
      </c>
    </row>
    <row r="179" spans="1:13" x14ac:dyDescent="0.3">
      <c r="A179" s="37">
        <v>53</v>
      </c>
      <c r="B179" s="38" t="s">
        <v>145</v>
      </c>
      <c r="C179" s="39">
        <v>7896658006043</v>
      </c>
      <c r="D179" s="40" t="s">
        <v>86</v>
      </c>
      <c r="E179" s="40"/>
      <c r="F179" s="38">
        <v>10</v>
      </c>
      <c r="G179" s="38"/>
      <c r="H179" s="38" t="s">
        <v>113</v>
      </c>
      <c r="I179" s="38" t="s">
        <v>88</v>
      </c>
      <c r="J179" s="38">
        <v>4</v>
      </c>
      <c r="K179" s="41">
        <v>0.25</v>
      </c>
      <c r="L179" s="38" t="s">
        <v>114</v>
      </c>
      <c r="M179" s="42" t="s">
        <v>117</v>
      </c>
    </row>
    <row r="180" spans="1:13" x14ac:dyDescent="0.3">
      <c r="A180" s="37">
        <v>53</v>
      </c>
      <c r="B180" s="38" t="s">
        <v>145</v>
      </c>
      <c r="C180" s="39">
        <v>7896658006043</v>
      </c>
      <c r="D180" s="40" t="s">
        <v>86</v>
      </c>
      <c r="E180" s="40"/>
      <c r="F180" s="38">
        <v>10</v>
      </c>
      <c r="G180" s="38"/>
      <c r="H180" s="38" t="s">
        <v>113</v>
      </c>
      <c r="I180" s="38" t="s">
        <v>88</v>
      </c>
      <c r="J180" s="38">
        <v>4</v>
      </c>
      <c r="K180" s="41">
        <v>0.25</v>
      </c>
      <c r="L180" s="38" t="s">
        <v>114</v>
      </c>
      <c r="M180" s="42" t="s">
        <v>118</v>
      </c>
    </row>
    <row r="181" spans="1:13" x14ac:dyDescent="0.3">
      <c r="A181" s="37">
        <v>53</v>
      </c>
      <c r="B181" s="38" t="s">
        <v>145</v>
      </c>
      <c r="C181" s="39">
        <v>7896658006043</v>
      </c>
      <c r="D181" s="40" t="s">
        <v>86</v>
      </c>
      <c r="E181" s="40"/>
      <c r="F181" s="38">
        <v>10</v>
      </c>
      <c r="G181" s="38"/>
      <c r="H181" s="38" t="s">
        <v>113</v>
      </c>
      <c r="I181" s="38" t="s">
        <v>88</v>
      </c>
      <c r="J181" s="38">
        <v>4</v>
      </c>
      <c r="K181" s="41">
        <v>0.25</v>
      </c>
      <c r="L181" s="38" t="s">
        <v>114</v>
      </c>
      <c r="M181" s="42" t="s">
        <v>119</v>
      </c>
    </row>
    <row r="182" spans="1:13" x14ac:dyDescent="0.3">
      <c r="A182" s="37">
        <v>53</v>
      </c>
      <c r="B182" s="38" t="s">
        <v>145</v>
      </c>
      <c r="C182" s="39">
        <v>7896658006043</v>
      </c>
      <c r="D182" s="40" t="s">
        <v>86</v>
      </c>
      <c r="E182" s="40"/>
      <c r="F182" s="38">
        <v>10</v>
      </c>
      <c r="G182" s="38"/>
      <c r="H182" s="38" t="s">
        <v>113</v>
      </c>
      <c r="I182" s="38" t="s">
        <v>88</v>
      </c>
      <c r="J182" s="38">
        <v>4</v>
      </c>
      <c r="K182" s="41">
        <v>0.25</v>
      </c>
      <c r="L182" s="38" t="s">
        <v>114</v>
      </c>
      <c r="M182" s="42" t="s">
        <v>120</v>
      </c>
    </row>
    <row r="183" spans="1:13" x14ac:dyDescent="0.3">
      <c r="A183" s="37">
        <v>53</v>
      </c>
      <c r="B183" s="38" t="s">
        <v>145</v>
      </c>
      <c r="C183" s="39">
        <v>7896658006043</v>
      </c>
      <c r="D183" s="40" t="s">
        <v>86</v>
      </c>
      <c r="E183" s="40"/>
      <c r="F183" s="38">
        <v>10</v>
      </c>
      <c r="G183" s="38"/>
      <c r="H183" s="38" t="s">
        <v>113</v>
      </c>
      <c r="I183" s="38" t="s">
        <v>88</v>
      </c>
      <c r="J183" s="38">
        <v>4</v>
      </c>
      <c r="K183" s="41">
        <v>0.25</v>
      </c>
      <c r="L183" s="38" t="s">
        <v>114</v>
      </c>
      <c r="M183" s="42" t="s">
        <v>121</v>
      </c>
    </row>
    <row r="184" spans="1:13" x14ac:dyDescent="0.3">
      <c r="A184" s="37">
        <v>53</v>
      </c>
      <c r="B184" s="38" t="s">
        <v>145</v>
      </c>
      <c r="C184" s="39">
        <v>7896658006043</v>
      </c>
      <c r="D184" s="40" t="s">
        <v>86</v>
      </c>
      <c r="E184" s="40"/>
      <c r="F184" s="38">
        <v>10</v>
      </c>
      <c r="G184" s="38"/>
      <c r="H184" s="38" t="s">
        <v>113</v>
      </c>
      <c r="I184" s="38" t="s">
        <v>88</v>
      </c>
      <c r="J184" s="38">
        <v>4</v>
      </c>
      <c r="K184" s="41">
        <v>0.25</v>
      </c>
      <c r="L184" s="38" t="s">
        <v>114</v>
      </c>
      <c r="M184" s="42" t="s">
        <v>122</v>
      </c>
    </row>
    <row r="185" spans="1:13" x14ac:dyDescent="0.3">
      <c r="A185" s="37">
        <v>53</v>
      </c>
      <c r="B185" s="38" t="s">
        <v>145</v>
      </c>
      <c r="C185" s="39">
        <v>7896658006043</v>
      </c>
      <c r="D185" s="40" t="s">
        <v>86</v>
      </c>
      <c r="E185" s="40"/>
      <c r="F185" s="38">
        <v>10</v>
      </c>
      <c r="G185" s="38"/>
      <c r="H185" s="38" t="s">
        <v>113</v>
      </c>
      <c r="I185" s="38" t="s">
        <v>88</v>
      </c>
      <c r="J185" s="38">
        <v>4</v>
      </c>
      <c r="K185" s="41">
        <v>0.25</v>
      </c>
      <c r="L185" s="38" t="s">
        <v>114</v>
      </c>
      <c r="M185" s="42" t="s">
        <v>123</v>
      </c>
    </row>
    <row r="186" spans="1:13" x14ac:dyDescent="0.3">
      <c r="A186" s="37">
        <v>53</v>
      </c>
      <c r="B186" s="38" t="s">
        <v>145</v>
      </c>
      <c r="C186" s="39">
        <v>7896658006043</v>
      </c>
      <c r="D186" s="40" t="s">
        <v>86</v>
      </c>
      <c r="E186" s="40"/>
      <c r="F186" s="38">
        <v>10</v>
      </c>
      <c r="G186" s="38"/>
      <c r="H186" s="38" t="s">
        <v>113</v>
      </c>
      <c r="I186" s="38" t="s">
        <v>88</v>
      </c>
      <c r="J186" s="38">
        <v>4</v>
      </c>
      <c r="K186" s="41">
        <v>0.25</v>
      </c>
      <c r="L186" s="38" t="s">
        <v>114</v>
      </c>
      <c r="M186" s="42" t="s">
        <v>124</v>
      </c>
    </row>
    <row r="187" spans="1:13" x14ac:dyDescent="0.3">
      <c r="A187" s="37">
        <v>53</v>
      </c>
      <c r="B187" s="38" t="s">
        <v>145</v>
      </c>
      <c r="C187" s="39">
        <v>7896658006043</v>
      </c>
      <c r="D187" s="40" t="s">
        <v>86</v>
      </c>
      <c r="E187" s="40"/>
      <c r="F187" s="38">
        <v>10</v>
      </c>
      <c r="G187" s="38"/>
      <c r="H187" s="38" t="s">
        <v>113</v>
      </c>
      <c r="I187" s="38" t="s">
        <v>88</v>
      </c>
      <c r="J187" s="38">
        <v>4</v>
      </c>
      <c r="K187" s="41">
        <v>0.25</v>
      </c>
      <c r="L187" s="38" t="s">
        <v>114</v>
      </c>
      <c r="M187" s="42" t="s">
        <v>125</v>
      </c>
    </row>
    <row r="188" spans="1:13" x14ac:dyDescent="0.3">
      <c r="A188" s="37">
        <v>53</v>
      </c>
      <c r="B188" s="38" t="s">
        <v>145</v>
      </c>
      <c r="C188" s="39">
        <v>7896658006043</v>
      </c>
      <c r="D188" s="40" t="s">
        <v>86</v>
      </c>
      <c r="E188" s="40"/>
      <c r="F188" s="38">
        <v>10</v>
      </c>
      <c r="G188" s="38"/>
      <c r="H188" s="38" t="s">
        <v>113</v>
      </c>
      <c r="I188" s="38" t="s">
        <v>88</v>
      </c>
      <c r="J188" s="38">
        <v>4</v>
      </c>
      <c r="K188" s="41">
        <v>0.25</v>
      </c>
      <c r="L188" s="38" t="s">
        <v>114</v>
      </c>
      <c r="M188" s="42" t="s">
        <v>126</v>
      </c>
    </row>
    <row r="189" spans="1:13" x14ac:dyDescent="0.3">
      <c r="A189" s="37">
        <v>53</v>
      </c>
      <c r="B189" s="38" t="s">
        <v>145</v>
      </c>
      <c r="C189" s="39">
        <v>7896658006043</v>
      </c>
      <c r="D189" s="40" t="s">
        <v>86</v>
      </c>
      <c r="E189" s="40"/>
      <c r="F189" s="38">
        <v>10</v>
      </c>
      <c r="G189" s="38"/>
      <c r="H189" s="38" t="s">
        <v>113</v>
      </c>
      <c r="I189" s="38" t="s">
        <v>88</v>
      </c>
      <c r="J189" s="38">
        <v>4</v>
      </c>
      <c r="K189" s="41">
        <v>0.15</v>
      </c>
      <c r="L189" s="38" t="s">
        <v>127</v>
      </c>
      <c r="M189" s="42" t="s">
        <v>128</v>
      </c>
    </row>
    <row r="190" spans="1:13" x14ac:dyDescent="0.3">
      <c r="A190" s="37">
        <v>53</v>
      </c>
      <c r="B190" s="38" t="s">
        <v>145</v>
      </c>
      <c r="C190" s="39">
        <v>7896658006043</v>
      </c>
      <c r="D190" s="40" t="s">
        <v>86</v>
      </c>
      <c r="E190" s="40"/>
      <c r="F190" s="38">
        <v>10</v>
      </c>
      <c r="G190" s="38"/>
      <c r="H190" s="38" t="s">
        <v>113</v>
      </c>
      <c r="I190" s="38" t="s">
        <v>88</v>
      </c>
      <c r="J190" s="38">
        <v>4</v>
      </c>
      <c r="K190" s="41">
        <v>0.15</v>
      </c>
      <c r="L190" s="38" t="s">
        <v>89</v>
      </c>
      <c r="M190" s="42" t="s">
        <v>90</v>
      </c>
    </row>
    <row r="191" spans="1:13" x14ac:dyDescent="0.3">
      <c r="A191" s="37">
        <v>53</v>
      </c>
      <c r="B191" s="38" t="s">
        <v>145</v>
      </c>
      <c r="C191" s="39">
        <v>7896658006043</v>
      </c>
      <c r="D191" s="40" t="s">
        <v>86</v>
      </c>
      <c r="E191" s="40"/>
      <c r="F191" s="38">
        <v>24</v>
      </c>
      <c r="G191" s="38"/>
      <c r="H191" s="38" t="s">
        <v>129</v>
      </c>
      <c r="I191" s="38" t="s">
        <v>88</v>
      </c>
      <c r="J191" s="38">
        <v>4</v>
      </c>
      <c r="K191" s="41">
        <v>0.25</v>
      </c>
      <c r="L191" s="38" t="s">
        <v>114</v>
      </c>
      <c r="M191" s="42" t="s">
        <v>115</v>
      </c>
    </row>
    <row r="192" spans="1:13" x14ac:dyDescent="0.3">
      <c r="A192" s="37">
        <v>53</v>
      </c>
      <c r="B192" s="38" t="s">
        <v>145</v>
      </c>
      <c r="C192" s="39">
        <v>7896658006043</v>
      </c>
      <c r="D192" s="40" t="s">
        <v>86</v>
      </c>
      <c r="E192" s="40"/>
      <c r="F192" s="38">
        <v>24</v>
      </c>
      <c r="G192" s="38"/>
      <c r="H192" s="38" t="s">
        <v>129</v>
      </c>
      <c r="I192" s="38" t="s">
        <v>88</v>
      </c>
      <c r="J192" s="38">
        <v>4</v>
      </c>
      <c r="K192" s="41">
        <v>0.25</v>
      </c>
      <c r="L192" s="38" t="s">
        <v>114</v>
      </c>
      <c r="M192" s="42" t="s">
        <v>116</v>
      </c>
    </row>
    <row r="193" spans="1:13" x14ac:dyDescent="0.3">
      <c r="A193" s="37">
        <v>53</v>
      </c>
      <c r="B193" s="38" t="s">
        <v>145</v>
      </c>
      <c r="C193" s="39">
        <v>7896658006043</v>
      </c>
      <c r="D193" s="40" t="s">
        <v>86</v>
      </c>
      <c r="E193" s="40"/>
      <c r="F193" s="38">
        <v>24</v>
      </c>
      <c r="G193" s="38"/>
      <c r="H193" s="38" t="s">
        <v>129</v>
      </c>
      <c r="I193" s="38" t="s">
        <v>88</v>
      </c>
      <c r="J193" s="38">
        <v>4</v>
      </c>
      <c r="K193" s="41">
        <v>0.25</v>
      </c>
      <c r="L193" s="38" t="s">
        <v>114</v>
      </c>
      <c r="M193" s="42" t="s">
        <v>117</v>
      </c>
    </row>
    <row r="194" spans="1:13" x14ac:dyDescent="0.3">
      <c r="A194" s="37">
        <v>53</v>
      </c>
      <c r="B194" s="38" t="s">
        <v>145</v>
      </c>
      <c r="C194" s="39">
        <v>7896658006043</v>
      </c>
      <c r="D194" s="40" t="s">
        <v>86</v>
      </c>
      <c r="E194" s="40"/>
      <c r="F194" s="38">
        <v>24</v>
      </c>
      <c r="G194" s="38"/>
      <c r="H194" s="38" t="s">
        <v>129</v>
      </c>
      <c r="I194" s="38" t="s">
        <v>88</v>
      </c>
      <c r="J194" s="38">
        <v>4</v>
      </c>
      <c r="K194" s="41">
        <v>0.25</v>
      </c>
      <c r="L194" s="38" t="s">
        <v>114</v>
      </c>
      <c r="M194" s="42" t="s">
        <v>118</v>
      </c>
    </row>
    <row r="195" spans="1:13" x14ac:dyDescent="0.3">
      <c r="A195" s="37">
        <v>53</v>
      </c>
      <c r="B195" s="38" t="s">
        <v>145</v>
      </c>
      <c r="C195" s="39">
        <v>7896658006043</v>
      </c>
      <c r="D195" s="40" t="s">
        <v>86</v>
      </c>
      <c r="E195" s="40"/>
      <c r="F195" s="38">
        <v>24</v>
      </c>
      <c r="G195" s="38"/>
      <c r="H195" s="38" t="s">
        <v>129</v>
      </c>
      <c r="I195" s="38" t="s">
        <v>88</v>
      </c>
      <c r="J195" s="38">
        <v>4</v>
      </c>
      <c r="K195" s="41">
        <v>0.25</v>
      </c>
      <c r="L195" s="38" t="s">
        <v>114</v>
      </c>
      <c r="M195" s="42" t="s">
        <v>119</v>
      </c>
    </row>
    <row r="196" spans="1:13" x14ac:dyDescent="0.3">
      <c r="A196" s="37">
        <v>53</v>
      </c>
      <c r="B196" s="38" t="s">
        <v>145</v>
      </c>
      <c r="C196" s="39">
        <v>7896658006043</v>
      </c>
      <c r="D196" s="40" t="s">
        <v>86</v>
      </c>
      <c r="E196" s="40"/>
      <c r="F196" s="38">
        <v>24</v>
      </c>
      <c r="G196" s="38"/>
      <c r="H196" s="38" t="s">
        <v>129</v>
      </c>
      <c r="I196" s="38" t="s">
        <v>88</v>
      </c>
      <c r="J196" s="38">
        <v>4</v>
      </c>
      <c r="K196" s="41">
        <v>0.25</v>
      </c>
      <c r="L196" s="38" t="s">
        <v>114</v>
      </c>
      <c r="M196" s="42" t="s">
        <v>120</v>
      </c>
    </row>
    <row r="197" spans="1:13" x14ac:dyDescent="0.3">
      <c r="A197" s="37">
        <v>53</v>
      </c>
      <c r="B197" s="38" t="s">
        <v>145</v>
      </c>
      <c r="C197" s="39">
        <v>7896658006043</v>
      </c>
      <c r="D197" s="40" t="s">
        <v>86</v>
      </c>
      <c r="E197" s="40"/>
      <c r="F197" s="38">
        <v>24</v>
      </c>
      <c r="G197" s="38"/>
      <c r="H197" s="38" t="s">
        <v>129</v>
      </c>
      <c r="I197" s="38" t="s">
        <v>88</v>
      </c>
      <c r="J197" s="38">
        <v>4</v>
      </c>
      <c r="K197" s="41">
        <v>0.25</v>
      </c>
      <c r="L197" s="38" t="s">
        <v>114</v>
      </c>
      <c r="M197" s="42" t="s">
        <v>121</v>
      </c>
    </row>
    <row r="198" spans="1:13" x14ac:dyDescent="0.3">
      <c r="A198" s="37">
        <v>53</v>
      </c>
      <c r="B198" s="38" t="s">
        <v>145</v>
      </c>
      <c r="C198" s="39">
        <v>7896658006043</v>
      </c>
      <c r="D198" s="40" t="s">
        <v>86</v>
      </c>
      <c r="E198" s="40"/>
      <c r="F198" s="38">
        <v>24</v>
      </c>
      <c r="G198" s="38"/>
      <c r="H198" s="38" t="s">
        <v>129</v>
      </c>
      <c r="I198" s="38" t="s">
        <v>88</v>
      </c>
      <c r="J198" s="38">
        <v>4</v>
      </c>
      <c r="K198" s="41">
        <v>0.25</v>
      </c>
      <c r="L198" s="38" t="s">
        <v>114</v>
      </c>
      <c r="M198" s="42" t="s">
        <v>122</v>
      </c>
    </row>
    <row r="199" spans="1:13" x14ac:dyDescent="0.3">
      <c r="A199" s="37">
        <v>53</v>
      </c>
      <c r="B199" s="38" t="s">
        <v>145</v>
      </c>
      <c r="C199" s="39">
        <v>7896658006043</v>
      </c>
      <c r="D199" s="40" t="s">
        <v>86</v>
      </c>
      <c r="E199" s="40"/>
      <c r="F199" s="38">
        <v>24</v>
      </c>
      <c r="G199" s="38"/>
      <c r="H199" s="38" t="s">
        <v>129</v>
      </c>
      <c r="I199" s="38" t="s">
        <v>88</v>
      </c>
      <c r="J199" s="38">
        <v>4</v>
      </c>
      <c r="K199" s="41">
        <v>0.25</v>
      </c>
      <c r="L199" s="38" t="s">
        <v>114</v>
      </c>
      <c r="M199" s="42" t="s">
        <v>123</v>
      </c>
    </row>
    <row r="200" spans="1:13" x14ac:dyDescent="0.3">
      <c r="A200" s="37">
        <v>53</v>
      </c>
      <c r="B200" s="38" t="s">
        <v>145</v>
      </c>
      <c r="C200" s="39">
        <v>7896658006043</v>
      </c>
      <c r="D200" s="40" t="s">
        <v>86</v>
      </c>
      <c r="E200" s="40"/>
      <c r="F200" s="38">
        <v>24</v>
      </c>
      <c r="G200" s="38"/>
      <c r="H200" s="38" t="s">
        <v>129</v>
      </c>
      <c r="I200" s="38" t="s">
        <v>88</v>
      </c>
      <c r="J200" s="38">
        <v>4</v>
      </c>
      <c r="K200" s="41">
        <v>0.25</v>
      </c>
      <c r="L200" s="38" t="s">
        <v>114</v>
      </c>
      <c r="M200" s="42" t="s">
        <v>124</v>
      </c>
    </row>
    <row r="201" spans="1:13" x14ac:dyDescent="0.3">
      <c r="A201" s="37">
        <v>53</v>
      </c>
      <c r="B201" s="38" t="s">
        <v>145</v>
      </c>
      <c r="C201" s="39">
        <v>7896658006043</v>
      </c>
      <c r="D201" s="40" t="s">
        <v>86</v>
      </c>
      <c r="E201" s="40"/>
      <c r="F201" s="38">
        <v>24</v>
      </c>
      <c r="G201" s="38"/>
      <c r="H201" s="38" t="s">
        <v>129</v>
      </c>
      <c r="I201" s="38" t="s">
        <v>88</v>
      </c>
      <c r="J201" s="38">
        <v>4</v>
      </c>
      <c r="K201" s="41">
        <v>0.25</v>
      </c>
      <c r="L201" s="38" t="s">
        <v>114</v>
      </c>
      <c r="M201" s="42" t="s">
        <v>125</v>
      </c>
    </row>
    <row r="202" spans="1:13" x14ac:dyDescent="0.3">
      <c r="A202" s="37">
        <v>53</v>
      </c>
      <c r="B202" s="38" t="s">
        <v>145</v>
      </c>
      <c r="C202" s="39">
        <v>7896658006043</v>
      </c>
      <c r="D202" s="40" t="s">
        <v>86</v>
      </c>
      <c r="E202" s="40"/>
      <c r="F202" s="38">
        <v>24</v>
      </c>
      <c r="G202" s="38"/>
      <c r="H202" s="38" t="s">
        <v>129</v>
      </c>
      <c r="I202" s="38" t="s">
        <v>88</v>
      </c>
      <c r="J202" s="38">
        <v>4</v>
      </c>
      <c r="K202" s="41">
        <v>0.25</v>
      </c>
      <c r="L202" s="38" t="s">
        <v>114</v>
      </c>
      <c r="M202" s="42" t="s">
        <v>126</v>
      </c>
    </row>
    <row r="203" spans="1:13" x14ac:dyDescent="0.3">
      <c r="A203" s="37">
        <v>53</v>
      </c>
      <c r="B203" s="38" t="s">
        <v>145</v>
      </c>
      <c r="C203" s="39">
        <v>7896658006043</v>
      </c>
      <c r="D203" s="40" t="s">
        <v>86</v>
      </c>
      <c r="E203" s="40"/>
      <c r="F203" s="38">
        <v>24</v>
      </c>
      <c r="G203" s="38"/>
      <c r="H203" s="38" t="s">
        <v>129</v>
      </c>
      <c r="I203" s="38" t="s">
        <v>88</v>
      </c>
      <c r="J203" s="38">
        <v>4</v>
      </c>
      <c r="K203" s="41">
        <v>0.15</v>
      </c>
      <c r="L203" s="38" t="s">
        <v>127</v>
      </c>
      <c r="M203" s="42" t="s">
        <v>128</v>
      </c>
    </row>
    <row r="204" spans="1:13" x14ac:dyDescent="0.3">
      <c r="A204" s="37">
        <v>53</v>
      </c>
      <c r="B204" s="38" t="s">
        <v>145</v>
      </c>
      <c r="C204" s="39">
        <v>7896658006043</v>
      </c>
      <c r="D204" s="40" t="s">
        <v>86</v>
      </c>
      <c r="E204" s="40"/>
      <c r="F204" s="38">
        <v>24</v>
      </c>
      <c r="G204" s="38"/>
      <c r="H204" s="38" t="s">
        <v>129</v>
      </c>
      <c r="I204" s="38" t="s">
        <v>88</v>
      </c>
      <c r="J204" s="38">
        <v>4</v>
      </c>
      <c r="K204" s="41">
        <v>0.15</v>
      </c>
      <c r="L204" s="38" t="s">
        <v>89</v>
      </c>
      <c r="M204" s="42" t="s">
        <v>90</v>
      </c>
    </row>
    <row r="205" spans="1:13" x14ac:dyDescent="0.3">
      <c r="A205" s="37">
        <v>53</v>
      </c>
      <c r="B205" s="38" t="s">
        <v>145</v>
      </c>
      <c r="C205" s="39">
        <v>7896658006043</v>
      </c>
      <c r="D205" s="40" t="s">
        <v>86</v>
      </c>
      <c r="E205" s="40"/>
      <c r="F205" s="38">
        <v>201</v>
      </c>
      <c r="G205" s="38"/>
      <c r="H205" s="38" t="s">
        <v>130</v>
      </c>
      <c r="I205" s="38" t="s">
        <v>88</v>
      </c>
      <c r="J205" s="38">
        <v>4</v>
      </c>
      <c r="K205" s="41">
        <v>0.25</v>
      </c>
      <c r="L205" s="38" t="s">
        <v>114</v>
      </c>
      <c r="M205" s="42" t="s">
        <v>115</v>
      </c>
    </row>
    <row r="206" spans="1:13" x14ac:dyDescent="0.3">
      <c r="A206" s="37">
        <v>53</v>
      </c>
      <c r="B206" s="38" t="s">
        <v>145</v>
      </c>
      <c r="C206" s="39">
        <v>7896658006043</v>
      </c>
      <c r="D206" s="40" t="s">
        <v>86</v>
      </c>
      <c r="E206" s="40"/>
      <c r="F206" s="38">
        <v>201</v>
      </c>
      <c r="G206" s="38"/>
      <c r="H206" s="38" t="s">
        <v>130</v>
      </c>
      <c r="I206" s="38" t="s">
        <v>88</v>
      </c>
      <c r="J206" s="38">
        <v>4</v>
      </c>
      <c r="K206" s="41">
        <v>0.25</v>
      </c>
      <c r="L206" s="38" t="s">
        <v>114</v>
      </c>
      <c r="M206" s="42" t="s">
        <v>116</v>
      </c>
    </row>
    <row r="207" spans="1:13" x14ac:dyDescent="0.3">
      <c r="A207" s="37">
        <v>53</v>
      </c>
      <c r="B207" s="38" t="s">
        <v>145</v>
      </c>
      <c r="C207" s="39">
        <v>7896658006043</v>
      </c>
      <c r="D207" s="40" t="s">
        <v>86</v>
      </c>
      <c r="E207" s="40"/>
      <c r="F207" s="38">
        <v>201</v>
      </c>
      <c r="G207" s="38"/>
      <c r="H207" s="38" t="s">
        <v>130</v>
      </c>
      <c r="I207" s="38" t="s">
        <v>88</v>
      </c>
      <c r="J207" s="38">
        <v>4</v>
      </c>
      <c r="K207" s="41">
        <v>0.25</v>
      </c>
      <c r="L207" s="38" t="s">
        <v>114</v>
      </c>
      <c r="M207" s="42" t="s">
        <v>117</v>
      </c>
    </row>
    <row r="208" spans="1:13" x14ac:dyDescent="0.3">
      <c r="A208" s="37">
        <v>53</v>
      </c>
      <c r="B208" s="38" t="s">
        <v>145</v>
      </c>
      <c r="C208" s="39">
        <v>7896658006043</v>
      </c>
      <c r="D208" s="40" t="s">
        <v>86</v>
      </c>
      <c r="E208" s="40"/>
      <c r="F208" s="38">
        <v>201</v>
      </c>
      <c r="G208" s="38"/>
      <c r="H208" s="38" t="s">
        <v>130</v>
      </c>
      <c r="I208" s="38" t="s">
        <v>88</v>
      </c>
      <c r="J208" s="38">
        <v>4</v>
      </c>
      <c r="K208" s="41">
        <v>0.25</v>
      </c>
      <c r="L208" s="38" t="s">
        <v>114</v>
      </c>
      <c r="M208" s="42" t="s">
        <v>118</v>
      </c>
    </row>
    <row r="209" spans="1:13" x14ac:dyDescent="0.3">
      <c r="A209" s="37">
        <v>53</v>
      </c>
      <c r="B209" s="38" t="s">
        <v>145</v>
      </c>
      <c r="C209" s="39">
        <v>7896658006043</v>
      </c>
      <c r="D209" s="40" t="s">
        <v>86</v>
      </c>
      <c r="E209" s="40"/>
      <c r="F209" s="38">
        <v>201</v>
      </c>
      <c r="G209" s="38"/>
      <c r="H209" s="38" t="s">
        <v>130</v>
      </c>
      <c r="I209" s="38" t="s">
        <v>88</v>
      </c>
      <c r="J209" s="38">
        <v>4</v>
      </c>
      <c r="K209" s="41">
        <v>0.25</v>
      </c>
      <c r="L209" s="38" t="s">
        <v>114</v>
      </c>
      <c r="M209" s="42" t="s">
        <v>119</v>
      </c>
    </row>
    <row r="210" spans="1:13" x14ac:dyDescent="0.3">
      <c r="A210" s="37">
        <v>53</v>
      </c>
      <c r="B210" s="38" t="s">
        <v>145</v>
      </c>
      <c r="C210" s="39">
        <v>7896658006043</v>
      </c>
      <c r="D210" s="40" t="s">
        <v>86</v>
      </c>
      <c r="E210" s="40"/>
      <c r="F210" s="38">
        <v>201</v>
      </c>
      <c r="G210" s="38"/>
      <c r="H210" s="38" t="s">
        <v>130</v>
      </c>
      <c r="I210" s="38" t="s">
        <v>88</v>
      </c>
      <c r="J210" s="38">
        <v>4</v>
      </c>
      <c r="K210" s="41">
        <v>0.25</v>
      </c>
      <c r="L210" s="38" t="s">
        <v>114</v>
      </c>
      <c r="M210" s="42" t="s">
        <v>120</v>
      </c>
    </row>
    <row r="211" spans="1:13" x14ac:dyDescent="0.3">
      <c r="A211" s="37">
        <v>53</v>
      </c>
      <c r="B211" s="38" t="s">
        <v>145</v>
      </c>
      <c r="C211" s="39">
        <v>7896658006043</v>
      </c>
      <c r="D211" s="40" t="s">
        <v>86</v>
      </c>
      <c r="E211" s="40"/>
      <c r="F211" s="38">
        <v>201</v>
      </c>
      <c r="G211" s="38"/>
      <c r="H211" s="38" t="s">
        <v>130</v>
      </c>
      <c r="I211" s="38" t="s">
        <v>88</v>
      </c>
      <c r="J211" s="38">
        <v>4</v>
      </c>
      <c r="K211" s="41">
        <v>0.25</v>
      </c>
      <c r="L211" s="38" t="s">
        <v>114</v>
      </c>
      <c r="M211" s="42" t="s">
        <v>121</v>
      </c>
    </row>
    <row r="212" spans="1:13" x14ac:dyDescent="0.3">
      <c r="A212" s="37">
        <v>53</v>
      </c>
      <c r="B212" s="38" t="s">
        <v>145</v>
      </c>
      <c r="C212" s="39">
        <v>7896658006043</v>
      </c>
      <c r="D212" s="40" t="s">
        <v>86</v>
      </c>
      <c r="E212" s="40"/>
      <c r="F212" s="38">
        <v>201</v>
      </c>
      <c r="G212" s="38"/>
      <c r="H212" s="38" t="s">
        <v>130</v>
      </c>
      <c r="I212" s="38" t="s">
        <v>88</v>
      </c>
      <c r="J212" s="38">
        <v>4</v>
      </c>
      <c r="K212" s="41">
        <v>0.25</v>
      </c>
      <c r="L212" s="38" t="s">
        <v>114</v>
      </c>
      <c r="M212" s="42" t="s">
        <v>122</v>
      </c>
    </row>
    <row r="213" spans="1:13" x14ac:dyDescent="0.3">
      <c r="A213" s="37">
        <v>53</v>
      </c>
      <c r="B213" s="38" t="s">
        <v>145</v>
      </c>
      <c r="C213" s="39">
        <v>7896658006043</v>
      </c>
      <c r="D213" s="40" t="s">
        <v>86</v>
      </c>
      <c r="E213" s="40"/>
      <c r="F213" s="38">
        <v>201</v>
      </c>
      <c r="G213" s="38"/>
      <c r="H213" s="38" t="s">
        <v>130</v>
      </c>
      <c r="I213" s="38" t="s">
        <v>88</v>
      </c>
      <c r="J213" s="38">
        <v>4</v>
      </c>
      <c r="K213" s="41">
        <v>0.25</v>
      </c>
      <c r="L213" s="38" t="s">
        <v>114</v>
      </c>
      <c r="M213" s="42" t="s">
        <v>123</v>
      </c>
    </row>
    <row r="214" spans="1:13" x14ac:dyDescent="0.3">
      <c r="A214" s="37">
        <v>53</v>
      </c>
      <c r="B214" s="38" t="s">
        <v>145</v>
      </c>
      <c r="C214" s="39">
        <v>7896658006043</v>
      </c>
      <c r="D214" s="40" t="s">
        <v>86</v>
      </c>
      <c r="E214" s="40"/>
      <c r="F214" s="38">
        <v>201</v>
      </c>
      <c r="G214" s="38"/>
      <c r="H214" s="38" t="s">
        <v>130</v>
      </c>
      <c r="I214" s="38" t="s">
        <v>88</v>
      </c>
      <c r="J214" s="38">
        <v>4</v>
      </c>
      <c r="K214" s="41">
        <v>0.25</v>
      </c>
      <c r="L214" s="38" t="s">
        <v>114</v>
      </c>
      <c r="M214" s="42" t="s">
        <v>124</v>
      </c>
    </row>
    <row r="215" spans="1:13" x14ac:dyDescent="0.3">
      <c r="A215" s="37">
        <v>53</v>
      </c>
      <c r="B215" s="38" t="s">
        <v>145</v>
      </c>
      <c r="C215" s="39">
        <v>7896658006043</v>
      </c>
      <c r="D215" s="40" t="s">
        <v>86</v>
      </c>
      <c r="E215" s="40"/>
      <c r="F215" s="38">
        <v>201</v>
      </c>
      <c r="G215" s="38"/>
      <c r="H215" s="38" t="s">
        <v>130</v>
      </c>
      <c r="I215" s="38" t="s">
        <v>88</v>
      </c>
      <c r="J215" s="38">
        <v>4</v>
      </c>
      <c r="K215" s="41">
        <v>0.25</v>
      </c>
      <c r="L215" s="38" t="s">
        <v>114</v>
      </c>
      <c r="M215" s="42" t="s">
        <v>125</v>
      </c>
    </row>
    <row r="216" spans="1:13" x14ac:dyDescent="0.3">
      <c r="A216" s="37">
        <v>53</v>
      </c>
      <c r="B216" s="38" t="s">
        <v>145</v>
      </c>
      <c r="C216" s="39">
        <v>7896658006043</v>
      </c>
      <c r="D216" s="40" t="s">
        <v>86</v>
      </c>
      <c r="E216" s="40"/>
      <c r="F216" s="38">
        <v>201</v>
      </c>
      <c r="G216" s="38"/>
      <c r="H216" s="38" t="s">
        <v>130</v>
      </c>
      <c r="I216" s="38" t="s">
        <v>88</v>
      </c>
      <c r="J216" s="38">
        <v>4</v>
      </c>
      <c r="K216" s="41">
        <v>0.25</v>
      </c>
      <c r="L216" s="38" t="s">
        <v>114</v>
      </c>
      <c r="M216" s="42" t="s">
        <v>126</v>
      </c>
    </row>
    <row r="217" spans="1:13" x14ac:dyDescent="0.3">
      <c r="A217" s="37">
        <v>53</v>
      </c>
      <c r="B217" s="38" t="s">
        <v>145</v>
      </c>
      <c r="C217" s="39">
        <v>7896658006043</v>
      </c>
      <c r="D217" s="40" t="s">
        <v>86</v>
      </c>
      <c r="E217" s="40"/>
      <c r="F217" s="38">
        <v>201</v>
      </c>
      <c r="G217" s="38"/>
      <c r="H217" s="38" t="s">
        <v>130</v>
      </c>
      <c r="I217" s="38" t="s">
        <v>88</v>
      </c>
      <c r="J217" s="38">
        <v>4</v>
      </c>
      <c r="K217" s="41">
        <v>0.15</v>
      </c>
      <c r="L217" s="38" t="s">
        <v>127</v>
      </c>
      <c r="M217" s="42" t="s">
        <v>128</v>
      </c>
    </row>
    <row r="218" spans="1:13" x14ac:dyDescent="0.3">
      <c r="A218" s="37">
        <v>53</v>
      </c>
      <c r="B218" s="38" t="s">
        <v>145</v>
      </c>
      <c r="C218" s="39">
        <v>7896658006043</v>
      </c>
      <c r="D218" s="40" t="s">
        <v>86</v>
      </c>
      <c r="E218" s="40"/>
      <c r="F218" s="38">
        <v>201</v>
      </c>
      <c r="G218" s="38"/>
      <c r="H218" s="38" t="s">
        <v>130</v>
      </c>
      <c r="I218" s="38" t="s">
        <v>88</v>
      </c>
      <c r="J218" s="38">
        <v>4</v>
      </c>
      <c r="K218" s="41">
        <v>0.15</v>
      </c>
      <c r="L218" s="38" t="s">
        <v>89</v>
      </c>
      <c r="M218" s="42" t="s">
        <v>90</v>
      </c>
    </row>
    <row r="219" spans="1:13" x14ac:dyDescent="0.3">
      <c r="A219" s="37">
        <v>53</v>
      </c>
      <c r="B219" s="38" t="s">
        <v>145</v>
      </c>
      <c r="C219" s="39">
        <v>7896658006043</v>
      </c>
      <c r="D219" s="40" t="s">
        <v>86</v>
      </c>
      <c r="E219" s="40"/>
      <c r="F219" s="38">
        <v>591</v>
      </c>
      <c r="G219" s="38"/>
      <c r="H219" s="38" t="s">
        <v>130</v>
      </c>
      <c r="I219" s="38" t="s">
        <v>88</v>
      </c>
      <c r="J219" s="38">
        <v>4</v>
      </c>
      <c r="K219" s="41">
        <v>0.25</v>
      </c>
      <c r="L219" s="38" t="s">
        <v>114</v>
      </c>
      <c r="M219" s="42" t="s">
        <v>115</v>
      </c>
    </row>
    <row r="220" spans="1:13" x14ac:dyDescent="0.3">
      <c r="A220" s="37">
        <v>53</v>
      </c>
      <c r="B220" s="38" t="s">
        <v>145</v>
      </c>
      <c r="C220" s="39">
        <v>7896658006043</v>
      </c>
      <c r="D220" s="40" t="s">
        <v>86</v>
      </c>
      <c r="E220" s="40"/>
      <c r="F220" s="38">
        <v>591</v>
      </c>
      <c r="G220" s="38"/>
      <c r="H220" s="38" t="s">
        <v>130</v>
      </c>
      <c r="I220" s="38" t="s">
        <v>88</v>
      </c>
      <c r="J220" s="38">
        <v>4</v>
      </c>
      <c r="K220" s="41">
        <v>0.25</v>
      </c>
      <c r="L220" s="38" t="s">
        <v>114</v>
      </c>
      <c r="M220" s="42" t="s">
        <v>116</v>
      </c>
    </row>
    <row r="221" spans="1:13" x14ac:dyDescent="0.3">
      <c r="A221" s="37">
        <v>53</v>
      </c>
      <c r="B221" s="38" t="s">
        <v>145</v>
      </c>
      <c r="C221" s="39">
        <v>7896658006043</v>
      </c>
      <c r="D221" s="40" t="s">
        <v>86</v>
      </c>
      <c r="E221" s="40"/>
      <c r="F221" s="38">
        <v>591</v>
      </c>
      <c r="G221" s="38"/>
      <c r="H221" s="38" t="s">
        <v>130</v>
      </c>
      <c r="I221" s="38" t="s">
        <v>88</v>
      </c>
      <c r="J221" s="38">
        <v>4</v>
      </c>
      <c r="K221" s="41">
        <v>0.25</v>
      </c>
      <c r="L221" s="38" t="s">
        <v>114</v>
      </c>
      <c r="M221" s="42" t="s">
        <v>117</v>
      </c>
    </row>
    <row r="222" spans="1:13" x14ac:dyDescent="0.3">
      <c r="A222" s="37">
        <v>53</v>
      </c>
      <c r="B222" s="38" t="s">
        <v>145</v>
      </c>
      <c r="C222" s="39">
        <v>7896658006043</v>
      </c>
      <c r="D222" s="40" t="s">
        <v>86</v>
      </c>
      <c r="E222" s="40"/>
      <c r="F222" s="38">
        <v>591</v>
      </c>
      <c r="G222" s="38"/>
      <c r="H222" s="38" t="s">
        <v>130</v>
      </c>
      <c r="I222" s="38" t="s">
        <v>88</v>
      </c>
      <c r="J222" s="38">
        <v>4</v>
      </c>
      <c r="K222" s="41">
        <v>0.25</v>
      </c>
      <c r="L222" s="38" t="s">
        <v>114</v>
      </c>
      <c r="M222" s="42" t="s">
        <v>118</v>
      </c>
    </row>
    <row r="223" spans="1:13" x14ac:dyDescent="0.3">
      <c r="A223" s="37">
        <v>53</v>
      </c>
      <c r="B223" s="38" t="s">
        <v>145</v>
      </c>
      <c r="C223" s="39">
        <v>7896658006043</v>
      </c>
      <c r="D223" s="40" t="s">
        <v>86</v>
      </c>
      <c r="E223" s="40"/>
      <c r="F223" s="38">
        <v>591</v>
      </c>
      <c r="G223" s="38"/>
      <c r="H223" s="38" t="s">
        <v>130</v>
      </c>
      <c r="I223" s="38" t="s">
        <v>88</v>
      </c>
      <c r="J223" s="38">
        <v>4</v>
      </c>
      <c r="K223" s="41">
        <v>0.25</v>
      </c>
      <c r="L223" s="38" t="s">
        <v>114</v>
      </c>
      <c r="M223" s="42" t="s">
        <v>119</v>
      </c>
    </row>
    <row r="224" spans="1:13" x14ac:dyDescent="0.3">
      <c r="A224" s="37">
        <v>53</v>
      </c>
      <c r="B224" s="38" t="s">
        <v>145</v>
      </c>
      <c r="C224" s="39">
        <v>7896658006043</v>
      </c>
      <c r="D224" s="40" t="s">
        <v>86</v>
      </c>
      <c r="E224" s="40"/>
      <c r="F224" s="38">
        <v>591</v>
      </c>
      <c r="G224" s="38"/>
      <c r="H224" s="38" t="s">
        <v>130</v>
      </c>
      <c r="I224" s="38" t="s">
        <v>88</v>
      </c>
      <c r="J224" s="38">
        <v>4</v>
      </c>
      <c r="K224" s="41">
        <v>0.25</v>
      </c>
      <c r="L224" s="38" t="s">
        <v>114</v>
      </c>
      <c r="M224" s="42" t="s">
        <v>120</v>
      </c>
    </row>
    <row r="225" spans="1:13" x14ac:dyDescent="0.3">
      <c r="A225" s="37">
        <v>53</v>
      </c>
      <c r="B225" s="38" t="s">
        <v>145</v>
      </c>
      <c r="C225" s="39">
        <v>7896658006043</v>
      </c>
      <c r="D225" s="40" t="s">
        <v>86</v>
      </c>
      <c r="E225" s="40"/>
      <c r="F225" s="38">
        <v>591</v>
      </c>
      <c r="G225" s="38"/>
      <c r="H225" s="38" t="s">
        <v>130</v>
      </c>
      <c r="I225" s="38" t="s">
        <v>88</v>
      </c>
      <c r="J225" s="38">
        <v>4</v>
      </c>
      <c r="K225" s="41">
        <v>0.25</v>
      </c>
      <c r="L225" s="38" t="s">
        <v>114</v>
      </c>
      <c r="M225" s="42" t="s">
        <v>121</v>
      </c>
    </row>
    <row r="226" spans="1:13" x14ac:dyDescent="0.3">
      <c r="A226" s="37">
        <v>53</v>
      </c>
      <c r="B226" s="38" t="s">
        <v>145</v>
      </c>
      <c r="C226" s="39">
        <v>7896658006043</v>
      </c>
      <c r="D226" s="40" t="s">
        <v>86</v>
      </c>
      <c r="E226" s="40"/>
      <c r="F226" s="38">
        <v>591</v>
      </c>
      <c r="G226" s="38"/>
      <c r="H226" s="38" t="s">
        <v>130</v>
      </c>
      <c r="I226" s="38" t="s">
        <v>88</v>
      </c>
      <c r="J226" s="38">
        <v>4</v>
      </c>
      <c r="K226" s="41">
        <v>0.25</v>
      </c>
      <c r="L226" s="38" t="s">
        <v>114</v>
      </c>
      <c r="M226" s="42" t="s">
        <v>122</v>
      </c>
    </row>
    <row r="227" spans="1:13" x14ac:dyDescent="0.3">
      <c r="A227" s="37">
        <v>53</v>
      </c>
      <c r="B227" s="38" t="s">
        <v>145</v>
      </c>
      <c r="C227" s="39">
        <v>7896658006043</v>
      </c>
      <c r="D227" s="40" t="s">
        <v>86</v>
      </c>
      <c r="E227" s="40"/>
      <c r="F227" s="38">
        <v>591</v>
      </c>
      <c r="G227" s="38"/>
      <c r="H227" s="38" t="s">
        <v>130</v>
      </c>
      <c r="I227" s="38" t="s">
        <v>88</v>
      </c>
      <c r="J227" s="38">
        <v>4</v>
      </c>
      <c r="K227" s="41">
        <v>0.25</v>
      </c>
      <c r="L227" s="38" t="s">
        <v>114</v>
      </c>
      <c r="M227" s="42" t="s">
        <v>123</v>
      </c>
    </row>
    <row r="228" spans="1:13" x14ac:dyDescent="0.3">
      <c r="A228" s="37">
        <v>53</v>
      </c>
      <c r="B228" s="38" t="s">
        <v>145</v>
      </c>
      <c r="C228" s="39">
        <v>7896658006043</v>
      </c>
      <c r="D228" s="40" t="s">
        <v>86</v>
      </c>
      <c r="E228" s="40"/>
      <c r="F228" s="38">
        <v>591</v>
      </c>
      <c r="G228" s="38"/>
      <c r="H228" s="38" t="s">
        <v>130</v>
      </c>
      <c r="I228" s="38" t="s">
        <v>88</v>
      </c>
      <c r="J228" s="38">
        <v>4</v>
      </c>
      <c r="K228" s="41">
        <v>0.25</v>
      </c>
      <c r="L228" s="38" t="s">
        <v>114</v>
      </c>
      <c r="M228" s="42" t="s">
        <v>124</v>
      </c>
    </row>
    <row r="229" spans="1:13" x14ac:dyDescent="0.3">
      <c r="A229" s="37">
        <v>53</v>
      </c>
      <c r="B229" s="38" t="s">
        <v>145</v>
      </c>
      <c r="C229" s="39">
        <v>7896658006043</v>
      </c>
      <c r="D229" s="40" t="s">
        <v>86</v>
      </c>
      <c r="E229" s="40"/>
      <c r="F229" s="38">
        <v>591</v>
      </c>
      <c r="G229" s="38"/>
      <c r="H229" s="38" t="s">
        <v>130</v>
      </c>
      <c r="I229" s="38" t="s">
        <v>88</v>
      </c>
      <c r="J229" s="38">
        <v>4</v>
      </c>
      <c r="K229" s="41">
        <v>0.25</v>
      </c>
      <c r="L229" s="38" t="s">
        <v>114</v>
      </c>
      <c r="M229" s="42" t="s">
        <v>125</v>
      </c>
    </row>
    <row r="230" spans="1:13" x14ac:dyDescent="0.3">
      <c r="A230" s="37">
        <v>53</v>
      </c>
      <c r="B230" s="38" t="s">
        <v>145</v>
      </c>
      <c r="C230" s="39">
        <v>7896658006043</v>
      </c>
      <c r="D230" s="40" t="s">
        <v>86</v>
      </c>
      <c r="E230" s="40"/>
      <c r="F230" s="38">
        <v>591</v>
      </c>
      <c r="G230" s="38"/>
      <c r="H230" s="38" t="s">
        <v>130</v>
      </c>
      <c r="I230" s="38" t="s">
        <v>88</v>
      </c>
      <c r="J230" s="38">
        <v>4</v>
      </c>
      <c r="K230" s="41">
        <v>0.25</v>
      </c>
      <c r="L230" s="38" t="s">
        <v>114</v>
      </c>
      <c r="M230" s="42" t="s">
        <v>126</v>
      </c>
    </row>
    <row r="231" spans="1:13" x14ac:dyDescent="0.3">
      <c r="A231" s="37">
        <v>53</v>
      </c>
      <c r="B231" s="38" t="s">
        <v>145</v>
      </c>
      <c r="C231" s="39">
        <v>7896658006043</v>
      </c>
      <c r="D231" s="40" t="s">
        <v>86</v>
      </c>
      <c r="E231" s="40"/>
      <c r="F231" s="38">
        <v>591</v>
      </c>
      <c r="G231" s="38"/>
      <c r="H231" s="38" t="s">
        <v>130</v>
      </c>
      <c r="I231" s="38" t="s">
        <v>88</v>
      </c>
      <c r="J231" s="38">
        <v>4</v>
      </c>
      <c r="K231" s="41">
        <v>0.15</v>
      </c>
      <c r="L231" s="38" t="s">
        <v>127</v>
      </c>
      <c r="M231" s="42" t="s">
        <v>128</v>
      </c>
    </row>
    <row r="232" spans="1:13" x14ac:dyDescent="0.3">
      <c r="A232" s="37">
        <v>53</v>
      </c>
      <c r="B232" s="38" t="s">
        <v>145</v>
      </c>
      <c r="C232" s="39">
        <v>7896658006043</v>
      </c>
      <c r="D232" s="40" t="s">
        <v>86</v>
      </c>
      <c r="E232" s="40"/>
      <c r="F232" s="38">
        <v>591</v>
      </c>
      <c r="G232" s="38"/>
      <c r="H232" s="38" t="s">
        <v>130</v>
      </c>
      <c r="I232" s="38" t="s">
        <v>88</v>
      </c>
      <c r="J232" s="38">
        <v>4</v>
      </c>
      <c r="K232" s="41">
        <v>0.15</v>
      </c>
      <c r="L232" s="38" t="s">
        <v>89</v>
      </c>
      <c r="M232" s="42" t="s">
        <v>90</v>
      </c>
    </row>
    <row r="233" spans="1:13" x14ac:dyDescent="0.3">
      <c r="A233" s="37">
        <v>53</v>
      </c>
      <c r="B233" s="38" t="s">
        <v>146</v>
      </c>
      <c r="C233" s="39">
        <v>7896658006050</v>
      </c>
      <c r="D233" s="40" t="s">
        <v>86</v>
      </c>
      <c r="E233" s="40"/>
      <c r="F233" s="38">
        <v>10</v>
      </c>
      <c r="G233" s="38"/>
      <c r="H233" s="38" t="s">
        <v>113</v>
      </c>
      <c r="I233" s="38" t="s">
        <v>88</v>
      </c>
      <c r="J233" s="38">
        <v>4</v>
      </c>
      <c r="K233" s="41">
        <v>0.48</v>
      </c>
      <c r="L233" s="38" t="s">
        <v>132</v>
      </c>
      <c r="M233" s="42" t="s">
        <v>133</v>
      </c>
    </row>
    <row r="234" spans="1:13" x14ac:dyDescent="0.3">
      <c r="A234" s="37">
        <v>53</v>
      </c>
      <c r="B234" s="38" t="s">
        <v>146</v>
      </c>
      <c r="C234" s="39">
        <v>7896658006050</v>
      </c>
      <c r="D234" s="40" t="s">
        <v>86</v>
      </c>
      <c r="E234" s="40"/>
      <c r="F234" s="38">
        <v>10</v>
      </c>
      <c r="G234" s="38"/>
      <c r="H234" s="38" t="s">
        <v>113</v>
      </c>
      <c r="I234" s="38" t="s">
        <v>88</v>
      </c>
      <c r="J234" s="38">
        <v>4</v>
      </c>
      <c r="K234" s="41">
        <v>0.48</v>
      </c>
      <c r="L234" s="38" t="s">
        <v>114</v>
      </c>
      <c r="M234" s="42" t="s">
        <v>115</v>
      </c>
    </row>
    <row r="235" spans="1:13" x14ac:dyDescent="0.3">
      <c r="A235" s="37">
        <v>53</v>
      </c>
      <c r="B235" s="38" t="s">
        <v>146</v>
      </c>
      <c r="C235" s="39">
        <v>7896658006050</v>
      </c>
      <c r="D235" s="40" t="s">
        <v>86</v>
      </c>
      <c r="E235" s="40"/>
      <c r="F235" s="38">
        <v>10</v>
      </c>
      <c r="G235" s="38"/>
      <c r="H235" s="38" t="s">
        <v>113</v>
      </c>
      <c r="I235" s="38" t="s">
        <v>88</v>
      </c>
      <c r="J235" s="38">
        <v>4</v>
      </c>
      <c r="K235" s="41">
        <v>0.48</v>
      </c>
      <c r="L235" s="38" t="s">
        <v>114</v>
      </c>
      <c r="M235" s="42" t="s">
        <v>116</v>
      </c>
    </row>
    <row r="236" spans="1:13" x14ac:dyDescent="0.3">
      <c r="A236" s="37">
        <v>53</v>
      </c>
      <c r="B236" s="38" t="s">
        <v>146</v>
      </c>
      <c r="C236" s="39">
        <v>7896658006050</v>
      </c>
      <c r="D236" s="40" t="s">
        <v>86</v>
      </c>
      <c r="E236" s="40"/>
      <c r="F236" s="38">
        <v>10</v>
      </c>
      <c r="G236" s="38"/>
      <c r="H236" s="38" t="s">
        <v>113</v>
      </c>
      <c r="I236" s="38" t="s">
        <v>88</v>
      </c>
      <c r="J236" s="38">
        <v>4</v>
      </c>
      <c r="K236" s="41">
        <v>0.48</v>
      </c>
      <c r="L236" s="38" t="s">
        <v>114</v>
      </c>
      <c r="M236" s="42" t="s">
        <v>117</v>
      </c>
    </row>
    <row r="237" spans="1:13" x14ac:dyDescent="0.3">
      <c r="A237" s="37">
        <v>53</v>
      </c>
      <c r="B237" s="38" t="s">
        <v>146</v>
      </c>
      <c r="C237" s="39">
        <v>7896658006050</v>
      </c>
      <c r="D237" s="40" t="s">
        <v>86</v>
      </c>
      <c r="E237" s="40"/>
      <c r="F237" s="38">
        <v>10</v>
      </c>
      <c r="G237" s="38"/>
      <c r="H237" s="38" t="s">
        <v>113</v>
      </c>
      <c r="I237" s="38" t="s">
        <v>88</v>
      </c>
      <c r="J237" s="38">
        <v>4</v>
      </c>
      <c r="K237" s="41">
        <v>0.48</v>
      </c>
      <c r="L237" s="38" t="s">
        <v>114</v>
      </c>
      <c r="M237" s="42" t="s">
        <v>118</v>
      </c>
    </row>
    <row r="238" spans="1:13" x14ac:dyDescent="0.3">
      <c r="A238" s="37">
        <v>53</v>
      </c>
      <c r="B238" s="38" t="s">
        <v>146</v>
      </c>
      <c r="C238" s="39">
        <v>7896658006050</v>
      </c>
      <c r="D238" s="40" t="s">
        <v>86</v>
      </c>
      <c r="E238" s="40"/>
      <c r="F238" s="38">
        <v>10</v>
      </c>
      <c r="G238" s="38"/>
      <c r="H238" s="38" t="s">
        <v>113</v>
      </c>
      <c r="I238" s="38" t="s">
        <v>88</v>
      </c>
      <c r="J238" s="38">
        <v>4</v>
      </c>
      <c r="K238" s="41">
        <v>0.48</v>
      </c>
      <c r="L238" s="38" t="s">
        <v>114</v>
      </c>
      <c r="M238" s="42" t="s">
        <v>119</v>
      </c>
    </row>
    <row r="239" spans="1:13" x14ac:dyDescent="0.3">
      <c r="A239" s="37">
        <v>53</v>
      </c>
      <c r="B239" s="38" t="s">
        <v>146</v>
      </c>
      <c r="C239" s="39">
        <v>7896658006050</v>
      </c>
      <c r="D239" s="40" t="s">
        <v>86</v>
      </c>
      <c r="E239" s="40"/>
      <c r="F239" s="38">
        <v>10</v>
      </c>
      <c r="G239" s="38"/>
      <c r="H239" s="38" t="s">
        <v>113</v>
      </c>
      <c r="I239" s="38" t="s">
        <v>88</v>
      </c>
      <c r="J239" s="38">
        <v>4</v>
      </c>
      <c r="K239" s="41">
        <v>0.48</v>
      </c>
      <c r="L239" s="38" t="s">
        <v>114</v>
      </c>
      <c r="M239" s="42" t="s">
        <v>120</v>
      </c>
    </row>
    <row r="240" spans="1:13" x14ac:dyDescent="0.3">
      <c r="A240" s="37">
        <v>53</v>
      </c>
      <c r="B240" s="38" t="s">
        <v>146</v>
      </c>
      <c r="C240" s="39">
        <v>7896658006050</v>
      </c>
      <c r="D240" s="40" t="s">
        <v>86</v>
      </c>
      <c r="E240" s="40"/>
      <c r="F240" s="38">
        <v>10</v>
      </c>
      <c r="G240" s="38"/>
      <c r="H240" s="38" t="s">
        <v>113</v>
      </c>
      <c r="I240" s="38" t="s">
        <v>88</v>
      </c>
      <c r="J240" s="38">
        <v>4</v>
      </c>
      <c r="K240" s="41">
        <v>0.48</v>
      </c>
      <c r="L240" s="38" t="s">
        <v>114</v>
      </c>
      <c r="M240" s="42" t="s">
        <v>121</v>
      </c>
    </row>
    <row r="241" spans="1:13" x14ac:dyDescent="0.3">
      <c r="A241" s="37">
        <v>53</v>
      </c>
      <c r="B241" s="38" t="s">
        <v>146</v>
      </c>
      <c r="C241" s="39">
        <v>7896658006050</v>
      </c>
      <c r="D241" s="40" t="s">
        <v>86</v>
      </c>
      <c r="E241" s="40"/>
      <c r="F241" s="38">
        <v>10</v>
      </c>
      <c r="G241" s="38"/>
      <c r="H241" s="38" t="s">
        <v>113</v>
      </c>
      <c r="I241" s="38" t="s">
        <v>88</v>
      </c>
      <c r="J241" s="38">
        <v>4</v>
      </c>
      <c r="K241" s="41">
        <v>0.48</v>
      </c>
      <c r="L241" s="38" t="s">
        <v>114</v>
      </c>
      <c r="M241" s="42" t="s">
        <v>122</v>
      </c>
    </row>
    <row r="242" spans="1:13" x14ac:dyDescent="0.3">
      <c r="A242" s="37">
        <v>53</v>
      </c>
      <c r="B242" s="38" t="s">
        <v>146</v>
      </c>
      <c r="C242" s="39">
        <v>7896658006050</v>
      </c>
      <c r="D242" s="40" t="s">
        <v>86</v>
      </c>
      <c r="E242" s="40"/>
      <c r="F242" s="38">
        <v>10</v>
      </c>
      <c r="G242" s="38"/>
      <c r="H242" s="38" t="s">
        <v>113</v>
      </c>
      <c r="I242" s="38" t="s">
        <v>88</v>
      </c>
      <c r="J242" s="38">
        <v>4</v>
      </c>
      <c r="K242" s="41">
        <v>0.48</v>
      </c>
      <c r="L242" s="38" t="s">
        <v>114</v>
      </c>
      <c r="M242" s="42" t="s">
        <v>123</v>
      </c>
    </row>
    <row r="243" spans="1:13" x14ac:dyDescent="0.3">
      <c r="A243" s="37">
        <v>53</v>
      </c>
      <c r="B243" s="38" t="s">
        <v>146</v>
      </c>
      <c r="C243" s="39">
        <v>7896658006050</v>
      </c>
      <c r="D243" s="40" t="s">
        <v>86</v>
      </c>
      <c r="E243" s="40"/>
      <c r="F243" s="38">
        <v>10</v>
      </c>
      <c r="G243" s="38"/>
      <c r="H243" s="38" t="s">
        <v>113</v>
      </c>
      <c r="I243" s="38" t="s">
        <v>88</v>
      </c>
      <c r="J243" s="38">
        <v>4</v>
      </c>
      <c r="K243" s="41">
        <v>0.48</v>
      </c>
      <c r="L243" s="38" t="s">
        <v>114</v>
      </c>
      <c r="M243" s="42" t="s">
        <v>124</v>
      </c>
    </row>
    <row r="244" spans="1:13" x14ac:dyDescent="0.3">
      <c r="A244" s="37">
        <v>53</v>
      </c>
      <c r="B244" s="38" t="s">
        <v>146</v>
      </c>
      <c r="C244" s="39">
        <v>7896658006050</v>
      </c>
      <c r="D244" s="40" t="s">
        <v>86</v>
      </c>
      <c r="E244" s="40"/>
      <c r="F244" s="38">
        <v>10</v>
      </c>
      <c r="G244" s="38"/>
      <c r="H244" s="38" t="s">
        <v>113</v>
      </c>
      <c r="I244" s="38" t="s">
        <v>88</v>
      </c>
      <c r="J244" s="38">
        <v>4</v>
      </c>
      <c r="K244" s="41">
        <v>0.48</v>
      </c>
      <c r="L244" s="38" t="s">
        <v>114</v>
      </c>
      <c r="M244" s="42" t="s">
        <v>125</v>
      </c>
    </row>
    <row r="245" spans="1:13" x14ac:dyDescent="0.3">
      <c r="A245" s="37">
        <v>53</v>
      </c>
      <c r="B245" s="38" t="s">
        <v>146</v>
      </c>
      <c r="C245" s="39">
        <v>7896658006050</v>
      </c>
      <c r="D245" s="40" t="s">
        <v>86</v>
      </c>
      <c r="E245" s="40"/>
      <c r="F245" s="38">
        <v>10</v>
      </c>
      <c r="G245" s="38"/>
      <c r="H245" s="38" t="s">
        <v>113</v>
      </c>
      <c r="I245" s="38" t="s">
        <v>88</v>
      </c>
      <c r="J245" s="38">
        <v>4</v>
      </c>
      <c r="K245" s="41">
        <v>0.48</v>
      </c>
      <c r="L245" s="38" t="s">
        <v>114</v>
      </c>
      <c r="M245" s="42" t="s">
        <v>126</v>
      </c>
    </row>
    <row r="246" spans="1:13" x14ac:dyDescent="0.3">
      <c r="A246" s="37">
        <v>53</v>
      </c>
      <c r="B246" s="38" t="s">
        <v>146</v>
      </c>
      <c r="C246" s="39">
        <v>7896658006050</v>
      </c>
      <c r="D246" s="40" t="s">
        <v>86</v>
      </c>
      <c r="E246" s="40"/>
      <c r="F246" s="38">
        <v>10</v>
      </c>
      <c r="G246" s="38"/>
      <c r="H246" s="38" t="s">
        <v>113</v>
      </c>
      <c r="I246" s="38" t="s">
        <v>88</v>
      </c>
      <c r="J246" s="38">
        <v>4</v>
      </c>
      <c r="K246" s="41">
        <v>0.48</v>
      </c>
      <c r="L246" s="38" t="s">
        <v>127</v>
      </c>
      <c r="M246" s="42" t="s">
        <v>128</v>
      </c>
    </row>
    <row r="247" spans="1:13" x14ac:dyDescent="0.3">
      <c r="A247" s="37">
        <v>53</v>
      </c>
      <c r="B247" s="38" t="s">
        <v>146</v>
      </c>
      <c r="C247" s="39">
        <v>7896658006050</v>
      </c>
      <c r="D247" s="40" t="s">
        <v>86</v>
      </c>
      <c r="E247" s="40"/>
      <c r="F247" s="38">
        <v>10</v>
      </c>
      <c r="G247" s="38"/>
      <c r="H247" s="38" t="s">
        <v>113</v>
      </c>
      <c r="I247" s="38" t="s">
        <v>88</v>
      </c>
      <c r="J247" s="38">
        <v>4</v>
      </c>
      <c r="K247" s="41">
        <v>0.28999999999999998</v>
      </c>
      <c r="L247" s="38" t="s">
        <v>89</v>
      </c>
      <c r="M247" s="42" t="s">
        <v>90</v>
      </c>
    </row>
    <row r="248" spans="1:13" x14ac:dyDescent="0.3">
      <c r="A248" s="37">
        <v>53</v>
      </c>
      <c r="B248" s="38" t="s">
        <v>146</v>
      </c>
      <c r="C248" s="39">
        <v>7896658006050</v>
      </c>
      <c r="D248" s="40" t="s">
        <v>86</v>
      </c>
      <c r="E248" s="40"/>
      <c r="F248" s="38">
        <v>24</v>
      </c>
      <c r="G248" s="38"/>
      <c r="H248" s="38" t="s">
        <v>129</v>
      </c>
      <c r="I248" s="38" t="s">
        <v>88</v>
      </c>
      <c r="J248" s="38">
        <v>4</v>
      </c>
      <c r="K248" s="41">
        <v>0.5</v>
      </c>
      <c r="L248" s="38" t="s">
        <v>132</v>
      </c>
      <c r="M248" s="42" t="s">
        <v>133</v>
      </c>
    </row>
    <row r="249" spans="1:13" x14ac:dyDescent="0.3">
      <c r="A249" s="37">
        <v>53</v>
      </c>
      <c r="B249" s="38" t="s">
        <v>146</v>
      </c>
      <c r="C249" s="39">
        <v>7896658006050</v>
      </c>
      <c r="D249" s="40" t="s">
        <v>86</v>
      </c>
      <c r="E249" s="40"/>
      <c r="F249" s="38">
        <v>24</v>
      </c>
      <c r="G249" s="38"/>
      <c r="H249" s="38" t="s">
        <v>129</v>
      </c>
      <c r="I249" s="38" t="s">
        <v>88</v>
      </c>
      <c r="J249" s="38">
        <v>4</v>
      </c>
      <c r="K249" s="41">
        <v>0.5</v>
      </c>
      <c r="L249" s="38" t="s">
        <v>114</v>
      </c>
      <c r="M249" s="42" t="s">
        <v>115</v>
      </c>
    </row>
    <row r="250" spans="1:13" x14ac:dyDescent="0.3">
      <c r="A250" s="37">
        <v>53</v>
      </c>
      <c r="B250" s="38" t="s">
        <v>146</v>
      </c>
      <c r="C250" s="39">
        <v>7896658006050</v>
      </c>
      <c r="D250" s="40" t="s">
        <v>86</v>
      </c>
      <c r="E250" s="40"/>
      <c r="F250" s="38">
        <v>24</v>
      </c>
      <c r="G250" s="38"/>
      <c r="H250" s="38" t="s">
        <v>129</v>
      </c>
      <c r="I250" s="38" t="s">
        <v>88</v>
      </c>
      <c r="J250" s="38">
        <v>4</v>
      </c>
      <c r="K250" s="41">
        <v>0.5</v>
      </c>
      <c r="L250" s="38" t="s">
        <v>114</v>
      </c>
      <c r="M250" s="42" t="s">
        <v>116</v>
      </c>
    </row>
    <row r="251" spans="1:13" x14ac:dyDescent="0.3">
      <c r="A251" s="37">
        <v>53</v>
      </c>
      <c r="B251" s="38" t="s">
        <v>146</v>
      </c>
      <c r="C251" s="39">
        <v>7896658006050</v>
      </c>
      <c r="D251" s="40" t="s">
        <v>86</v>
      </c>
      <c r="E251" s="40"/>
      <c r="F251" s="38">
        <v>24</v>
      </c>
      <c r="G251" s="38"/>
      <c r="H251" s="38" t="s">
        <v>129</v>
      </c>
      <c r="I251" s="38" t="s">
        <v>88</v>
      </c>
      <c r="J251" s="38">
        <v>4</v>
      </c>
      <c r="K251" s="41">
        <v>0.5</v>
      </c>
      <c r="L251" s="38" t="s">
        <v>114</v>
      </c>
      <c r="M251" s="42" t="s">
        <v>117</v>
      </c>
    </row>
    <row r="252" spans="1:13" x14ac:dyDescent="0.3">
      <c r="A252" s="37">
        <v>53</v>
      </c>
      <c r="B252" s="38" t="s">
        <v>146</v>
      </c>
      <c r="C252" s="39">
        <v>7896658006050</v>
      </c>
      <c r="D252" s="40" t="s">
        <v>86</v>
      </c>
      <c r="E252" s="40"/>
      <c r="F252" s="38">
        <v>24</v>
      </c>
      <c r="G252" s="38"/>
      <c r="H252" s="38" t="s">
        <v>129</v>
      </c>
      <c r="I252" s="38" t="s">
        <v>88</v>
      </c>
      <c r="J252" s="38">
        <v>4</v>
      </c>
      <c r="K252" s="41">
        <v>0.5</v>
      </c>
      <c r="L252" s="38" t="s">
        <v>114</v>
      </c>
      <c r="M252" s="42" t="s">
        <v>118</v>
      </c>
    </row>
    <row r="253" spans="1:13" x14ac:dyDescent="0.3">
      <c r="A253" s="37">
        <v>53</v>
      </c>
      <c r="B253" s="38" t="s">
        <v>146</v>
      </c>
      <c r="C253" s="39">
        <v>7896658006050</v>
      </c>
      <c r="D253" s="40" t="s">
        <v>86</v>
      </c>
      <c r="E253" s="40"/>
      <c r="F253" s="38">
        <v>24</v>
      </c>
      <c r="G253" s="38"/>
      <c r="H253" s="38" t="s">
        <v>129</v>
      </c>
      <c r="I253" s="38" t="s">
        <v>88</v>
      </c>
      <c r="J253" s="38">
        <v>4</v>
      </c>
      <c r="K253" s="41">
        <v>0.5</v>
      </c>
      <c r="L253" s="38" t="s">
        <v>114</v>
      </c>
      <c r="M253" s="42" t="s">
        <v>119</v>
      </c>
    </row>
    <row r="254" spans="1:13" x14ac:dyDescent="0.3">
      <c r="A254" s="37">
        <v>53</v>
      </c>
      <c r="B254" s="38" t="s">
        <v>146</v>
      </c>
      <c r="C254" s="39">
        <v>7896658006050</v>
      </c>
      <c r="D254" s="40" t="s">
        <v>86</v>
      </c>
      <c r="E254" s="40"/>
      <c r="F254" s="38">
        <v>24</v>
      </c>
      <c r="G254" s="38"/>
      <c r="H254" s="38" t="s">
        <v>129</v>
      </c>
      <c r="I254" s="38" t="s">
        <v>88</v>
      </c>
      <c r="J254" s="38">
        <v>4</v>
      </c>
      <c r="K254" s="41">
        <v>0.5</v>
      </c>
      <c r="L254" s="38" t="s">
        <v>114</v>
      </c>
      <c r="M254" s="42" t="s">
        <v>120</v>
      </c>
    </row>
    <row r="255" spans="1:13" x14ac:dyDescent="0.3">
      <c r="A255" s="37">
        <v>53</v>
      </c>
      <c r="B255" s="38" t="s">
        <v>146</v>
      </c>
      <c r="C255" s="39">
        <v>7896658006050</v>
      </c>
      <c r="D255" s="40" t="s">
        <v>86</v>
      </c>
      <c r="E255" s="40"/>
      <c r="F255" s="38">
        <v>24</v>
      </c>
      <c r="G255" s="38"/>
      <c r="H255" s="38" t="s">
        <v>129</v>
      </c>
      <c r="I255" s="38" t="s">
        <v>88</v>
      </c>
      <c r="J255" s="38">
        <v>4</v>
      </c>
      <c r="K255" s="41">
        <v>0.5</v>
      </c>
      <c r="L255" s="38" t="s">
        <v>114</v>
      </c>
      <c r="M255" s="42" t="s">
        <v>121</v>
      </c>
    </row>
    <row r="256" spans="1:13" x14ac:dyDescent="0.3">
      <c r="A256" s="37">
        <v>53</v>
      </c>
      <c r="B256" s="38" t="s">
        <v>146</v>
      </c>
      <c r="C256" s="39">
        <v>7896658006050</v>
      </c>
      <c r="D256" s="40" t="s">
        <v>86</v>
      </c>
      <c r="E256" s="40"/>
      <c r="F256" s="38">
        <v>24</v>
      </c>
      <c r="G256" s="38"/>
      <c r="H256" s="38" t="s">
        <v>129</v>
      </c>
      <c r="I256" s="38" t="s">
        <v>88</v>
      </c>
      <c r="J256" s="38">
        <v>4</v>
      </c>
      <c r="K256" s="41">
        <v>0.5</v>
      </c>
      <c r="L256" s="38" t="s">
        <v>114</v>
      </c>
      <c r="M256" s="42" t="s">
        <v>122</v>
      </c>
    </row>
    <row r="257" spans="1:13" x14ac:dyDescent="0.3">
      <c r="A257" s="37">
        <v>53</v>
      </c>
      <c r="B257" s="38" t="s">
        <v>146</v>
      </c>
      <c r="C257" s="39">
        <v>7896658006050</v>
      </c>
      <c r="D257" s="40" t="s">
        <v>86</v>
      </c>
      <c r="E257" s="40"/>
      <c r="F257" s="38">
        <v>24</v>
      </c>
      <c r="G257" s="38"/>
      <c r="H257" s="38" t="s">
        <v>129</v>
      </c>
      <c r="I257" s="38" t="s">
        <v>88</v>
      </c>
      <c r="J257" s="38">
        <v>4</v>
      </c>
      <c r="K257" s="41">
        <v>0.5</v>
      </c>
      <c r="L257" s="38" t="s">
        <v>114</v>
      </c>
      <c r="M257" s="42" t="s">
        <v>123</v>
      </c>
    </row>
    <row r="258" spans="1:13" x14ac:dyDescent="0.3">
      <c r="A258" s="37">
        <v>53</v>
      </c>
      <c r="B258" s="38" t="s">
        <v>146</v>
      </c>
      <c r="C258" s="39">
        <v>7896658006050</v>
      </c>
      <c r="D258" s="40" t="s">
        <v>86</v>
      </c>
      <c r="E258" s="40"/>
      <c r="F258" s="38">
        <v>24</v>
      </c>
      <c r="G258" s="38"/>
      <c r="H258" s="38" t="s">
        <v>129</v>
      </c>
      <c r="I258" s="38" t="s">
        <v>88</v>
      </c>
      <c r="J258" s="38">
        <v>4</v>
      </c>
      <c r="K258" s="41">
        <v>0.5</v>
      </c>
      <c r="L258" s="38" t="s">
        <v>114</v>
      </c>
      <c r="M258" s="42" t="s">
        <v>124</v>
      </c>
    </row>
    <row r="259" spans="1:13" x14ac:dyDescent="0.3">
      <c r="A259" s="37">
        <v>53</v>
      </c>
      <c r="B259" s="38" t="s">
        <v>146</v>
      </c>
      <c r="C259" s="39">
        <v>7896658006050</v>
      </c>
      <c r="D259" s="40" t="s">
        <v>86</v>
      </c>
      <c r="E259" s="40"/>
      <c r="F259" s="38">
        <v>24</v>
      </c>
      <c r="G259" s="38"/>
      <c r="H259" s="38" t="s">
        <v>129</v>
      </c>
      <c r="I259" s="38" t="s">
        <v>88</v>
      </c>
      <c r="J259" s="38">
        <v>4</v>
      </c>
      <c r="K259" s="41">
        <v>0.5</v>
      </c>
      <c r="L259" s="38" t="s">
        <v>114</v>
      </c>
      <c r="M259" s="42" t="s">
        <v>125</v>
      </c>
    </row>
    <row r="260" spans="1:13" x14ac:dyDescent="0.3">
      <c r="A260" s="37">
        <v>53</v>
      </c>
      <c r="B260" s="38" t="s">
        <v>146</v>
      </c>
      <c r="C260" s="39">
        <v>7896658006050</v>
      </c>
      <c r="D260" s="40" t="s">
        <v>86</v>
      </c>
      <c r="E260" s="40"/>
      <c r="F260" s="38">
        <v>24</v>
      </c>
      <c r="G260" s="38"/>
      <c r="H260" s="38" t="s">
        <v>129</v>
      </c>
      <c r="I260" s="38" t="s">
        <v>88</v>
      </c>
      <c r="J260" s="38">
        <v>4</v>
      </c>
      <c r="K260" s="41">
        <v>0.5</v>
      </c>
      <c r="L260" s="38" t="s">
        <v>114</v>
      </c>
      <c r="M260" s="42" t="s">
        <v>126</v>
      </c>
    </row>
    <row r="261" spans="1:13" x14ac:dyDescent="0.3">
      <c r="A261" s="37">
        <v>53</v>
      </c>
      <c r="B261" s="38" t="s">
        <v>146</v>
      </c>
      <c r="C261" s="39">
        <v>7896658006050</v>
      </c>
      <c r="D261" s="40" t="s">
        <v>86</v>
      </c>
      <c r="E261" s="40"/>
      <c r="F261" s="38">
        <v>24</v>
      </c>
      <c r="G261" s="38"/>
      <c r="H261" s="38" t="s">
        <v>129</v>
      </c>
      <c r="I261" s="38" t="s">
        <v>88</v>
      </c>
      <c r="J261" s="38">
        <v>4</v>
      </c>
      <c r="K261" s="41">
        <v>0.5</v>
      </c>
      <c r="L261" s="38" t="s">
        <v>127</v>
      </c>
      <c r="M261" s="42" t="s">
        <v>128</v>
      </c>
    </row>
    <row r="262" spans="1:13" x14ac:dyDescent="0.3">
      <c r="A262" s="37">
        <v>53</v>
      </c>
      <c r="B262" s="38" t="s">
        <v>146</v>
      </c>
      <c r="C262" s="39">
        <v>7896658006050</v>
      </c>
      <c r="D262" s="40" t="s">
        <v>86</v>
      </c>
      <c r="E262" s="40"/>
      <c r="F262" s="38">
        <v>24</v>
      </c>
      <c r="G262" s="38"/>
      <c r="H262" s="38" t="s">
        <v>129</v>
      </c>
      <c r="I262" s="38" t="s">
        <v>88</v>
      </c>
      <c r="J262" s="38">
        <v>4</v>
      </c>
      <c r="K262" s="41">
        <v>0.5</v>
      </c>
      <c r="L262" s="38" t="s">
        <v>89</v>
      </c>
      <c r="M262" s="42" t="s">
        <v>90</v>
      </c>
    </row>
    <row r="263" spans="1:13" x14ac:dyDescent="0.3">
      <c r="A263" s="37">
        <v>53</v>
      </c>
      <c r="B263" s="38" t="s">
        <v>146</v>
      </c>
      <c r="C263" s="39">
        <v>7896658006050</v>
      </c>
      <c r="D263" s="40" t="s">
        <v>86</v>
      </c>
      <c r="E263" s="40"/>
      <c r="F263" s="38">
        <v>201</v>
      </c>
      <c r="G263" s="38"/>
      <c r="H263" s="38" t="s">
        <v>130</v>
      </c>
      <c r="I263" s="38" t="s">
        <v>88</v>
      </c>
      <c r="J263" s="38">
        <v>3</v>
      </c>
      <c r="K263" s="41">
        <v>0.5</v>
      </c>
      <c r="L263" s="38" t="s">
        <v>132</v>
      </c>
      <c r="M263" s="42" t="s">
        <v>133</v>
      </c>
    </row>
    <row r="264" spans="1:13" x14ac:dyDescent="0.3">
      <c r="A264" s="37">
        <v>53</v>
      </c>
      <c r="B264" s="38" t="s">
        <v>146</v>
      </c>
      <c r="C264" s="39">
        <v>7896658006050</v>
      </c>
      <c r="D264" s="40" t="s">
        <v>86</v>
      </c>
      <c r="E264" s="40"/>
      <c r="F264" s="38">
        <v>201</v>
      </c>
      <c r="G264" s="38"/>
      <c r="H264" s="38" t="s">
        <v>130</v>
      </c>
      <c r="I264" s="38" t="s">
        <v>88</v>
      </c>
      <c r="J264" s="38">
        <v>3</v>
      </c>
      <c r="K264" s="41">
        <v>0.5</v>
      </c>
      <c r="L264" s="38" t="s">
        <v>114</v>
      </c>
      <c r="M264" s="42" t="s">
        <v>115</v>
      </c>
    </row>
    <row r="265" spans="1:13" x14ac:dyDescent="0.3">
      <c r="A265" s="37">
        <v>53</v>
      </c>
      <c r="B265" s="38" t="s">
        <v>146</v>
      </c>
      <c r="C265" s="39">
        <v>7896658006050</v>
      </c>
      <c r="D265" s="40" t="s">
        <v>86</v>
      </c>
      <c r="E265" s="40"/>
      <c r="F265" s="38">
        <v>201</v>
      </c>
      <c r="G265" s="38"/>
      <c r="H265" s="38" t="s">
        <v>130</v>
      </c>
      <c r="I265" s="38" t="s">
        <v>88</v>
      </c>
      <c r="J265" s="38">
        <v>3</v>
      </c>
      <c r="K265" s="41">
        <v>0.5</v>
      </c>
      <c r="L265" s="38" t="s">
        <v>114</v>
      </c>
      <c r="M265" s="42" t="s">
        <v>116</v>
      </c>
    </row>
    <row r="266" spans="1:13" x14ac:dyDescent="0.3">
      <c r="A266" s="37">
        <v>53</v>
      </c>
      <c r="B266" s="38" t="s">
        <v>146</v>
      </c>
      <c r="C266" s="39">
        <v>7896658006050</v>
      </c>
      <c r="D266" s="40" t="s">
        <v>86</v>
      </c>
      <c r="E266" s="40"/>
      <c r="F266" s="38">
        <v>201</v>
      </c>
      <c r="G266" s="38"/>
      <c r="H266" s="38" t="s">
        <v>130</v>
      </c>
      <c r="I266" s="38" t="s">
        <v>88</v>
      </c>
      <c r="J266" s="38">
        <v>3</v>
      </c>
      <c r="K266" s="41">
        <v>0.5</v>
      </c>
      <c r="L266" s="38" t="s">
        <v>114</v>
      </c>
      <c r="M266" s="42" t="s">
        <v>117</v>
      </c>
    </row>
    <row r="267" spans="1:13" x14ac:dyDescent="0.3">
      <c r="A267" s="37">
        <v>53</v>
      </c>
      <c r="B267" s="38" t="s">
        <v>146</v>
      </c>
      <c r="C267" s="39">
        <v>7896658006050</v>
      </c>
      <c r="D267" s="40" t="s">
        <v>86</v>
      </c>
      <c r="E267" s="40"/>
      <c r="F267" s="38">
        <v>201</v>
      </c>
      <c r="G267" s="38"/>
      <c r="H267" s="38" t="s">
        <v>130</v>
      </c>
      <c r="I267" s="38" t="s">
        <v>88</v>
      </c>
      <c r="J267" s="38">
        <v>3</v>
      </c>
      <c r="K267" s="41">
        <v>0.5</v>
      </c>
      <c r="L267" s="38" t="s">
        <v>114</v>
      </c>
      <c r="M267" s="42" t="s">
        <v>118</v>
      </c>
    </row>
    <row r="268" spans="1:13" x14ac:dyDescent="0.3">
      <c r="A268" s="37">
        <v>53</v>
      </c>
      <c r="B268" s="38" t="s">
        <v>146</v>
      </c>
      <c r="C268" s="39">
        <v>7896658006050</v>
      </c>
      <c r="D268" s="40" t="s">
        <v>86</v>
      </c>
      <c r="E268" s="40"/>
      <c r="F268" s="38">
        <v>201</v>
      </c>
      <c r="G268" s="38"/>
      <c r="H268" s="38" t="s">
        <v>130</v>
      </c>
      <c r="I268" s="38" t="s">
        <v>88</v>
      </c>
      <c r="J268" s="38">
        <v>3</v>
      </c>
      <c r="K268" s="41">
        <v>0.5</v>
      </c>
      <c r="L268" s="38" t="s">
        <v>114</v>
      </c>
      <c r="M268" s="42" t="s">
        <v>119</v>
      </c>
    </row>
    <row r="269" spans="1:13" x14ac:dyDescent="0.3">
      <c r="A269" s="37">
        <v>53</v>
      </c>
      <c r="B269" s="38" t="s">
        <v>146</v>
      </c>
      <c r="C269" s="39">
        <v>7896658006050</v>
      </c>
      <c r="D269" s="40" t="s">
        <v>86</v>
      </c>
      <c r="E269" s="40"/>
      <c r="F269" s="38">
        <v>201</v>
      </c>
      <c r="G269" s="38"/>
      <c r="H269" s="38" t="s">
        <v>130</v>
      </c>
      <c r="I269" s="38" t="s">
        <v>88</v>
      </c>
      <c r="J269" s="38">
        <v>3</v>
      </c>
      <c r="K269" s="41">
        <v>0.5</v>
      </c>
      <c r="L269" s="38" t="s">
        <v>114</v>
      </c>
      <c r="M269" s="42" t="s">
        <v>120</v>
      </c>
    </row>
    <row r="270" spans="1:13" x14ac:dyDescent="0.3">
      <c r="A270" s="37">
        <v>53</v>
      </c>
      <c r="B270" s="38" t="s">
        <v>146</v>
      </c>
      <c r="C270" s="39">
        <v>7896658006050</v>
      </c>
      <c r="D270" s="40" t="s">
        <v>86</v>
      </c>
      <c r="E270" s="40"/>
      <c r="F270" s="38">
        <v>201</v>
      </c>
      <c r="G270" s="38"/>
      <c r="H270" s="38" t="s">
        <v>130</v>
      </c>
      <c r="I270" s="38" t="s">
        <v>88</v>
      </c>
      <c r="J270" s="38">
        <v>3</v>
      </c>
      <c r="K270" s="41">
        <v>0.5</v>
      </c>
      <c r="L270" s="38" t="s">
        <v>114</v>
      </c>
      <c r="M270" s="42" t="s">
        <v>121</v>
      </c>
    </row>
    <row r="271" spans="1:13" x14ac:dyDescent="0.3">
      <c r="A271" s="37">
        <v>53</v>
      </c>
      <c r="B271" s="38" t="s">
        <v>146</v>
      </c>
      <c r="C271" s="39">
        <v>7896658006050</v>
      </c>
      <c r="D271" s="40" t="s">
        <v>86</v>
      </c>
      <c r="E271" s="40"/>
      <c r="F271" s="38">
        <v>201</v>
      </c>
      <c r="G271" s="38"/>
      <c r="H271" s="38" t="s">
        <v>130</v>
      </c>
      <c r="I271" s="38" t="s">
        <v>88</v>
      </c>
      <c r="J271" s="38">
        <v>3</v>
      </c>
      <c r="K271" s="41">
        <v>0.5</v>
      </c>
      <c r="L271" s="38" t="s">
        <v>114</v>
      </c>
      <c r="M271" s="42" t="s">
        <v>122</v>
      </c>
    </row>
    <row r="272" spans="1:13" x14ac:dyDescent="0.3">
      <c r="A272" s="37">
        <v>53</v>
      </c>
      <c r="B272" s="38" t="s">
        <v>146</v>
      </c>
      <c r="C272" s="39">
        <v>7896658006050</v>
      </c>
      <c r="D272" s="40" t="s">
        <v>86</v>
      </c>
      <c r="E272" s="40"/>
      <c r="F272" s="38">
        <v>201</v>
      </c>
      <c r="G272" s="38"/>
      <c r="H272" s="38" t="s">
        <v>130</v>
      </c>
      <c r="I272" s="38" t="s">
        <v>88</v>
      </c>
      <c r="J272" s="38">
        <v>3</v>
      </c>
      <c r="K272" s="41">
        <v>0.5</v>
      </c>
      <c r="L272" s="38" t="s">
        <v>114</v>
      </c>
      <c r="M272" s="42" t="s">
        <v>123</v>
      </c>
    </row>
    <row r="273" spans="1:13" x14ac:dyDescent="0.3">
      <c r="A273" s="37">
        <v>53</v>
      </c>
      <c r="B273" s="38" t="s">
        <v>146</v>
      </c>
      <c r="C273" s="39">
        <v>7896658006050</v>
      </c>
      <c r="D273" s="40" t="s">
        <v>86</v>
      </c>
      <c r="E273" s="40"/>
      <c r="F273" s="38">
        <v>201</v>
      </c>
      <c r="G273" s="38"/>
      <c r="H273" s="38" t="s">
        <v>130</v>
      </c>
      <c r="I273" s="38" t="s">
        <v>88</v>
      </c>
      <c r="J273" s="38">
        <v>3</v>
      </c>
      <c r="K273" s="41">
        <v>0.5</v>
      </c>
      <c r="L273" s="38" t="s">
        <v>114</v>
      </c>
      <c r="M273" s="42" t="s">
        <v>124</v>
      </c>
    </row>
    <row r="274" spans="1:13" x14ac:dyDescent="0.3">
      <c r="A274" s="37">
        <v>53</v>
      </c>
      <c r="B274" s="38" t="s">
        <v>146</v>
      </c>
      <c r="C274" s="39">
        <v>7896658006050</v>
      </c>
      <c r="D274" s="40" t="s">
        <v>86</v>
      </c>
      <c r="E274" s="40"/>
      <c r="F274" s="38">
        <v>201</v>
      </c>
      <c r="G274" s="38"/>
      <c r="H274" s="38" t="s">
        <v>130</v>
      </c>
      <c r="I274" s="38" t="s">
        <v>88</v>
      </c>
      <c r="J274" s="38">
        <v>3</v>
      </c>
      <c r="K274" s="41">
        <v>0.5</v>
      </c>
      <c r="L274" s="38" t="s">
        <v>114</v>
      </c>
      <c r="M274" s="42" t="s">
        <v>125</v>
      </c>
    </row>
    <row r="275" spans="1:13" x14ac:dyDescent="0.3">
      <c r="A275" s="37">
        <v>53</v>
      </c>
      <c r="B275" s="38" t="s">
        <v>146</v>
      </c>
      <c r="C275" s="39">
        <v>7896658006050</v>
      </c>
      <c r="D275" s="40" t="s">
        <v>86</v>
      </c>
      <c r="E275" s="40"/>
      <c r="F275" s="38">
        <v>201</v>
      </c>
      <c r="G275" s="38"/>
      <c r="H275" s="38" t="s">
        <v>130</v>
      </c>
      <c r="I275" s="38" t="s">
        <v>88</v>
      </c>
      <c r="J275" s="38">
        <v>3</v>
      </c>
      <c r="K275" s="41">
        <v>0.5</v>
      </c>
      <c r="L275" s="38" t="s">
        <v>114</v>
      </c>
      <c r="M275" s="42" t="s">
        <v>126</v>
      </c>
    </row>
    <row r="276" spans="1:13" x14ac:dyDescent="0.3">
      <c r="A276" s="37">
        <v>53</v>
      </c>
      <c r="B276" s="38" t="s">
        <v>146</v>
      </c>
      <c r="C276" s="39">
        <v>7896658006050</v>
      </c>
      <c r="D276" s="40" t="s">
        <v>86</v>
      </c>
      <c r="E276" s="40"/>
      <c r="F276" s="38">
        <v>201</v>
      </c>
      <c r="G276" s="38"/>
      <c r="H276" s="38" t="s">
        <v>130</v>
      </c>
      <c r="I276" s="38" t="s">
        <v>88</v>
      </c>
      <c r="J276" s="38">
        <v>3</v>
      </c>
      <c r="K276" s="41">
        <v>0.5</v>
      </c>
      <c r="L276" s="38" t="s">
        <v>127</v>
      </c>
      <c r="M276" s="42" t="s">
        <v>128</v>
      </c>
    </row>
    <row r="277" spans="1:13" x14ac:dyDescent="0.3">
      <c r="A277" s="37">
        <v>53</v>
      </c>
      <c r="B277" s="38" t="s">
        <v>146</v>
      </c>
      <c r="C277" s="39">
        <v>7896658006050</v>
      </c>
      <c r="D277" s="40" t="s">
        <v>86</v>
      </c>
      <c r="E277" s="40"/>
      <c r="F277" s="38">
        <v>201</v>
      </c>
      <c r="G277" s="38"/>
      <c r="H277" s="38" t="s">
        <v>130</v>
      </c>
      <c r="I277" s="38" t="s">
        <v>88</v>
      </c>
      <c r="J277" s="38">
        <v>3</v>
      </c>
      <c r="K277" s="41">
        <v>0.5</v>
      </c>
      <c r="L277" s="38" t="s">
        <v>89</v>
      </c>
      <c r="M277" s="42" t="s">
        <v>90</v>
      </c>
    </row>
    <row r="278" spans="1:13" x14ac:dyDescent="0.3">
      <c r="A278" s="37">
        <v>53</v>
      </c>
      <c r="B278" s="38" t="s">
        <v>146</v>
      </c>
      <c r="C278" s="39">
        <v>7896658006050</v>
      </c>
      <c r="D278" s="40" t="s">
        <v>86</v>
      </c>
      <c r="E278" s="40"/>
      <c r="F278" s="38">
        <v>591</v>
      </c>
      <c r="G278" s="38"/>
      <c r="H278" s="38" t="s">
        <v>130</v>
      </c>
      <c r="I278" s="38" t="s">
        <v>88</v>
      </c>
      <c r="J278" s="38">
        <v>3</v>
      </c>
      <c r="K278" s="41">
        <v>0.5</v>
      </c>
      <c r="L278" s="38" t="s">
        <v>132</v>
      </c>
      <c r="M278" s="42" t="s">
        <v>133</v>
      </c>
    </row>
    <row r="279" spans="1:13" x14ac:dyDescent="0.3">
      <c r="A279" s="37">
        <v>53</v>
      </c>
      <c r="B279" s="38" t="s">
        <v>146</v>
      </c>
      <c r="C279" s="39">
        <v>7896658006050</v>
      </c>
      <c r="D279" s="40" t="s">
        <v>86</v>
      </c>
      <c r="E279" s="40"/>
      <c r="F279" s="38">
        <v>591</v>
      </c>
      <c r="G279" s="38"/>
      <c r="H279" s="38" t="s">
        <v>130</v>
      </c>
      <c r="I279" s="38" t="s">
        <v>88</v>
      </c>
      <c r="J279" s="38">
        <v>3</v>
      </c>
      <c r="K279" s="41">
        <v>0.5</v>
      </c>
      <c r="L279" s="38" t="s">
        <v>114</v>
      </c>
      <c r="M279" s="42" t="s">
        <v>115</v>
      </c>
    </row>
    <row r="280" spans="1:13" x14ac:dyDescent="0.3">
      <c r="A280" s="37">
        <v>53</v>
      </c>
      <c r="B280" s="38" t="s">
        <v>146</v>
      </c>
      <c r="C280" s="39">
        <v>7896658006050</v>
      </c>
      <c r="D280" s="40" t="s">
        <v>86</v>
      </c>
      <c r="E280" s="40"/>
      <c r="F280" s="38">
        <v>591</v>
      </c>
      <c r="G280" s="38"/>
      <c r="H280" s="38" t="s">
        <v>130</v>
      </c>
      <c r="I280" s="38" t="s">
        <v>88</v>
      </c>
      <c r="J280" s="38">
        <v>3</v>
      </c>
      <c r="K280" s="41">
        <v>0.5</v>
      </c>
      <c r="L280" s="38" t="s">
        <v>114</v>
      </c>
      <c r="M280" s="42" t="s">
        <v>116</v>
      </c>
    </row>
    <row r="281" spans="1:13" x14ac:dyDescent="0.3">
      <c r="A281" s="37">
        <v>53</v>
      </c>
      <c r="B281" s="38" t="s">
        <v>146</v>
      </c>
      <c r="C281" s="39">
        <v>7896658006050</v>
      </c>
      <c r="D281" s="40" t="s">
        <v>86</v>
      </c>
      <c r="E281" s="40"/>
      <c r="F281" s="38">
        <v>591</v>
      </c>
      <c r="G281" s="38"/>
      <c r="H281" s="38" t="s">
        <v>130</v>
      </c>
      <c r="I281" s="38" t="s">
        <v>88</v>
      </c>
      <c r="J281" s="38">
        <v>3</v>
      </c>
      <c r="K281" s="41">
        <v>0.5</v>
      </c>
      <c r="L281" s="38" t="s">
        <v>114</v>
      </c>
      <c r="M281" s="42" t="s">
        <v>117</v>
      </c>
    </row>
    <row r="282" spans="1:13" x14ac:dyDescent="0.3">
      <c r="A282" s="37">
        <v>53</v>
      </c>
      <c r="B282" s="38" t="s">
        <v>146</v>
      </c>
      <c r="C282" s="39">
        <v>7896658006050</v>
      </c>
      <c r="D282" s="40" t="s">
        <v>86</v>
      </c>
      <c r="E282" s="40"/>
      <c r="F282" s="38">
        <v>591</v>
      </c>
      <c r="G282" s="38"/>
      <c r="H282" s="38" t="s">
        <v>130</v>
      </c>
      <c r="I282" s="38" t="s">
        <v>88</v>
      </c>
      <c r="J282" s="38">
        <v>3</v>
      </c>
      <c r="K282" s="41">
        <v>0.5</v>
      </c>
      <c r="L282" s="38" t="s">
        <v>114</v>
      </c>
      <c r="M282" s="42" t="s">
        <v>118</v>
      </c>
    </row>
    <row r="283" spans="1:13" x14ac:dyDescent="0.3">
      <c r="A283" s="37">
        <v>53</v>
      </c>
      <c r="B283" s="38" t="s">
        <v>146</v>
      </c>
      <c r="C283" s="39">
        <v>7896658006050</v>
      </c>
      <c r="D283" s="40" t="s">
        <v>86</v>
      </c>
      <c r="E283" s="40"/>
      <c r="F283" s="38">
        <v>591</v>
      </c>
      <c r="G283" s="38"/>
      <c r="H283" s="38" t="s">
        <v>130</v>
      </c>
      <c r="I283" s="38" t="s">
        <v>88</v>
      </c>
      <c r="J283" s="38">
        <v>3</v>
      </c>
      <c r="K283" s="41">
        <v>0.5</v>
      </c>
      <c r="L283" s="38" t="s">
        <v>114</v>
      </c>
      <c r="M283" s="42" t="s">
        <v>119</v>
      </c>
    </row>
    <row r="284" spans="1:13" x14ac:dyDescent="0.3">
      <c r="A284" s="37">
        <v>53</v>
      </c>
      <c r="B284" s="38" t="s">
        <v>146</v>
      </c>
      <c r="C284" s="39">
        <v>7896658006050</v>
      </c>
      <c r="D284" s="40" t="s">
        <v>86</v>
      </c>
      <c r="E284" s="40"/>
      <c r="F284" s="38">
        <v>591</v>
      </c>
      <c r="G284" s="38"/>
      <c r="H284" s="38" t="s">
        <v>130</v>
      </c>
      <c r="I284" s="38" t="s">
        <v>88</v>
      </c>
      <c r="J284" s="38">
        <v>3</v>
      </c>
      <c r="K284" s="41">
        <v>0.5</v>
      </c>
      <c r="L284" s="38" t="s">
        <v>114</v>
      </c>
      <c r="M284" s="42" t="s">
        <v>120</v>
      </c>
    </row>
    <row r="285" spans="1:13" x14ac:dyDescent="0.3">
      <c r="A285" s="37">
        <v>53</v>
      </c>
      <c r="B285" s="38" t="s">
        <v>146</v>
      </c>
      <c r="C285" s="39">
        <v>7896658006050</v>
      </c>
      <c r="D285" s="40" t="s">
        <v>86</v>
      </c>
      <c r="E285" s="40"/>
      <c r="F285" s="38">
        <v>591</v>
      </c>
      <c r="G285" s="38"/>
      <c r="H285" s="38" t="s">
        <v>130</v>
      </c>
      <c r="I285" s="38" t="s">
        <v>88</v>
      </c>
      <c r="J285" s="38">
        <v>3</v>
      </c>
      <c r="K285" s="41">
        <v>0.5</v>
      </c>
      <c r="L285" s="38" t="s">
        <v>114</v>
      </c>
      <c r="M285" s="42" t="s">
        <v>121</v>
      </c>
    </row>
    <row r="286" spans="1:13" x14ac:dyDescent="0.3">
      <c r="A286" s="37">
        <v>53</v>
      </c>
      <c r="B286" s="38" t="s">
        <v>146</v>
      </c>
      <c r="C286" s="39">
        <v>7896658006050</v>
      </c>
      <c r="D286" s="40" t="s">
        <v>86</v>
      </c>
      <c r="E286" s="40"/>
      <c r="F286" s="38">
        <v>591</v>
      </c>
      <c r="G286" s="38"/>
      <c r="H286" s="38" t="s">
        <v>130</v>
      </c>
      <c r="I286" s="38" t="s">
        <v>88</v>
      </c>
      <c r="J286" s="38">
        <v>3</v>
      </c>
      <c r="K286" s="41">
        <v>0.5</v>
      </c>
      <c r="L286" s="38" t="s">
        <v>114</v>
      </c>
      <c r="M286" s="42" t="s">
        <v>122</v>
      </c>
    </row>
    <row r="287" spans="1:13" x14ac:dyDescent="0.3">
      <c r="A287" s="37">
        <v>53</v>
      </c>
      <c r="B287" s="38" t="s">
        <v>146</v>
      </c>
      <c r="C287" s="39">
        <v>7896658006050</v>
      </c>
      <c r="D287" s="40" t="s">
        <v>86</v>
      </c>
      <c r="E287" s="40"/>
      <c r="F287" s="38">
        <v>591</v>
      </c>
      <c r="G287" s="38"/>
      <c r="H287" s="38" t="s">
        <v>130</v>
      </c>
      <c r="I287" s="38" t="s">
        <v>88</v>
      </c>
      <c r="J287" s="38">
        <v>3</v>
      </c>
      <c r="K287" s="41">
        <v>0.5</v>
      </c>
      <c r="L287" s="38" t="s">
        <v>114</v>
      </c>
      <c r="M287" s="42" t="s">
        <v>123</v>
      </c>
    </row>
    <row r="288" spans="1:13" x14ac:dyDescent="0.3">
      <c r="A288" s="37">
        <v>53</v>
      </c>
      <c r="B288" s="38" t="s">
        <v>146</v>
      </c>
      <c r="C288" s="39">
        <v>7896658006050</v>
      </c>
      <c r="D288" s="40" t="s">
        <v>86</v>
      </c>
      <c r="E288" s="40"/>
      <c r="F288" s="38">
        <v>591</v>
      </c>
      <c r="G288" s="38"/>
      <c r="H288" s="38" t="s">
        <v>130</v>
      </c>
      <c r="I288" s="38" t="s">
        <v>88</v>
      </c>
      <c r="J288" s="38">
        <v>3</v>
      </c>
      <c r="K288" s="41">
        <v>0.5</v>
      </c>
      <c r="L288" s="38" t="s">
        <v>114</v>
      </c>
      <c r="M288" s="42" t="s">
        <v>124</v>
      </c>
    </row>
    <row r="289" spans="1:13" x14ac:dyDescent="0.3">
      <c r="A289" s="37">
        <v>53</v>
      </c>
      <c r="B289" s="38" t="s">
        <v>146</v>
      </c>
      <c r="C289" s="39">
        <v>7896658006050</v>
      </c>
      <c r="D289" s="40" t="s">
        <v>86</v>
      </c>
      <c r="E289" s="40"/>
      <c r="F289" s="38">
        <v>591</v>
      </c>
      <c r="G289" s="38"/>
      <c r="H289" s="38" t="s">
        <v>130</v>
      </c>
      <c r="I289" s="38" t="s">
        <v>88</v>
      </c>
      <c r="J289" s="38">
        <v>3</v>
      </c>
      <c r="K289" s="41">
        <v>0.5</v>
      </c>
      <c r="L289" s="38" t="s">
        <v>114</v>
      </c>
      <c r="M289" s="42" t="s">
        <v>125</v>
      </c>
    </row>
    <row r="290" spans="1:13" x14ac:dyDescent="0.3">
      <c r="A290" s="37">
        <v>53</v>
      </c>
      <c r="B290" s="38" t="s">
        <v>146</v>
      </c>
      <c r="C290" s="39">
        <v>7896658006050</v>
      </c>
      <c r="D290" s="40" t="s">
        <v>86</v>
      </c>
      <c r="E290" s="40"/>
      <c r="F290" s="38">
        <v>591</v>
      </c>
      <c r="G290" s="38"/>
      <c r="H290" s="38" t="s">
        <v>130</v>
      </c>
      <c r="I290" s="38" t="s">
        <v>88</v>
      </c>
      <c r="J290" s="38">
        <v>3</v>
      </c>
      <c r="K290" s="41">
        <v>0.5</v>
      </c>
      <c r="L290" s="38" t="s">
        <v>114</v>
      </c>
      <c r="M290" s="42" t="s">
        <v>126</v>
      </c>
    </row>
    <row r="291" spans="1:13" x14ac:dyDescent="0.3">
      <c r="A291" s="37">
        <v>53</v>
      </c>
      <c r="B291" s="38" t="s">
        <v>146</v>
      </c>
      <c r="C291" s="39">
        <v>7896658006050</v>
      </c>
      <c r="D291" s="40" t="s">
        <v>86</v>
      </c>
      <c r="E291" s="40"/>
      <c r="F291" s="38">
        <v>591</v>
      </c>
      <c r="G291" s="38"/>
      <c r="H291" s="38" t="s">
        <v>130</v>
      </c>
      <c r="I291" s="38" t="s">
        <v>88</v>
      </c>
      <c r="J291" s="38">
        <v>3</v>
      </c>
      <c r="K291" s="41">
        <v>0.5</v>
      </c>
      <c r="L291" s="38" t="s">
        <v>127</v>
      </c>
      <c r="M291" s="42" t="s">
        <v>128</v>
      </c>
    </row>
    <row r="292" spans="1:13" x14ac:dyDescent="0.3">
      <c r="A292" s="37">
        <v>53</v>
      </c>
      <c r="B292" s="38" t="s">
        <v>146</v>
      </c>
      <c r="C292" s="39">
        <v>7896658006050</v>
      </c>
      <c r="D292" s="40" t="s">
        <v>86</v>
      </c>
      <c r="E292" s="40"/>
      <c r="F292" s="38">
        <v>591</v>
      </c>
      <c r="G292" s="38"/>
      <c r="H292" s="38" t="s">
        <v>130</v>
      </c>
      <c r="I292" s="38" t="s">
        <v>88</v>
      </c>
      <c r="J292" s="38">
        <v>3</v>
      </c>
      <c r="K292" s="41">
        <v>0.5</v>
      </c>
      <c r="L292" s="38" t="s">
        <v>89</v>
      </c>
      <c r="M292" s="42" t="s">
        <v>90</v>
      </c>
    </row>
    <row r="293" spans="1:13" x14ac:dyDescent="0.3">
      <c r="A293" s="37">
        <v>53</v>
      </c>
      <c r="B293" s="38" t="s">
        <v>147</v>
      </c>
      <c r="C293" s="39">
        <v>7896658008153</v>
      </c>
      <c r="D293" s="40" t="s">
        <v>86</v>
      </c>
      <c r="E293" s="40"/>
      <c r="F293" s="38">
        <v>839</v>
      </c>
      <c r="G293" s="38"/>
      <c r="H293" s="38" t="s">
        <v>111</v>
      </c>
      <c r="I293" s="38" t="s">
        <v>88</v>
      </c>
      <c r="J293" s="38">
        <v>1</v>
      </c>
      <c r="K293" s="41">
        <v>0.65</v>
      </c>
      <c r="L293" s="38" t="s">
        <v>89</v>
      </c>
      <c r="M293" s="42" t="s">
        <v>90</v>
      </c>
    </row>
    <row r="294" spans="1:13" x14ac:dyDescent="0.3">
      <c r="A294" s="37">
        <v>53</v>
      </c>
      <c r="B294" s="38" t="s">
        <v>148</v>
      </c>
      <c r="C294" s="39">
        <v>7896658010170</v>
      </c>
      <c r="D294" s="40" t="s">
        <v>86</v>
      </c>
      <c r="E294" s="40"/>
      <c r="F294" s="38">
        <v>286</v>
      </c>
      <c r="G294" s="38"/>
      <c r="H294" s="38" t="s">
        <v>149</v>
      </c>
      <c r="I294" s="38" t="s">
        <v>150</v>
      </c>
      <c r="J294" s="38">
        <v>2</v>
      </c>
      <c r="K294" s="41" t="s">
        <v>151</v>
      </c>
      <c r="L294" s="38" t="s">
        <v>114</v>
      </c>
      <c r="M294" s="42" t="s">
        <v>90</v>
      </c>
    </row>
    <row r="295" spans="1:13" x14ac:dyDescent="0.3">
      <c r="A295" s="37">
        <v>53</v>
      </c>
      <c r="B295" s="38" t="s">
        <v>148</v>
      </c>
      <c r="C295" s="39">
        <v>7896658010170</v>
      </c>
      <c r="D295" s="40" t="s">
        <v>86</v>
      </c>
      <c r="E295" s="40"/>
      <c r="F295" s="38">
        <v>286</v>
      </c>
      <c r="G295" s="38"/>
      <c r="H295" s="38" t="s">
        <v>149</v>
      </c>
      <c r="I295" s="38" t="s">
        <v>150</v>
      </c>
      <c r="J295" s="38">
        <v>2</v>
      </c>
      <c r="K295" s="41" t="s">
        <v>151</v>
      </c>
      <c r="L295" s="38" t="s">
        <v>152</v>
      </c>
      <c r="M295" s="42" t="s">
        <v>90</v>
      </c>
    </row>
    <row r="296" spans="1:13" x14ac:dyDescent="0.3">
      <c r="A296" s="37">
        <v>53</v>
      </c>
      <c r="B296" s="38" t="s">
        <v>148</v>
      </c>
      <c r="C296" s="39">
        <v>7896658010170</v>
      </c>
      <c r="D296" s="40" t="s">
        <v>86</v>
      </c>
      <c r="E296" s="40"/>
      <c r="F296" s="38">
        <v>286</v>
      </c>
      <c r="G296" s="38"/>
      <c r="H296" s="38" t="s">
        <v>149</v>
      </c>
      <c r="I296" s="38" t="s">
        <v>150</v>
      </c>
      <c r="J296" s="38">
        <v>2</v>
      </c>
      <c r="K296" s="41">
        <v>0</v>
      </c>
      <c r="L296" s="38" t="s">
        <v>89</v>
      </c>
      <c r="M296" s="42" t="s">
        <v>90</v>
      </c>
    </row>
    <row r="297" spans="1:13" x14ac:dyDescent="0.3">
      <c r="A297" s="37">
        <v>53</v>
      </c>
      <c r="B297" s="38" t="s">
        <v>148</v>
      </c>
      <c r="C297" s="39">
        <v>7896658010170</v>
      </c>
      <c r="D297" s="40" t="s">
        <v>86</v>
      </c>
      <c r="E297" s="40"/>
      <c r="F297" s="38">
        <v>745</v>
      </c>
      <c r="G297" s="38"/>
      <c r="H297" s="38" t="s">
        <v>153</v>
      </c>
      <c r="I297" s="38" t="s">
        <v>154</v>
      </c>
      <c r="J297" s="38">
        <v>3</v>
      </c>
      <c r="K297" s="41" t="s">
        <v>155</v>
      </c>
      <c r="L297" s="38" t="s">
        <v>89</v>
      </c>
      <c r="M297" s="42" t="s">
        <v>90</v>
      </c>
    </row>
    <row r="298" spans="1:13" x14ac:dyDescent="0.3">
      <c r="A298" s="37">
        <v>53</v>
      </c>
      <c r="B298" s="38" t="s">
        <v>148</v>
      </c>
      <c r="C298" s="39">
        <v>7896658010170</v>
      </c>
      <c r="D298" s="40" t="s">
        <v>86</v>
      </c>
      <c r="E298" s="40"/>
      <c r="F298" s="38">
        <v>874</v>
      </c>
      <c r="G298" s="38"/>
      <c r="H298" s="38" t="s">
        <v>156</v>
      </c>
      <c r="I298" s="38" t="s">
        <v>154</v>
      </c>
      <c r="J298" s="38">
        <v>3</v>
      </c>
      <c r="K298" s="41" t="s">
        <v>155</v>
      </c>
      <c r="L298" s="38" t="s">
        <v>89</v>
      </c>
      <c r="M298" s="42" t="s">
        <v>90</v>
      </c>
    </row>
    <row r="299" spans="1:13" x14ac:dyDescent="0.3">
      <c r="A299" s="37">
        <v>53</v>
      </c>
      <c r="B299" s="38" t="s">
        <v>157</v>
      </c>
      <c r="C299" s="39">
        <v>7896658010187</v>
      </c>
      <c r="D299" s="40" t="s">
        <v>86</v>
      </c>
      <c r="E299" s="40"/>
      <c r="F299" s="38">
        <v>286</v>
      </c>
      <c r="G299" s="38"/>
      <c r="H299" s="38" t="s">
        <v>149</v>
      </c>
      <c r="I299" s="38" t="s">
        <v>150</v>
      </c>
      <c r="J299" s="38">
        <v>2</v>
      </c>
      <c r="K299" s="41" t="s">
        <v>151</v>
      </c>
      <c r="L299" s="38" t="s">
        <v>114</v>
      </c>
      <c r="M299" s="42" t="s">
        <v>90</v>
      </c>
    </row>
    <row r="300" spans="1:13" x14ac:dyDescent="0.3">
      <c r="A300" s="37">
        <v>53</v>
      </c>
      <c r="B300" s="38" t="s">
        <v>157</v>
      </c>
      <c r="C300" s="39">
        <v>7896658010187</v>
      </c>
      <c r="D300" s="40" t="s">
        <v>86</v>
      </c>
      <c r="E300" s="40"/>
      <c r="F300" s="38">
        <v>286</v>
      </c>
      <c r="G300" s="38"/>
      <c r="H300" s="38" t="s">
        <v>149</v>
      </c>
      <c r="I300" s="38" t="s">
        <v>150</v>
      </c>
      <c r="J300" s="38">
        <v>2</v>
      </c>
      <c r="K300" s="41" t="s">
        <v>151</v>
      </c>
      <c r="L300" s="38" t="s">
        <v>152</v>
      </c>
      <c r="M300" s="42" t="s">
        <v>90</v>
      </c>
    </row>
    <row r="301" spans="1:13" x14ac:dyDescent="0.3">
      <c r="A301" s="37">
        <v>53</v>
      </c>
      <c r="B301" s="38" t="s">
        <v>157</v>
      </c>
      <c r="C301" s="39">
        <v>7896658010187</v>
      </c>
      <c r="D301" s="40" t="s">
        <v>86</v>
      </c>
      <c r="E301" s="40"/>
      <c r="F301" s="38">
        <v>286</v>
      </c>
      <c r="G301" s="38"/>
      <c r="H301" s="38" t="s">
        <v>149</v>
      </c>
      <c r="I301" s="38" t="s">
        <v>150</v>
      </c>
      <c r="J301" s="38">
        <v>2</v>
      </c>
      <c r="K301" s="41">
        <v>0</v>
      </c>
      <c r="L301" s="38" t="s">
        <v>89</v>
      </c>
      <c r="M301" s="42" t="s">
        <v>90</v>
      </c>
    </row>
    <row r="302" spans="1:13" x14ac:dyDescent="0.3">
      <c r="A302" s="37">
        <v>53</v>
      </c>
      <c r="B302" s="38" t="s">
        <v>157</v>
      </c>
      <c r="C302" s="39">
        <v>7896658010187</v>
      </c>
      <c r="D302" s="40" t="s">
        <v>86</v>
      </c>
      <c r="E302" s="40"/>
      <c r="F302" s="38">
        <v>746</v>
      </c>
      <c r="G302" s="38"/>
      <c r="H302" s="38" t="s">
        <v>158</v>
      </c>
      <c r="I302" s="38" t="s">
        <v>154</v>
      </c>
      <c r="J302" s="38">
        <v>3</v>
      </c>
      <c r="K302" s="41" t="s">
        <v>155</v>
      </c>
      <c r="L302" s="38" t="s">
        <v>89</v>
      </c>
      <c r="M302" s="42" t="s">
        <v>90</v>
      </c>
    </row>
    <row r="303" spans="1:13" x14ac:dyDescent="0.3">
      <c r="A303" s="37">
        <v>53</v>
      </c>
      <c r="B303" s="38" t="s">
        <v>157</v>
      </c>
      <c r="C303" s="39">
        <v>7896658010187</v>
      </c>
      <c r="D303" s="40" t="s">
        <v>86</v>
      </c>
      <c r="E303" s="40"/>
      <c r="F303" s="38">
        <v>875</v>
      </c>
      <c r="G303" s="38"/>
      <c r="H303" s="38" t="s">
        <v>159</v>
      </c>
      <c r="I303" s="38" t="s">
        <v>154</v>
      </c>
      <c r="J303" s="38">
        <v>3</v>
      </c>
      <c r="K303" s="41" t="s">
        <v>155</v>
      </c>
      <c r="L303" s="38" t="s">
        <v>89</v>
      </c>
      <c r="M303" s="42" t="s">
        <v>90</v>
      </c>
    </row>
    <row r="304" spans="1:13" x14ac:dyDescent="0.3">
      <c r="A304" s="37">
        <v>53</v>
      </c>
      <c r="B304" s="38" t="s">
        <v>160</v>
      </c>
      <c r="C304" s="39">
        <v>7896658011368</v>
      </c>
      <c r="D304" s="40" t="s">
        <v>86</v>
      </c>
      <c r="E304" s="40"/>
      <c r="F304" s="38">
        <v>10</v>
      </c>
      <c r="G304" s="38"/>
      <c r="H304" s="38" t="s">
        <v>113</v>
      </c>
      <c r="I304" s="38" t="s">
        <v>88</v>
      </c>
      <c r="J304" s="38">
        <v>4</v>
      </c>
      <c r="K304" s="41">
        <v>0.48</v>
      </c>
      <c r="L304" s="38" t="s">
        <v>132</v>
      </c>
      <c r="M304" s="42" t="s">
        <v>133</v>
      </c>
    </row>
    <row r="305" spans="1:13" x14ac:dyDescent="0.3">
      <c r="A305" s="37">
        <v>53</v>
      </c>
      <c r="B305" s="38" t="s">
        <v>160</v>
      </c>
      <c r="C305" s="39">
        <v>7896658011368</v>
      </c>
      <c r="D305" s="40" t="s">
        <v>86</v>
      </c>
      <c r="E305" s="40"/>
      <c r="F305" s="38">
        <v>10</v>
      </c>
      <c r="G305" s="38"/>
      <c r="H305" s="38" t="s">
        <v>113</v>
      </c>
      <c r="I305" s="38" t="s">
        <v>88</v>
      </c>
      <c r="J305" s="38">
        <v>4</v>
      </c>
      <c r="K305" s="41">
        <v>0.48</v>
      </c>
      <c r="L305" s="38" t="s">
        <v>114</v>
      </c>
      <c r="M305" s="42" t="s">
        <v>115</v>
      </c>
    </row>
    <row r="306" spans="1:13" x14ac:dyDescent="0.3">
      <c r="A306" s="37">
        <v>53</v>
      </c>
      <c r="B306" s="38" t="s">
        <v>160</v>
      </c>
      <c r="C306" s="39">
        <v>7896658011368</v>
      </c>
      <c r="D306" s="40" t="s">
        <v>86</v>
      </c>
      <c r="E306" s="40"/>
      <c r="F306" s="38">
        <v>10</v>
      </c>
      <c r="G306" s="38"/>
      <c r="H306" s="38" t="s">
        <v>113</v>
      </c>
      <c r="I306" s="38" t="s">
        <v>88</v>
      </c>
      <c r="J306" s="38">
        <v>4</v>
      </c>
      <c r="K306" s="41">
        <v>0.48</v>
      </c>
      <c r="L306" s="38" t="s">
        <v>114</v>
      </c>
      <c r="M306" s="42" t="s">
        <v>116</v>
      </c>
    </row>
    <row r="307" spans="1:13" x14ac:dyDescent="0.3">
      <c r="A307" s="37">
        <v>53</v>
      </c>
      <c r="B307" s="38" t="s">
        <v>160</v>
      </c>
      <c r="C307" s="39">
        <v>7896658011368</v>
      </c>
      <c r="D307" s="40" t="s">
        <v>86</v>
      </c>
      <c r="E307" s="40"/>
      <c r="F307" s="38">
        <v>10</v>
      </c>
      <c r="G307" s="38"/>
      <c r="H307" s="38" t="s">
        <v>113</v>
      </c>
      <c r="I307" s="38" t="s">
        <v>88</v>
      </c>
      <c r="J307" s="38">
        <v>4</v>
      </c>
      <c r="K307" s="41">
        <v>0.48</v>
      </c>
      <c r="L307" s="38" t="s">
        <v>114</v>
      </c>
      <c r="M307" s="42" t="s">
        <v>117</v>
      </c>
    </row>
    <row r="308" spans="1:13" x14ac:dyDescent="0.3">
      <c r="A308" s="37">
        <v>53</v>
      </c>
      <c r="B308" s="38" t="s">
        <v>160</v>
      </c>
      <c r="C308" s="39">
        <v>7896658011368</v>
      </c>
      <c r="D308" s="40" t="s">
        <v>86</v>
      </c>
      <c r="E308" s="40"/>
      <c r="F308" s="38">
        <v>10</v>
      </c>
      <c r="G308" s="38"/>
      <c r="H308" s="38" t="s">
        <v>113</v>
      </c>
      <c r="I308" s="38" t="s">
        <v>88</v>
      </c>
      <c r="J308" s="38">
        <v>4</v>
      </c>
      <c r="K308" s="41">
        <v>0.48</v>
      </c>
      <c r="L308" s="38" t="s">
        <v>114</v>
      </c>
      <c r="M308" s="42" t="s">
        <v>118</v>
      </c>
    </row>
    <row r="309" spans="1:13" x14ac:dyDescent="0.3">
      <c r="A309" s="37">
        <v>53</v>
      </c>
      <c r="B309" s="38" t="s">
        <v>160</v>
      </c>
      <c r="C309" s="39">
        <v>7896658011368</v>
      </c>
      <c r="D309" s="40" t="s">
        <v>86</v>
      </c>
      <c r="E309" s="40"/>
      <c r="F309" s="38">
        <v>10</v>
      </c>
      <c r="G309" s="38"/>
      <c r="H309" s="38" t="s">
        <v>113</v>
      </c>
      <c r="I309" s="38" t="s">
        <v>88</v>
      </c>
      <c r="J309" s="38">
        <v>4</v>
      </c>
      <c r="K309" s="41">
        <v>0.48</v>
      </c>
      <c r="L309" s="38" t="s">
        <v>114</v>
      </c>
      <c r="M309" s="42" t="s">
        <v>119</v>
      </c>
    </row>
    <row r="310" spans="1:13" x14ac:dyDescent="0.3">
      <c r="A310" s="37">
        <v>53</v>
      </c>
      <c r="B310" s="38" t="s">
        <v>160</v>
      </c>
      <c r="C310" s="39">
        <v>7896658011368</v>
      </c>
      <c r="D310" s="40" t="s">
        <v>86</v>
      </c>
      <c r="E310" s="40"/>
      <c r="F310" s="38">
        <v>10</v>
      </c>
      <c r="G310" s="38"/>
      <c r="H310" s="38" t="s">
        <v>113</v>
      </c>
      <c r="I310" s="38" t="s">
        <v>88</v>
      </c>
      <c r="J310" s="38">
        <v>4</v>
      </c>
      <c r="K310" s="41">
        <v>0.48</v>
      </c>
      <c r="L310" s="38" t="s">
        <v>114</v>
      </c>
      <c r="M310" s="42" t="s">
        <v>120</v>
      </c>
    </row>
    <row r="311" spans="1:13" x14ac:dyDescent="0.3">
      <c r="A311" s="37">
        <v>53</v>
      </c>
      <c r="B311" s="38" t="s">
        <v>160</v>
      </c>
      <c r="C311" s="39">
        <v>7896658011368</v>
      </c>
      <c r="D311" s="40" t="s">
        <v>86</v>
      </c>
      <c r="E311" s="40"/>
      <c r="F311" s="38">
        <v>10</v>
      </c>
      <c r="G311" s="38"/>
      <c r="H311" s="38" t="s">
        <v>113</v>
      </c>
      <c r="I311" s="38" t="s">
        <v>88</v>
      </c>
      <c r="J311" s="38">
        <v>4</v>
      </c>
      <c r="K311" s="41">
        <v>0.48</v>
      </c>
      <c r="L311" s="38" t="s">
        <v>114</v>
      </c>
      <c r="M311" s="42" t="s">
        <v>121</v>
      </c>
    </row>
    <row r="312" spans="1:13" x14ac:dyDescent="0.3">
      <c r="A312" s="37">
        <v>53</v>
      </c>
      <c r="B312" s="38" t="s">
        <v>160</v>
      </c>
      <c r="C312" s="39">
        <v>7896658011368</v>
      </c>
      <c r="D312" s="40" t="s">
        <v>86</v>
      </c>
      <c r="E312" s="40"/>
      <c r="F312" s="38">
        <v>10</v>
      </c>
      <c r="G312" s="38"/>
      <c r="H312" s="38" t="s">
        <v>113</v>
      </c>
      <c r="I312" s="38" t="s">
        <v>88</v>
      </c>
      <c r="J312" s="38">
        <v>4</v>
      </c>
      <c r="K312" s="41">
        <v>0.48</v>
      </c>
      <c r="L312" s="38" t="s">
        <v>114</v>
      </c>
      <c r="M312" s="42" t="s">
        <v>122</v>
      </c>
    </row>
    <row r="313" spans="1:13" x14ac:dyDescent="0.3">
      <c r="A313" s="37">
        <v>53</v>
      </c>
      <c r="B313" s="38" t="s">
        <v>160</v>
      </c>
      <c r="C313" s="39">
        <v>7896658011368</v>
      </c>
      <c r="D313" s="40" t="s">
        <v>86</v>
      </c>
      <c r="E313" s="40"/>
      <c r="F313" s="38">
        <v>10</v>
      </c>
      <c r="G313" s="38"/>
      <c r="H313" s="38" t="s">
        <v>113</v>
      </c>
      <c r="I313" s="38" t="s">
        <v>88</v>
      </c>
      <c r="J313" s="38">
        <v>4</v>
      </c>
      <c r="K313" s="41">
        <v>0.48</v>
      </c>
      <c r="L313" s="38" t="s">
        <v>114</v>
      </c>
      <c r="M313" s="42" t="s">
        <v>123</v>
      </c>
    </row>
    <row r="314" spans="1:13" x14ac:dyDescent="0.3">
      <c r="A314" s="37">
        <v>53</v>
      </c>
      <c r="B314" s="38" t="s">
        <v>160</v>
      </c>
      <c r="C314" s="39">
        <v>7896658011368</v>
      </c>
      <c r="D314" s="40" t="s">
        <v>86</v>
      </c>
      <c r="E314" s="40"/>
      <c r="F314" s="38">
        <v>10</v>
      </c>
      <c r="G314" s="38"/>
      <c r="H314" s="38" t="s">
        <v>113</v>
      </c>
      <c r="I314" s="38" t="s">
        <v>88</v>
      </c>
      <c r="J314" s="38">
        <v>4</v>
      </c>
      <c r="K314" s="41">
        <v>0.48</v>
      </c>
      <c r="L314" s="38" t="s">
        <v>114</v>
      </c>
      <c r="M314" s="42" t="s">
        <v>124</v>
      </c>
    </row>
    <row r="315" spans="1:13" x14ac:dyDescent="0.3">
      <c r="A315" s="37">
        <v>53</v>
      </c>
      <c r="B315" s="38" t="s">
        <v>160</v>
      </c>
      <c r="C315" s="39">
        <v>7896658011368</v>
      </c>
      <c r="D315" s="40" t="s">
        <v>86</v>
      </c>
      <c r="E315" s="40"/>
      <c r="F315" s="38">
        <v>10</v>
      </c>
      <c r="G315" s="38"/>
      <c r="H315" s="38" t="s">
        <v>113</v>
      </c>
      <c r="I315" s="38" t="s">
        <v>88</v>
      </c>
      <c r="J315" s="38">
        <v>4</v>
      </c>
      <c r="K315" s="41">
        <v>0.48</v>
      </c>
      <c r="L315" s="38" t="s">
        <v>114</v>
      </c>
      <c r="M315" s="42" t="s">
        <v>125</v>
      </c>
    </row>
    <row r="316" spans="1:13" x14ac:dyDescent="0.3">
      <c r="A316" s="37">
        <v>53</v>
      </c>
      <c r="B316" s="38" t="s">
        <v>160</v>
      </c>
      <c r="C316" s="39">
        <v>7896658011368</v>
      </c>
      <c r="D316" s="40" t="s">
        <v>86</v>
      </c>
      <c r="E316" s="40"/>
      <c r="F316" s="38">
        <v>10</v>
      </c>
      <c r="G316" s="38"/>
      <c r="H316" s="38" t="s">
        <v>113</v>
      </c>
      <c r="I316" s="38" t="s">
        <v>88</v>
      </c>
      <c r="J316" s="38">
        <v>4</v>
      </c>
      <c r="K316" s="41">
        <v>0.48</v>
      </c>
      <c r="L316" s="38" t="s">
        <v>114</v>
      </c>
      <c r="M316" s="42" t="s">
        <v>126</v>
      </c>
    </row>
    <row r="317" spans="1:13" x14ac:dyDescent="0.3">
      <c r="A317" s="37">
        <v>53</v>
      </c>
      <c r="B317" s="38" t="s">
        <v>160</v>
      </c>
      <c r="C317" s="39">
        <v>7896658011368</v>
      </c>
      <c r="D317" s="40" t="s">
        <v>86</v>
      </c>
      <c r="E317" s="40"/>
      <c r="F317" s="38">
        <v>10</v>
      </c>
      <c r="G317" s="38"/>
      <c r="H317" s="38" t="s">
        <v>113</v>
      </c>
      <c r="I317" s="38" t="s">
        <v>88</v>
      </c>
      <c r="J317" s="38">
        <v>4</v>
      </c>
      <c r="K317" s="41">
        <v>0.48</v>
      </c>
      <c r="L317" s="38" t="s">
        <v>127</v>
      </c>
      <c r="M317" s="42" t="s">
        <v>128</v>
      </c>
    </row>
    <row r="318" spans="1:13" x14ac:dyDescent="0.3">
      <c r="A318" s="37">
        <v>53</v>
      </c>
      <c r="B318" s="38" t="s">
        <v>160</v>
      </c>
      <c r="C318" s="39">
        <v>7896658011368</v>
      </c>
      <c r="D318" s="40" t="s">
        <v>86</v>
      </c>
      <c r="E318" s="40"/>
      <c r="F318" s="38">
        <v>10</v>
      </c>
      <c r="G318" s="38"/>
      <c r="H318" s="38" t="s">
        <v>113</v>
      </c>
      <c r="I318" s="38" t="s">
        <v>88</v>
      </c>
      <c r="J318" s="38">
        <v>4</v>
      </c>
      <c r="K318" s="41">
        <v>0.28999999999999998</v>
      </c>
      <c r="L318" s="38" t="s">
        <v>89</v>
      </c>
      <c r="M318" s="42" t="s">
        <v>90</v>
      </c>
    </row>
    <row r="319" spans="1:13" x14ac:dyDescent="0.3">
      <c r="A319" s="37">
        <v>53</v>
      </c>
      <c r="B319" s="38" t="s">
        <v>160</v>
      </c>
      <c r="C319" s="39">
        <v>7896658011368</v>
      </c>
      <c r="D319" s="40" t="s">
        <v>86</v>
      </c>
      <c r="E319" s="40"/>
      <c r="F319" s="38">
        <v>24</v>
      </c>
      <c r="G319" s="38"/>
      <c r="H319" s="38" t="s">
        <v>129</v>
      </c>
      <c r="I319" s="38" t="s">
        <v>88</v>
      </c>
      <c r="J319" s="38">
        <v>4</v>
      </c>
      <c r="K319" s="41">
        <v>0.48</v>
      </c>
      <c r="L319" s="38" t="s">
        <v>132</v>
      </c>
      <c r="M319" s="42" t="s">
        <v>133</v>
      </c>
    </row>
    <row r="320" spans="1:13" x14ac:dyDescent="0.3">
      <c r="A320" s="37">
        <v>53</v>
      </c>
      <c r="B320" s="38" t="s">
        <v>160</v>
      </c>
      <c r="C320" s="39">
        <v>7896658011368</v>
      </c>
      <c r="D320" s="40" t="s">
        <v>86</v>
      </c>
      <c r="E320" s="40"/>
      <c r="F320" s="38">
        <v>24</v>
      </c>
      <c r="G320" s="38"/>
      <c r="H320" s="38" t="s">
        <v>129</v>
      </c>
      <c r="I320" s="38" t="s">
        <v>88</v>
      </c>
      <c r="J320" s="38">
        <v>4</v>
      </c>
      <c r="K320" s="41">
        <v>0.48</v>
      </c>
      <c r="L320" s="38" t="s">
        <v>114</v>
      </c>
      <c r="M320" s="42" t="s">
        <v>115</v>
      </c>
    </row>
    <row r="321" spans="1:13" x14ac:dyDescent="0.3">
      <c r="A321" s="37">
        <v>53</v>
      </c>
      <c r="B321" s="38" t="s">
        <v>160</v>
      </c>
      <c r="C321" s="39">
        <v>7896658011368</v>
      </c>
      <c r="D321" s="40" t="s">
        <v>86</v>
      </c>
      <c r="E321" s="40"/>
      <c r="F321" s="38">
        <v>24</v>
      </c>
      <c r="G321" s="38"/>
      <c r="H321" s="38" t="s">
        <v>129</v>
      </c>
      <c r="I321" s="38" t="s">
        <v>88</v>
      </c>
      <c r="J321" s="38">
        <v>4</v>
      </c>
      <c r="K321" s="41">
        <v>0.48</v>
      </c>
      <c r="L321" s="38" t="s">
        <v>114</v>
      </c>
      <c r="M321" s="42" t="s">
        <v>116</v>
      </c>
    </row>
    <row r="322" spans="1:13" x14ac:dyDescent="0.3">
      <c r="A322" s="37">
        <v>53</v>
      </c>
      <c r="B322" s="38" t="s">
        <v>160</v>
      </c>
      <c r="C322" s="39">
        <v>7896658011368</v>
      </c>
      <c r="D322" s="40" t="s">
        <v>86</v>
      </c>
      <c r="E322" s="40"/>
      <c r="F322" s="38">
        <v>24</v>
      </c>
      <c r="G322" s="38"/>
      <c r="H322" s="38" t="s">
        <v>129</v>
      </c>
      <c r="I322" s="38" t="s">
        <v>88</v>
      </c>
      <c r="J322" s="38">
        <v>4</v>
      </c>
      <c r="K322" s="41">
        <v>0.48</v>
      </c>
      <c r="L322" s="38" t="s">
        <v>114</v>
      </c>
      <c r="M322" s="42" t="s">
        <v>117</v>
      </c>
    </row>
    <row r="323" spans="1:13" x14ac:dyDescent="0.3">
      <c r="A323" s="37">
        <v>53</v>
      </c>
      <c r="B323" s="38" t="s">
        <v>160</v>
      </c>
      <c r="C323" s="39">
        <v>7896658011368</v>
      </c>
      <c r="D323" s="40" t="s">
        <v>86</v>
      </c>
      <c r="E323" s="40"/>
      <c r="F323" s="38">
        <v>24</v>
      </c>
      <c r="G323" s="38"/>
      <c r="H323" s="38" t="s">
        <v>129</v>
      </c>
      <c r="I323" s="38" t="s">
        <v>88</v>
      </c>
      <c r="J323" s="38">
        <v>4</v>
      </c>
      <c r="K323" s="41">
        <v>0.48</v>
      </c>
      <c r="L323" s="38" t="s">
        <v>114</v>
      </c>
      <c r="M323" s="42" t="s">
        <v>118</v>
      </c>
    </row>
    <row r="324" spans="1:13" x14ac:dyDescent="0.3">
      <c r="A324" s="37">
        <v>53</v>
      </c>
      <c r="B324" s="38" t="s">
        <v>160</v>
      </c>
      <c r="C324" s="39">
        <v>7896658011368</v>
      </c>
      <c r="D324" s="40" t="s">
        <v>86</v>
      </c>
      <c r="E324" s="40"/>
      <c r="F324" s="38">
        <v>24</v>
      </c>
      <c r="G324" s="38"/>
      <c r="H324" s="38" t="s">
        <v>129</v>
      </c>
      <c r="I324" s="38" t="s">
        <v>88</v>
      </c>
      <c r="J324" s="38">
        <v>4</v>
      </c>
      <c r="K324" s="41">
        <v>0.48</v>
      </c>
      <c r="L324" s="38" t="s">
        <v>114</v>
      </c>
      <c r="M324" s="42" t="s">
        <v>119</v>
      </c>
    </row>
    <row r="325" spans="1:13" x14ac:dyDescent="0.3">
      <c r="A325" s="37">
        <v>53</v>
      </c>
      <c r="B325" s="38" t="s">
        <v>160</v>
      </c>
      <c r="C325" s="39">
        <v>7896658011368</v>
      </c>
      <c r="D325" s="40" t="s">
        <v>86</v>
      </c>
      <c r="E325" s="40"/>
      <c r="F325" s="38">
        <v>24</v>
      </c>
      <c r="G325" s="38"/>
      <c r="H325" s="38" t="s">
        <v>129</v>
      </c>
      <c r="I325" s="38" t="s">
        <v>88</v>
      </c>
      <c r="J325" s="38">
        <v>4</v>
      </c>
      <c r="K325" s="41">
        <v>0.48</v>
      </c>
      <c r="L325" s="38" t="s">
        <v>114</v>
      </c>
      <c r="M325" s="42" t="s">
        <v>120</v>
      </c>
    </row>
    <row r="326" spans="1:13" x14ac:dyDescent="0.3">
      <c r="A326" s="37">
        <v>53</v>
      </c>
      <c r="B326" s="38" t="s">
        <v>160</v>
      </c>
      <c r="C326" s="39">
        <v>7896658011368</v>
      </c>
      <c r="D326" s="40" t="s">
        <v>86</v>
      </c>
      <c r="E326" s="40"/>
      <c r="F326" s="38">
        <v>24</v>
      </c>
      <c r="G326" s="38"/>
      <c r="H326" s="38" t="s">
        <v>129</v>
      </c>
      <c r="I326" s="38" t="s">
        <v>88</v>
      </c>
      <c r="J326" s="38">
        <v>4</v>
      </c>
      <c r="K326" s="41">
        <v>0.48</v>
      </c>
      <c r="L326" s="38" t="s">
        <v>114</v>
      </c>
      <c r="M326" s="42" t="s">
        <v>121</v>
      </c>
    </row>
    <row r="327" spans="1:13" x14ac:dyDescent="0.3">
      <c r="A327" s="37">
        <v>53</v>
      </c>
      <c r="B327" s="38" t="s">
        <v>160</v>
      </c>
      <c r="C327" s="39">
        <v>7896658011368</v>
      </c>
      <c r="D327" s="40" t="s">
        <v>86</v>
      </c>
      <c r="E327" s="40"/>
      <c r="F327" s="38">
        <v>24</v>
      </c>
      <c r="G327" s="38"/>
      <c r="H327" s="38" t="s">
        <v>129</v>
      </c>
      <c r="I327" s="38" t="s">
        <v>88</v>
      </c>
      <c r="J327" s="38">
        <v>4</v>
      </c>
      <c r="K327" s="41">
        <v>0.48</v>
      </c>
      <c r="L327" s="38" t="s">
        <v>114</v>
      </c>
      <c r="M327" s="42" t="s">
        <v>122</v>
      </c>
    </row>
    <row r="328" spans="1:13" x14ac:dyDescent="0.3">
      <c r="A328" s="37">
        <v>53</v>
      </c>
      <c r="B328" s="38" t="s">
        <v>160</v>
      </c>
      <c r="C328" s="39">
        <v>7896658011368</v>
      </c>
      <c r="D328" s="40" t="s">
        <v>86</v>
      </c>
      <c r="E328" s="40"/>
      <c r="F328" s="38">
        <v>24</v>
      </c>
      <c r="G328" s="38"/>
      <c r="H328" s="38" t="s">
        <v>129</v>
      </c>
      <c r="I328" s="38" t="s">
        <v>88</v>
      </c>
      <c r="J328" s="38">
        <v>4</v>
      </c>
      <c r="K328" s="41">
        <v>0.48</v>
      </c>
      <c r="L328" s="38" t="s">
        <v>114</v>
      </c>
      <c r="M328" s="42" t="s">
        <v>123</v>
      </c>
    </row>
    <row r="329" spans="1:13" x14ac:dyDescent="0.3">
      <c r="A329" s="37">
        <v>53</v>
      </c>
      <c r="B329" s="38" t="s">
        <v>160</v>
      </c>
      <c r="C329" s="39">
        <v>7896658011368</v>
      </c>
      <c r="D329" s="40" t="s">
        <v>86</v>
      </c>
      <c r="E329" s="40"/>
      <c r="F329" s="38">
        <v>24</v>
      </c>
      <c r="G329" s="38"/>
      <c r="H329" s="38" t="s">
        <v>129</v>
      </c>
      <c r="I329" s="38" t="s">
        <v>88</v>
      </c>
      <c r="J329" s="38">
        <v>4</v>
      </c>
      <c r="K329" s="41">
        <v>0.48</v>
      </c>
      <c r="L329" s="38" t="s">
        <v>114</v>
      </c>
      <c r="M329" s="42" t="s">
        <v>124</v>
      </c>
    </row>
    <row r="330" spans="1:13" x14ac:dyDescent="0.3">
      <c r="A330" s="37">
        <v>53</v>
      </c>
      <c r="B330" s="38" t="s">
        <v>160</v>
      </c>
      <c r="C330" s="39">
        <v>7896658011368</v>
      </c>
      <c r="D330" s="40" t="s">
        <v>86</v>
      </c>
      <c r="E330" s="40"/>
      <c r="F330" s="38">
        <v>24</v>
      </c>
      <c r="G330" s="38"/>
      <c r="H330" s="38" t="s">
        <v>129</v>
      </c>
      <c r="I330" s="38" t="s">
        <v>88</v>
      </c>
      <c r="J330" s="38">
        <v>4</v>
      </c>
      <c r="K330" s="41">
        <v>0.48</v>
      </c>
      <c r="L330" s="38" t="s">
        <v>114</v>
      </c>
      <c r="M330" s="42" t="s">
        <v>125</v>
      </c>
    </row>
    <row r="331" spans="1:13" x14ac:dyDescent="0.3">
      <c r="A331" s="37">
        <v>53</v>
      </c>
      <c r="B331" s="38" t="s">
        <v>160</v>
      </c>
      <c r="C331" s="39">
        <v>7896658011368</v>
      </c>
      <c r="D331" s="40" t="s">
        <v>86</v>
      </c>
      <c r="E331" s="40"/>
      <c r="F331" s="38">
        <v>24</v>
      </c>
      <c r="G331" s="38"/>
      <c r="H331" s="38" t="s">
        <v>129</v>
      </c>
      <c r="I331" s="38" t="s">
        <v>88</v>
      </c>
      <c r="J331" s="38">
        <v>4</v>
      </c>
      <c r="K331" s="41">
        <v>0.48</v>
      </c>
      <c r="L331" s="38" t="s">
        <v>114</v>
      </c>
      <c r="M331" s="42" t="s">
        <v>126</v>
      </c>
    </row>
    <row r="332" spans="1:13" x14ac:dyDescent="0.3">
      <c r="A332" s="37">
        <v>53</v>
      </c>
      <c r="B332" s="38" t="s">
        <v>160</v>
      </c>
      <c r="C332" s="39">
        <v>7896658011368</v>
      </c>
      <c r="D332" s="40" t="s">
        <v>86</v>
      </c>
      <c r="E332" s="40"/>
      <c r="F332" s="38">
        <v>24</v>
      </c>
      <c r="G332" s="38"/>
      <c r="H332" s="38" t="s">
        <v>129</v>
      </c>
      <c r="I332" s="38" t="s">
        <v>88</v>
      </c>
      <c r="J332" s="38">
        <v>4</v>
      </c>
      <c r="K332" s="41">
        <v>0.48</v>
      </c>
      <c r="L332" s="38" t="s">
        <v>127</v>
      </c>
      <c r="M332" s="42" t="s">
        <v>128</v>
      </c>
    </row>
    <row r="333" spans="1:13" x14ac:dyDescent="0.3">
      <c r="A333" s="37">
        <v>53</v>
      </c>
      <c r="B333" s="38" t="s">
        <v>160</v>
      </c>
      <c r="C333" s="39">
        <v>7896658011368</v>
      </c>
      <c r="D333" s="40" t="s">
        <v>86</v>
      </c>
      <c r="E333" s="40"/>
      <c r="F333" s="38">
        <v>24</v>
      </c>
      <c r="G333" s="38"/>
      <c r="H333" s="38" t="s">
        <v>129</v>
      </c>
      <c r="I333" s="38" t="s">
        <v>88</v>
      </c>
      <c r="J333" s="38">
        <v>4</v>
      </c>
      <c r="K333" s="41">
        <v>0.28999999999999998</v>
      </c>
      <c r="L333" s="38" t="s">
        <v>89</v>
      </c>
      <c r="M333" s="42" t="s">
        <v>90</v>
      </c>
    </row>
    <row r="334" spans="1:13" x14ac:dyDescent="0.3">
      <c r="A334" s="37">
        <v>53</v>
      </c>
      <c r="B334" s="38" t="s">
        <v>160</v>
      </c>
      <c r="C334" s="39">
        <v>7896658011368</v>
      </c>
      <c r="D334" s="40" t="s">
        <v>86</v>
      </c>
      <c r="E334" s="40"/>
      <c r="F334" s="38">
        <v>201</v>
      </c>
      <c r="G334" s="38"/>
      <c r="H334" s="38" t="s">
        <v>130</v>
      </c>
      <c r="I334" s="38" t="s">
        <v>88</v>
      </c>
      <c r="J334" s="38">
        <v>4</v>
      </c>
      <c r="K334" s="41">
        <v>0.48</v>
      </c>
      <c r="L334" s="38" t="s">
        <v>132</v>
      </c>
      <c r="M334" s="42" t="s">
        <v>133</v>
      </c>
    </row>
    <row r="335" spans="1:13" x14ac:dyDescent="0.3">
      <c r="A335" s="37">
        <v>53</v>
      </c>
      <c r="B335" s="38" t="s">
        <v>160</v>
      </c>
      <c r="C335" s="39">
        <v>7896658011368</v>
      </c>
      <c r="D335" s="40" t="s">
        <v>86</v>
      </c>
      <c r="E335" s="40"/>
      <c r="F335" s="38">
        <v>201</v>
      </c>
      <c r="G335" s="38"/>
      <c r="H335" s="38" t="s">
        <v>130</v>
      </c>
      <c r="I335" s="38" t="s">
        <v>88</v>
      </c>
      <c r="J335" s="38">
        <v>4</v>
      </c>
      <c r="K335" s="41">
        <v>0.48</v>
      </c>
      <c r="L335" s="38" t="s">
        <v>114</v>
      </c>
      <c r="M335" s="42" t="s">
        <v>115</v>
      </c>
    </row>
    <row r="336" spans="1:13" x14ac:dyDescent="0.3">
      <c r="A336" s="37">
        <v>53</v>
      </c>
      <c r="B336" s="38" t="s">
        <v>160</v>
      </c>
      <c r="C336" s="39">
        <v>7896658011368</v>
      </c>
      <c r="D336" s="40" t="s">
        <v>86</v>
      </c>
      <c r="E336" s="40"/>
      <c r="F336" s="38">
        <v>201</v>
      </c>
      <c r="G336" s="38"/>
      <c r="H336" s="38" t="s">
        <v>130</v>
      </c>
      <c r="I336" s="38" t="s">
        <v>88</v>
      </c>
      <c r="J336" s="38">
        <v>4</v>
      </c>
      <c r="K336" s="41">
        <v>0.48</v>
      </c>
      <c r="L336" s="38" t="s">
        <v>114</v>
      </c>
      <c r="M336" s="42" t="s">
        <v>116</v>
      </c>
    </row>
    <row r="337" spans="1:13" x14ac:dyDescent="0.3">
      <c r="A337" s="37">
        <v>53</v>
      </c>
      <c r="B337" s="38" t="s">
        <v>160</v>
      </c>
      <c r="C337" s="39">
        <v>7896658011368</v>
      </c>
      <c r="D337" s="40" t="s">
        <v>86</v>
      </c>
      <c r="E337" s="40"/>
      <c r="F337" s="38">
        <v>201</v>
      </c>
      <c r="G337" s="38"/>
      <c r="H337" s="38" t="s">
        <v>130</v>
      </c>
      <c r="I337" s="38" t="s">
        <v>88</v>
      </c>
      <c r="J337" s="38">
        <v>4</v>
      </c>
      <c r="K337" s="41">
        <v>0.48</v>
      </c>
      <c r="L337" s="38" t="s">
        <v>114</v>
      </c>
      <c r="M337" s="42" t="s">
        <v>117</v>
      </c>
    </row>
    <row r="338" spans="1:13" x14ac:dyDescent="0.3">
      <c r="A338" s="37">
        <v>53</v>
      </c>
      <c r="B338" s="38" t="s">
        <v>160</v>
      </c>
      <c r="C338" s="39">
        <v>7896658011368</v>
      </c>
      <c r="D338" s="40" t="s">
        <v>86</v>
      </c>
      <c r="E338" s="40"/>
      <c r="F338" s="38">
        <v>201</v>
      </c>
      <c r="G338" s="38"/>
      <c r="H338" s="38" t="s">
        <v>130</v>
      </c>
      <c r="I338" s="38" t="s">
        <v>88</v>
      </c>
      <c r="J338" s="38">
        <v>4</v>
      </c>
      <c r="K338" s="41">
        <v>0.48</v>
      </c>
      <c r="L338" s="38" t="s">
        <v>114</v>
      </c>
      <c r="M338" s="42" t="s">
        <v>118</v>
      </c>
    </row>
    <row r="339" spans="1:13" x14ac:dyDescent="0.3">
      <c r="A339" s="37">
        <v>53</v>
      </c>
      <c r="B339" s="38" t="s">
        <v>160</v>
      </c>
      <c r="C339" s="39">
        <v>7896658011368</v>
      </c>
      <c r="D339" s="40" t="s">
        <v>86</v>
      </c>
      <c r="E339" s="40"/>
      <c r="F339" s="38">
        <v>201</v>
      </c>
      <c r="G339" s="38"/>
      <c r="H339" s="38" t="s">
        <v>130</v>
      </c>
      <c r="I339" s="38" t="s">
        <v>88</v>
      </c>
      <c r="J339" s="38">
        <v>4</v>
      </c>
      <c r="K339" s="41">
        <v>0.48</v>
      </c>
      <c r="L339" s="38" t="s">
        <v>114</v>
      </c>
      <c r="M339" s="42" t="s">
        <v>119</v>
      </c>
    </row>
    <row r="340" spans="1:13" x14ac:dyDescent="0.3">
      <c r="A340" s="37">
        <v>53</v>
      </c>
      <c r="B340" s="38" t="s">
        <v>160</v>
      </c>
      <c r="C340" s="39">
        <v>7896658011368</v>
      </c>
      <c r="D340" s="40" t="s">
        <v>86</v>
      </c>
      <c r="E340" s="40"/>
      <c r="F340" s="38">
        <v>201</v>
      </c>
      <c r="G340" s="38"/>
      <c r="H340" s="38" t="s">
        <v>130</v>
      </c>
      <c r="I340" s="38" t="s">
        <v>88</v>
      </c>
      <c r="J340" s="38">
        <v>4</v>
      </c>
      <c r="K340" s="41">
        <v>0.48</v>
      </c>
      <c r="L340" s="38" t="s">
        <v>114</v>
      </c>
      <c r="M340" s="42" t="s">
        <v>120</v>
      </c>
    </row>
    <row r="341" spans="1:13" x14ac:dyDescent="0.3">
      <c r="A341" s="37">
        <v>53</v>
      </c>
      <c r="B341" s="38" t="s">
        <v>160</v>
      </c>
      <c r="C341" s="39">
        <v>7896658011368</v>
      </c>
      <c r="D341" s="40" t="s">
        <v>86</v>
      </c>
      <c r="E341" s="40"/>
      <c r="F341" s="38">
        <v>201</v>
      </c>
      <c r="G341" s="38"/>
      <c r="H341" s="38" t="s">
        <v>130</v>
      </c>
      <c r="I341" s="38" t="s">
        <v>88</v>
      </c>
      <c r="J341" s="38">
        <v>4</v>
      </c>
      <c r="K341" s="41">
        <v>0.48</v>
      </c>
      <c r="L341" s="38" t="s">
        <v>114</v>
      </c>
      <c r="M341" s="42" t="s">
        <v>121</v>
      </c>
    </row>
    <row r="342" spans="1:13" x14ac:dyDescent="0.3">
      <c r="A342" s="37">
        <v>53</v>
      </c>
      <c r="B342" s="38" t="s">
        <v>160</v>
      </c>
      <c r="C342" s="39">
        <v>7896658011368</v>
      </c>
      <c r="D342" s="40" t="s">
        <v>86</v>
      </c>
      <c r="E342" s="40"/>
      <c r="F342" s="38">
        <v>201</v>
      </c>
      <c r="G342" s="38"/>
      <c r="H342" s="38" t="s">
        <v>130</v>
      </c>
      <c r="I342" s="38" t="s">
        <v>88</v>
      </c>
      <c r="J342" s="38">
        <v>4</v>
      </c>
      <c r="K342" s="41">
        <v>0.48</v>
      </c>
      <c r="L342" s="38" t="s">
        <v>114</v>
      </c>
      <c r="M342" s="42" t="s">
        <v>122</v>
      </c>
    </row>
    <row r="343" spans="1:13" x14ac:dyDescent="0.3">
      <c r="A343" s="37">
        <v>53</v>
      </c>
      <c r="B343" s="38" t="s">
        <v>160</v>
      </c>
      <c r="C343" s="39">
        <v>7896658011368</v>
      </c>
      <c r="D343" s="40" t="s">
        <v>86</v>
      </c>
      <c r="E343" s="40"/>
      <c r="F343" s="38">
        <v>201</v>
      </c>
      <c r="G343" s="38"/>
      <c r="H343" s="38" t="s">
        <v>130</v>
      </c>
      <c r="I343" s="38" t="s">
        <v>88</v>
      </c>
      <c r="J343" s="38">
        <v>4</v>
      </c>
      <c r="K343" s="41">
        <v>0.48</v>
      </c>
      <c r="L343" s="38" t="s">
        <v>114</v>
      </c>
      <c r="M343" s="42" t="s">
        <v>123</v>
      </c>
    </row>
    <row r="344" spans="1:13" x14ac:dyDescent="0.3">
      <c r="A344" s="37">
        <v>53</v>
      </c>
      <c r="B344" s="38" t="s">
        <v>160</v>
      </c>
      <c r="C344" s="39">
        <v>7896658011368</v>
      </c>
      <c r="D344" s="40" t="s">
        <v>86</v>
      </c>
      <c r="E344" s="40"/>
      <c r="F344" s="38">
        <v>201</v>
      </c>
      <c r="G344" s="38"/>
      <c r="H344" s="38" t="s">
        <v>130</v>
      </c>
      <c r="I344" s="38" t="s">
        <v>88</v>
      </c>
      <c r="J344" s="38">
        <v>4</v>
      </c>
      <c r="K344" s="41">
        <v>0.48</v>
      </c>
      <c r="L344" s="38" t="s">
        <v>114</v>
      </c>
      <c r="M344" s="42" t="s">
        <v>124</v>
      </c>
    </row>
    <row r="345" spans="1:13" x14ac:dyDescent="0.3">
      <c r="A345" s="37">
        <v>53</v>
      </c>
      <c r="B345" s="38" t="s">
        <v>160</v>
      </c>
      <c r="C345" s="39">
        <v>7896658011368</v>
      </c>
      <c r="D345" s="40" t="s">
        <v>86</v>
      </c>
      <c r="E345" s="40"/>
      <c r="F345" s="38">
        <v>201</v>
      </c>
      <c r="G345" s="38"/>
      <c r="H345" s="38" t="s">
        <v>130</v>
      </c>
      <c r="I345" s="38" t="s">
        <v>88</v>
      </c>
      <c r="J345" s="38">
        <v>4</v>
      </c>
      <c r="K345" s="41">
        <v>0.48</v>
      </c>
      <c r="L345" s="38" t="s">
        <v>114</v>
      </c>
      <c r="M345" s="42" t="s">
        <v>125</v>
      </c>
    </row>
    <row r="346" spans="1:13" x14ac:dyDescent="0.3">
      <c r="A346" s="37">
        <v>53</v>
      </c>
      <c r="B346" s="38" t="s">
        <v>160</v>
      </c>
      <c r="C346" s="39">
        <v>7896658011368</v>
      </c>
      <c r="D346" s="40" t="s">
        <v>86</v>
      </c>
      <c r="E346" s="40"/>
      <c r="F346" s="38">
        <v>201</v>
      </c>
      <c r="G346" s="38"/>
      <c r="H346" s="38" t="s">
        <v>130</v>
      </c>
      <c r="I346" s="38" t="s">
        <v>88</v>
      </c>
      <c r="J346" s="38">
        <v>4</v>
      </c>
      <c r="K346" s="41">
        <v>0.48</v>
      </c>
      <c r="L346" s="38" t="s">
        <v>114</v>
      </c>
      <c r="M346" s="42" t="s">
        <v>126</v>
      </c>
    </row>
    <row r="347" spans="1:13" x14ac:dyDescent="0.3">
      <c r="A347" s="37">
        <v>53</v>
      </c>
      <c r="B347" s="38" t="s">
        <v>160</v>
      </c>
      <c r="C347" s="39">
        <v>7896658011368</v>
      </c>
      <c r="D347" s="40" t="s">
        <v>86</v>
      </c>
      <c r="E347" s="40"/>
      <c r="F347" s="38">
        <v>201</v>
      </c>
      <c r="G347" s="38"/>
      <c r="H347" s="38" t="s">
        <v>130</v>
      </c>
      <c r="I347" s="38" t="s">
        <v>88</v>
      </c>
      <c r="J347" s="38">
        <v>4</v>
      </c>
      <c r="K347" s="41">
        <v>0.48</v>
      </c>
      <c r="L347" s="38" t="s">
        <v>127</v>
      </c>
      <c r="M347" s="42" t="s">
        <v>128</v>
      </c>
    </row>
    <row r="348" spans="1:13" x14ac:dyDescent="0.3">
      <c r="A348" s="37">
        <v>53</v>
      </c>
      <c r="B348" s="38" t="s">
        <v>160</v>
      </c>
      <c r="C348" s="39">
        <v>7896658011368</v>
      </c>
      <c r="D348" s="40" t="s">
        <v>86</v>
      </c>
      <c r="E348" s="40"/>
      <c r="F348" s="38">
        <v>201</v>
      </c>
      <c r="G348" s="38"/>
      <c r="H348" s="38" t="s">
        <v>130</v>
      </c>
      <c r="I348" s="38" t="s">
        <v>88</v>
      </c>
      <c r="J348" s="38">
        <v>4</v>
      </c>
      <c r="K348" s="41">
        <v>0.28999999999999998</v>
      </c>
      <c r="L348" s="38" t="s">
        <v>89</v>
      </c>
      <c r="M348" s="42" t="s">
        <v>90</v>
      </c>
    </row>
    <row r="349" spans="1:13" x14ac:dyDescent="0.3">
      <c r="A349" s="37">
        <v>53</v>
      </c>
      <c r="B349" s="38" t="s">
        <v>160</v>
      </c>
      <c r="C349" s="39">
        <v>7896658011368</v>
      </c>
      <c r="D349" s="40" t="s">
        <v>86</v>
      </c>
      <c r="E349" s="40"/>
      <c r="F349" s="38">
        <v>591</v>
      </c>
      <c r="G349" s="38"/>
      <c r="H349" s="38" t="s">
        <v>130</v>
      </c>
      <c r="I349" s="38" t="s">
        <v>88</v>
      </c>
      <c r="J349" s="38">
        <v>4</v>
      </c>
      <c r="K349" s="41">
        <v>0.48</v>
      </c>
      <c r="L349" s="38" t="s">
        <v>132</v>
      </c>
      <c r="M349" s="42" t="s">
        <v>133</v>
      </c>
    </row>
    <row r="350" spans="1:13" x14ac:dyDescent="0.3">
      <c r="A350" s="37">
        <v>53</v>
      </c>
      <c r="B350" s="38" t="s">
        <v>160</v>
      </c>
      <c r="C350" s="39">
        <v>7896658011368</v>
      </c>
      <c r="D350" s="40" t="s">
        <v>86</v>
      </c>
      <c r="E350" s="40"/>
      <c r="F350" s="38">
        <v>591</v>
      </c>
      <c r="G350" s="38"/>
      <c r="H350" s="38" t="s">
        <v>130</v>
      </c>
      <c r="I350" s="38" t="s">
        <v>88</v>
      </c>
      <c r="J350" s="38">
        <v>4</v>
      </c>
      <c r="K350" s="41">
        <v>0.48</v>
      </c>
      <c r="L350" s="38" t="s">
        <v>114</v>
      </c>
      <c r="M350" s="42" t="s">
        <v>115</v>
      </c>
    </row>
    <row r="351" spans="1:13" x14ac:dyDescent="0.3">
      <c r="A351" s="37">
        <v>53</v>
      </c>
      <c r="B351" s="38" t="s">
        <v>160</v>
      </c>
      <c r="C351" s="39">
        <v>7896658011368</v>
      </c>
      <c r="D351" s="40" t="s">
        <v>86</v>
      </c>
      <c r="E351" s="40"/>
      <c r="F351" s="38">
        <v>591</v>
      </c>
      <c r="G351" s="38"/>
      <c r="H351" s="38" t="s">
        <v>130</v>
      </c>
      <c r="I351" s="38" t="s">
        <v>88</v>
      </c>
      <c r="J351" s="38">
        <v>4</v>
      </c>
      <c r="K351" s="41">
        <v>0.48</v>
      </c>
      <c r="L351" s="38" t="s">
        <v>114</v>
      </c>
      <c r="M351" s="42" t="s">
        <v>116</v>
      </c>
    </row>
    <row r="352" spans="1:13" x14ac:dyDescent="0.3">
      <c r="A352" s="37">
        <v>53</v>
      </c>
      <c r="B352" s="38" t="s">
        <v>160</v>
      </c>
      <c r="C352" s="39">
        <v>7896658011368</v>
      </c>
      <c r="D352" s="40" t="s">
        <v>86</v>
      </c>
      <c r="E352" s="40"/>
      <c r="F352" s="38">
        <v>591</v>
      </c>
      <c r="G352" s="38"/>
      <c r="H352" s="38" t="s">
        <v>130</v>
      </c>
      <c r="I352" s="38" t="s">
        <v>88</v>
      </c>
      <c r="J352" s="38">
        <v>4</v>
      </c>
      <c r="K352" s="41">
        <v>0.48</v>
      </c>
      <c r="L352" s="38" t="s">
        <v>114</v>
      </c>
      <c r="M352" s="42" t="s">
        <v>117</v>
      </c>
    </row>
    <row r="353" spans="1:13" x14ac:dyDescent="0.3">
      <c r="A353" s="37">
        <v>53</v>
      </c>
      <c r="B353" s="38" t="s">
        <v>160</v>
      </c>
      <c r="C353" s="39">
        <v>7896658011368</v>
      </c>
      <c r="D353" s="40" t="s">
        <v>86</v>
      </c>
      <c r="E353" s="40"/>
      <c r="F353" s="38">
        <v>591</v>
      </c>
      <c r="G353" s="38"/>
      <c r="H353" s="38" t="s">
        <v>130</v>
      </c>
      <c r="I353" s="38" t="s">
        <v>88</v>
      </c>
      <c r="J353" s="38">
        <v>4</v>
      </c>
      <c r="K353" s="41">
        <v>0.48</v>
      </c>
      <c r="L353" s="38" t="s">
        <v>114</v>
      </c>
      <c r="M353" s="42" t="s">
        <v>118</v>
      </c>
    </row>
    <row r="354" spans="1:13" x14ac:dyDescent="0.3">
      <c r="A354" s="37">
        <v>53</v>
      </c>
      <c r="B354" s="38" t="s">
        <v>160</v>
      </c>
      <c r="C354" s="39">
        <v>7896658011368</v>
      </c>
      <c r="D354" s="40" t="s">
        <v>86</v>
      </c>
      <c r="E354" s="40"/>
      <c r="F354" s="38">
        <v>591</v>
      </c>
      <c r="G354" s="38"/>
      <c r="H354" s="38" t="s">
        <v>130</v>
      </c>
      <c r="I354" s="38" t="s">
        <v>88</v>
      </c>
      <c r="J354" s="38">
        <v>4</v>
      </c>
      <c r="K354" s="41">
        <v>0.48</v>
      </c>
      <c r="L354" s="38" t="s">
        <v>114</v>
      </c>
      <c r="M354" s="42" t="s">
        <v>119</v>
      </c>
    </row>
    <row r="355" spans="1:13" x14ac:dyDescent="0.3">
      <c r="A355" s="37">
        <v>53</v>
      </c>
      <c r="B355" s="38" t="s">
        <v>160</v>
      </c>
      <c r="C355" s="39">
        <v>7896658011368</v>
      </c>
      <c r="D355" s="40" t="s">
        <v>86</v>
      </c>
      <c r="E355" s="40"/>
      <c r="F355" s="38">
        <v>591</v>
      </c>
      <c r="G355" s="38"/>
      <c r="H355" s="38" t="s">
        <v>130</v>
      </c>
      <c r="I355" s="38" t="s">
        <v>88</v>
      </c>
      <c r="J355" s="38">
        <v>4</v>
      </c>
      <c r="K355" s="41">
        <v>0.48</v>
      </c>
      <c r="L355" s="38" t="s">
        <v>114</v>
      </c>
      <c r="M355" s="42" t="s">
        <v>120</v>
      </c>
    </row>
    <row r="356" spans="1:13" x14ac:dyDescent="0.3">
      <c r="A356" s="37">
        <v>53</v>
      </c>
      <c r="B356" s="38" t="s">
        <v>160</v>
      </c>
      <c r="C356" s="39">
        <v>7896658011368</v>
      </c>
      <c r="D356" s="40" t="s">
        <v>86</v>
      </c>
      <c r="E356" s="40"/>
      <c r="F356" s="38">
        <v>591</v>
      </c>
      <c r="G356" s="38"/>
      <c r="H356" s="38" t="s">
        <v>130</v>
      </c>
      <c r="I356" s="38" t="s">
        <v>88</v>
      </c>
      <c r="J356" s="38">
        <v>4</v>
      </c>
      <c r="K356" s="41">
        <v>0.48</v>
      </c>
      <c r="L356" s="38" t="s">
        <v>114</v>
      </c>
      <c r="M356" s="42" t="s">
        <v>121</v>
      </c>
    </row>
    <row r="357" spans="1:13" x14ac:dyDescent="0.3">
      <c r="A357" s="37">
        <v>53</v>
      </c>
      <c r="B357" s="38" t="s">
        <v>160</v>
      </c>
      <c r="C357" s="39">
        <v>7896658011368</v>
      </c>
      <c r="D357" s="40" t="s">
        <v>86</v>
      </c>
      <c r="E357" s="40"/>
      <c r="F357" s="38">
        <v>591</v>
      </c>
      <c r="G357" s="38"/>
      <c r="H357" s="38" t="s">
        <v>130</v>
      </c>
      <c r="I357" s="38" t="s">
        <v>88</v>
      </c>
      <c r="J357" s="38">
        <v>4</v>
      </c>
      <c r="K357" s="41">
        <v>0.48</v>
      </c>
      <c r="L357" s="38" t="s">
        <v>114</v>
      </c>
      <c r="M357" s="42" t="s">
        <v>122</v>
      </c>
    </row>
    <row r="358" spans="1:13" x14ac:dyDescent="0.3">
      <c r="A358" s="37">
        <v>53</v>
      </c>
      <c r="B358" s="38" t="s">
        <v>160</v>
      </c>
      <c r="C358" s="39">
        <v>7896658011368</v>
      </c>
      <c r="D358" s="40" t="s">
        <v>86</v>
      </c>
      <c r="E358" s="40"/>
      <c r="F358" s="38">
        <v>591</v>
      </c>
      <c r="G358" s="38"/>
      <c r="H358" s="38" t="s">
        <v>130</v>
      </c>
      <c r="I358" s="38" t="s">
        <v>88</v>
      </c>
      <c r="J358" s="38">
        <v>4</v>
      </c>
      <c r="K358" s="41">
        <v>0.48</v>
      </c>
      <c r="L358" s="38" t="s">
        <v>114</v>
      </c>
      <c r="M358" s="42" t="s">
        <v>123</v>
      </c>
    </row>
    <row r="359" spans="1:13" x14ac:dyDescent="0.3">
      <c r="A359" s="37">
        <v>53</v>
      </c>
      <c r="B359" s="38" t="s">
        <v>160</v>
      </c>
      <c r="C359" s="39">
        <v>7896658011368</v>
      </c>
      <c r="D359" s="40" t="s">
        <v>86</v>
      </c>
      <c r="E359" s="40"/>
      <c r="F359" s="38">
        <v>591</v>
      </c>
      <c r="G359" s="38"/>
      <c r="H359" s="38" t="s">
        <v>130</v>
      </c>
      <c r="I359" s="38" t="s">
        <v>88</v>
      </c>
      <c r="J359" s="38">
        <v>4</v>
      </c>
      <c r="K359" s="41">
        <v>0.48</v>
      </c>
      <c r="L359" s="38" t="s">
        <v>114</v>
      </c>
      <c r="M359" s="42" t="s">
        <v>124</v>
      </c>
    </row>
    <row r="360" spans="1:13" x14ac:dyDescent="0.3">
      <c r="A360" s="37">
        <v>53</v>
      </c>
      <c r="B360" s="38" t="s">
        <v>160</v>
      </c>
      <c r="C360" s="39">
        <v>7896658011368</v>
      </c>
      <c r="D360" s="40" t="s">
        <v>86</v>
      </c>
      <c r="E360" s="40"/>
      <c r="F360" s="38">
        <v>591</v>
      </c>
      <c r="G360" s="38"/>
      <c r="H360" s="38" t="s">
        <v>130</v>
      </c>
      <c r="I360" s="38" t="s">
        <v>88</v>
      </c>
      <c r="J360" s="38">
        <v>4</v>
      </c>
      <c r="K360" s="41">
        <v>0.48</v>
      </c>
      <c r="L360" s="38" t="s">
        <v>114</v>
      </c>
      <c r="M360" s="42" t="s">
        <v>125</v>
      </c>
    </row>
    <row r="361" spans="1:13" x14ac:dyDescent="0.3">
      <c r="A361" s="37">
        <v>53</v>
      </c>
      <c r="B361" s="38" t="s">
        <v>160</v>
      </c>
      <c r="C361" s="39">
        <v>7896658011368</v>
      </c>
      <c r="D361" s="40" t="s">
        <v>86</v>
      </c>
      <c r="E361" s="40"/>
      <c r="F361" s="38">
        <v>591</v>
      </c>
      <c r="G361" s="38"/>
      <c r="H361" s="38" t="s">
        <v>130</v>
      </c>
      <c r="I361" s="38" t="s">
        <v>88</v>
      </c>
      <c r="J361" s="38">
        <v>4</v>
      </c>
      <c r="K361" s="41">
        <v>0.48</v>
      </c>
      <c r="L361" s="38" t="s">
        <v>114</v>
      </c>
      <c r="M361" s="42" t="s">
        <v>126</v>
      </c>
    </row>
    <row r="362" spans="1:13" x14ac:dyDescent="0.3">
      <c r="A362" s="37">
        <v>53</v>
      </c>
      <c r="B362" s="38" t="s">
        <v>160</v>
      </c>
      <c r="C362" s="39">
        <v>7896658011368</v>
      </c>
      <c r="D362" s="40" t="s">
        <v>86</v>
      </c>
      <c r="E362" s="40"/>
      <c r="F362" s="38">
        <v>591</v>
      </c>
      <c r="G362" s="38"/>
      <c r="H362" s="38" t="s">
        <v>130</v>
      </c>
      <c r="I362" s="38" t="s">
        <v>88</v>
      </c>
      <c r="J362" s="38">
        <v>4</v>
      </c>
      <c r="K362" s="41">
        <v>0.48</v>
      </c>
      <c r="L362" s="38" t="s">
        <v>127</v>
      </c>
      <c r="M362" s="42" t="s">
        <v>128</v>
      </c>
    </row>
    <row r="363" spans="1:13" x14ac:dyDescent="0.3">
      <c r="A363" s="37">
        <v>53</v>
      </c>
      <c r="B363" s="38" t="s">
        <v>160</v>
      </c>
      <c r="C363" s="39">
        <v>7896658011368</v>
      </c>
      <c r="D363" s="40" t="s">
        <v>86</v>
      </c>
      <c r="E363" s="40"/>
      <c r="F363" s="38">
        <v>591</v>
      </c>
      <c r="G363" s="38"/>
      <c r="H363" s="38" t="s">
        <v>130</v>
      </c>
      <c r="I363" s="38" t="s">
        <v>88</v>
      </c>
      <c r="J363" s="38">
        <v>4</v>
      </c>
      <c r="K363" s="41">
        <v>0.28999999999999998</v>
      </c>
      <c r="L363" s="38" t="s">
        <v>89</v>
      </c>
      <c r="M363" s="42" t="s">
        <v>90</v>
      </c>
    </row>
    <row r="364" spans="1:13" x14ac:dyDescent="0.3">
      <c r="A364" s="37">
        <v>53</v>
      </c>
      <c r="B364" s="38" t="s">
        <v>161</v>
      </c>
      <c r="C364" s="39">
        <v>7896658013195</v>
      </c>
      <c r="D364" s="40" t="s">
        <v>86</v>
      </c>
      <c r="E364" s="40"/>
      <c r="F364" s="38">
        <v>924</v>
      </c>
      <c r="G364" s="38"/>
      <c r="H364" s="38" t="s">
        <v>162</v>
      </c>
      <c r="I364" s="38" t="s">
        <v>88</v>
      </c>
      <c r="J364" s="38">
        <v>3</v>
      </c>
      <c r="K364" s="41">
        <v>0.1</v>
      </c>
      <c r="L364" s="38" t="s">
        <v>89</v>
      </c>
      <c r="M364" s="42" t="s">
        <v>90</v>
      </c>
    </row>
    <row r="365" spans="1:13" x14ac:dyDescent="0.3">
      <c r="A365" s="37">
        <v>53</v>
      </c>
      <c r="B365" s="38" t="s">
        <v>163</v>
      </c>
      <c r="C365" s="39">
        <v>7896658013249</v>
      </c>
      <c r="D365" s="40" t="s">
        <v>86</v>
      </c>
      <c r="E365" s="40"/>
      <c r="F365" s="38">
        <v>920</v>
      </c>
      <c r="G365" s="38"/>
      <c r="H365" s="38" t="s">
        <v>164</v>
      </c>
      <c r="I365" s="38" t="s">
        <v>88</v>
      </c>
      <c r="J365" s="38">
        <v>3</v>
      </c>
      <c r="K365" s="41">
        <v>0.1</v>
      </c>
      <c r="L365" s="38" t="s">
        <v>89</v>
      </c>
      <c r="M365" s="42" t="s">
        <v>90</v>
      </c>
    </row>
    <row r="366" spans="1:13" x14ac:dyDescent="0.3">
      <c r="A366" s="37">
        <v>53</v>
      </c>
      <c r="B366" s="38" t="s">
        <v>165</v>
      </c>
      <c r="C366" s="39">
        <v>7896658013263</v>
      </c>
      <c r="D366" s="40" t="s">
        <v>86</v>
      </c>
      <c r="E366" s="40"/>
      <c r="F366" s="38">
        <v>921</v>
      </c>
      <c r="G366" s="38"/>
      <c r="H366" s="38" t="s">
        <v>166</v>
      </c>
      <c r="I366" s="38" t="s">
        <v>88</v>
      </c>
      <c r="J366" s="38">
        <v>3</v>
      </c>
      <c r="K366" s="41">
        <v>0.2</v>
      </c>
      <c r="L366" s="38" t="s">
        <v>89</v>
      </c>
      <c r="M366" s="42" t="s">
        <v>90</v>
      </c>
    </row>
    <row r="367" spans="1:13" x14ac:dyDescent="0.3">
      <c r="A367" s="37">
        <v>53</v>
      </c>
      <c r="B367" s="38" t="s">
        <v>167</v>
      </c>
      <c r="C367" s="39">
        <v>7896658013331</v>
      </c>
      <c r="D367" s="40" t="s">
        <v>86</v>
      </c>
      <c r="E367" s="40"/>
      <c r="F367" s="38">
        <v>925</v>
      </c>
      <c r="G367" s="38"/>
      <c r="H367" s="38" t="s">
        <v>168</v>
      </c>
      <c r="I367" s="38" t="s">
        <v>88</v>
      </c>
      <c r="J367" s="38">
        <v>3</v>
      </c>
      <c r="K367" s="41">
        <v>0.1</v>
      </c>
      <c r="L367" s="38" t="s">
        <v>89</v>
      </c>
      <c r="M367" s="42" t="s">
        <v>90</v>
      </c>
    </row>
    <row r="368" spans="1:13" x14ac:dyDescent="0.3">
      <c r="A368" s="37">
        <v>53</v>
      </c>
      <c r="B368" s="38" t="s">
        <v>169</v>
      </c>
      <c r="C368" s="39">
        <v>7896658016837</v>
      </c>
      <c r="D368" s="40" t="s">
        <v>86</v>
      </c>
      <c r="E368" s="40"/>
      <c r="F368" s="38">
        <v>285</v>
      </c>
      <c r="G368" s="38"/>
      <c r="H368" s="38" t="s">
        <v>170</v>
      </c>
      <c r="I368" s="38" t="s">
        <v>102</v>
      </c>
      <c r="J368" s="38">
        <v>1</v>
      </c>
      <c r="K368" s="41">
        <v>0.56000000000000005</v>
      </c>
      <c r="L368" s="38" t="s">
        <v>89</v>
      </c>
      <c r="M368" s="42" t="s">
        <v>90</v>
      </c>
    </row>
    <row r="369" spans="1:13" x14ac:dyDescent="0.3">
      <c r="A369" s="37">
        <v>53</v>
      </c>
      <c r="B369" s="38" t="s">
        <v>169</v>
      </c>
      <c r="C369" s="39">
        <v>7896658016837</v>
      </c>
      <c r="D369" s="40" t="s">
        <v>86</v>
      </c>
      <c r="E369" s="40"/>
      <c r="F369" s="38">
        <v>966</v>
      </c>
      <c r="G369" s="38"/>
      <c r="H369" s="38" t="s">
        <v>171</v>
      </c>
      <c r="I369" s="38" t="s">
        <v>102</v>
      </c>
      <c r="J369" s="38">
        <v>1</v>
      </c>
      <c r="K369" s="41">
        <v>0.56000000000000005</v>
      </c>
      <c r="L369" s="38" t="s">
        <v>89</v>
      </c>
      <c r="M369" s="42" t="s">
        <v>90</v>
      </c>
    </row>
    <row r="370" spans="1:13" x14ac:dyDescent="0.3">
      <c r="A370" s="37">
        <v>53</v>
      </c>
      <c r="B370" s="38" t="s">
        <v>172</v>
      </c>
      <c r="C370" s="39">
        <v>7896658016844</v>
      </c>
      <c r="D370" s="40" t="s">
        <v>86</v>
      </c>
      <c r="E370" s="40"/>
      <c r="F370" s="38">
        <v>285</v>
      </c>
      <c r="G370" s="38"/>
      <c r="H370" s="38" t="s">
        <v>170</v>
      </c>
      <c r="I370" s="38" t="s">
        <v>102</v>
      </c>
      <c r="J370" s="38">
        <v>1</v>
      </c>
      <c r="K370" s="41">
        <v>0.56000000000000005</v>
      </c>
      <c r="L370" s="38" t="s">
        <v>89</v>
      </c>
      <c r="M370" s="42" t="s">
        <v>90</v>
      </c>
    </row>
    <row r="371" spans="1:13" x14ac:dyDescent="0.3">
      <c r="A371" s="37">
        <v>53</v>
      </c>
      <c r="B371" s="38" t="s">
        <v>172</v>
      </c>
      <c r="C371" s="39">
        <v>7896658016844</v>
      </c>
      <c r="D371" s="40" t="s">
        <v>86</v>
      </c>
      <c r="E371" s="40"/>
      <c r="F371" s="38">
        <v>966</v>
      </c>
      <c r="G371" s="38"/>
      <c r="H371" s="38" t="s">
        <v>171</v>
      </c>
      <c r="I371" s="38" t="s">
        <v>102</v>
      </c>
      <c r="J371" s="38">
        <v>1</v>
      </c>
      <c r="K371" s="41">
        <v>0.56000000000000005</v>
      </c>
      <c r="L371" s="38" t="s">
        <v>89</v>
      </c>
      <c r="M371" s="42" t="s">
        <v>90</v>
      </c>
    </row>
    <row r="372" spans="1:13" x14ac:dyDescent="0.3">
      <c r="A372" s="37">
        <v>53</v>
      </c>
      <c r="B372" s="38" t="s">
        <v>173</v>
      </c>
      <c r="C372" s="39">
        <v>7896658017247</v>
      </c>
      <c r="D372" s="40" t="s">
        <v>86</v>
      </c>
      <c r="E372" s="40"/>
      <c r="F372" s="38">
        <v>54</v>
      </c>
      <c r="G372" s="38"/>
      <c r="H372" s="38" t="s">
        <v>174</v>
      </c>
      <c r="I372" s="38" t="s">
        <v>88</v>
      </c>
      <c r="J372" s="38">
        <v>3</v>
      </c>
      <c r="K372" s="41">
        <v>0.5</v>
      </c>
      <c r="L372" s="38" t="s">
        <v>89</v>
      </c>
      <c r="M372" s="42" t="s">
        <v>90</v>
      </c>
    </row>
    <row r="373" spans="1:13" x14ac:dyDescent="0.3">
      <c r="A373" s="37">
        <v>53</v>
      </c>
      <c r="B373" s="38" t="s">
        <v>173</v>
      </c>
      <c r="C373" s="39">
        <v>7896658017247</v>
      </c>
      <c r="D373" s="40" t="s">
        <v>86</v>
      </c>
      <c r="E373" s="40"/>
      <c r="F373" s="38">
        <v>203</v>
      </c>
      <c r="G373" s="38"/>
      <c r="H373" s="38" t="s">
        <v>174</v>
      </c>
      <c r="I373" s="38" t="s">
        <v>88</v>
      </c>
      <c r="J373" s="38">
        <v>3</v>
      </c>
      <c r="K373" s="41">
        <v>0.5</v>
      </c>
      <c r="L373" s="38" t="s">
        <v>89</v>
      </c>
      <c r="M373" s="42" t="s">
        <v>90</v>
      </c>
    </row>
    <row r="374" spans="1:13" x14ac:dyDescent="0.3">
      <c r="A374" s="37">
        <v>53</v>
      </c>
      <c r="B374" s="38" t="s">
        <v>175</v>
      </c>
      <c r="C374" s="39">
        <v>7896658018084</v>
      </c>
      <c r="D374" s="40" t="s">
        <v>86</v>
      </c>
      <c r="E374" s="40"/>
      <c r="F374" s="38">
        <v>286</v>
      </c>
      <c r="G374" s="38"/>
      <c r="H374" s="38" t="s">
        <v>149</v>
      </c>
      <c r="I374" s="38" t="s">
        <v>150</v>
      </c>
      <c r="J374" s="38">
        <v>2</v>
      </c>
      <c r="K374" s="41" t="s">
        <v>151</v>
      </c>
      <c r="L374" s="38" t="s">
        <v>114</v>
      </c>
      <c r="M374" s="42" t="s">
        <v>90</v>
      </c>
    </row>
    <row r="375" spans="1:13" x14ac:dyDescent="0.3">
      <c r="A375" s="37">
        <v>53</v>
      </c>
      <c r="B375" s="38" t="s">
        <v>175</v>
      </c>
      <c r="C375" s="39">
        <v>7896658018084</v>
      </c>
      <c r="D375" s="40" t="s">
        <v>86</v>
      </c>
      <c r="E375" s="40"/>
      <c r="F375" s="38">
        <v>286</v>
      </c>
      <c r="G375" s="38"/>
      <c r="H375" s="38" t="s">
        <v>149</v>
      </c>
      <c r="I375" s="38" t="s">
        <v>150</v>
      </c>
      <c r="J375" s="38">
        <v>2</v>
      </c>
      <c r="K375" s="41" t="s">
        <v>151</v>
      </c>
      <c r="L375" s="38" t="s">
        <v>152</v>
      </c>
      <c r="M375" s="42" t="s">
        <v>90</v>
      </c>
    </row>
    <row r="376" spans="1:13" x14ac:dyDescent="0.3">
      <c r="A376" s="37">
        <v>53</v>
      </c>
      <c r="B376" s="38" t="s">
        <v>175</v>
      </c>
      <c r="C376" s="39">
        <v>7896658018084</v>
      </c>
      <c r="D376" s="40" t="s">
        <v>86</v>
      </c>
      <c r="E376" s="40"/>
      <c r="F376" s="38">
        <v>286</v>
      </c>
      <c r="G376" s="38"/>
      <c r="H376" s="38" t="s">
        <v>149</v>
      </c>
      <c r="I376" s="38" t="s">
        <v>150</v>
      </c>
      <c r="J376" s="38">
        <v>2</v>
      </c>
      <c r="K376" s="41">
        <v>0</v>
      </c>
      <c r="L376" s="38" t="s">
        <v>89</v>
      </c>
      <c r="M376" s="42" t="s">
        <v>90</v>
      </c>
    </row>
    <row r="377" spans="1:13" x14ac:dyDescent="0.3">
      <c r="A377" s="37">
        <v>53</v>
      </c>
      <c r="B377" s="38" t="s">
        <v>175</v>
      </c>
      <c r="C377" s="39">
        <v>7896658018084</v>
      </c>
      <c r="D377" s="40" t="s">
        <v>86</v>
      </c>
      <c r="E377" s="40"/>
      <c r="F377" s="38">
        <v>871</v>
      </c>
      <c r="G377" s="38"/>
      <c r="H377" s="38" t="s">
        <v>176</v>
      </c>
      <c r="I377" s="38" t="s">
        <v>154</v>
      </c>
      <c r="J377" s="38">
        <v>3</v>
      </c>
      <c r="K377" s="41" t="s">
        <v>155</v>
      </c>
      <c r="L377" s="38" t="s">
        <v>89</v>
      </c>
      <c r="M377" s="42" t="s">
        <v>90</v>
      </c>
    </row>
    <row r="378" spans="1:13" x14ac:dyDescent="0.3">
      <c r="A378" s="37">
        <v>53</v>
      </c>
      <c r="B378" s="38" t="s">
        <v>175</v>
      </c>
      <c r="C378" s="39">
        <v>7896658018084</v>
      </c>
      <c r="D378" s="40" t="s">
        <v>86</v>
      </c>
      <c r="E378" s="40"/>
      <c r="F378" s="38">
        <v>876</v>
      </c>
      <c r="G378" s="38"/>
      <c r="H378" s="38" t="s">
        <v>177</v>
      </c>
      <c r="I378" s="38" t="s">
        <v>154</v>
      </c>
      <c r="J378" s="38">
        <v>3</v>
      </c>
      <c r="K378" s="41" t="s">
        <v>155</v>
      </c>
      <c r="L378" s="38" t="s">
        <v>89</v>
      </c>
      <c r="M378" s="42" t="s">
        <v>90</v>
      </c>
    </row>
    <row r="379" spans="1:13" x14ac:dyDescent="0.3">
      <c r="A379" s="37">
        <v>53</v>
      </c>
      <c r="B379" s="38" t="s">
        <v>178</v>
      </c>
      <c r="C379" s="39">
        <v>7896658018091</v>
      </c>
      <c r="D379" s="40" t="s">
        <v>86</v>
      </c>
      <c r="E379" s="40"/>
      <c r="F379" s="38">
        <v>286</v>
      </c>
      <c r="G379" s="38"/>
      <c r="H379" s="38" t="s">
        <v>149</v>
      </c>
      <c r="I379" s="38" t="s">
        <v>150</v>
      </c>
      <c r="J379" s="38">
        <v>2</v>
      </c>
      <c r="K379" s="41" t="s">
        <v>151</v>
      </c>
      <c r="L379" s="38" t="s">
        <v>114</v>
      </c>
      <c r="M379" s="42" t="s">
        <v>90</v>
      </c>
    </row>
    <row r="380" spans="1:13" x14ac:dyDescent="0.3">
      <c r="A380" s="37">
        <v>53</v>
      </c>
      <c r="B380" s="38" t="s">
        <v>178</v>
      </c>
      <c r="C380" s="39">
        <v>7896658018091</v>
      </c>
      <c r="D380" s="40" t="s">
        <v>86</v>
      </c>
      <c r="E380" s="40"/>
      <c r="F380" s="38">
        <v>286</v>
      </c>
      <c r="G380" s="38"/>
      <c r="H380" s="38" t="s">
        <v>149</v>
      </c>
      <c r="I380" s="38" t="s">
        <v>150</v>
      </c>
      <c r="J380" s="38">
        <v>2</v>
      </c>
      <c r="K380" s="41" t="s">
        <v>151</v>
      </c>
      <c r="L380" s="38" t="s">
        <v>152</v>
      </c>
      <c r="M380" s="42" t="s">
        <v>90</v>
      </c>
    </row>
    <row r="381" spans="1:13" x14ac:dyDescent="0.3">
      <c r="A381" s="37">
        <v>53</v>
      </c>
      <c r="B381" s="38" t="s">
        <v>178</v>
      </c>
      <c r="C381" s="39">
        <v>7896658018091</v>
      </c>
      <c r="D381" s="40" t="s">
        <v>86</v>
      </c>
      <c r="E381" s="40"/>
      <c r="F381" s="38">
        <v>286</v>
      </c>
      <c r="G381" s="38"/>
      <c r="H381" s="38" t="s">
        <v>149</v>
      </c>
      <c r="I381" s="38" t="s">
        <v>150</v>
      </c>
      <c r="J381" s="38">
        <v>2</v>
      </c>
      <c r="K381" s="41">
        <v>0</v>
      </c>
      <c r="L381" s="38" t="s">
        <v>89</v>
      </c>
      <c r="M381" s="42" t="s">
        <v>90</v>
      </c>
    </row>
    <row r="382" spans="1:13" x14ac:dyDescent="0.3">
      <c r="A382" s="37">
        <v>53</v>
      </c>
      <c r="B382" s="38" t="s">
        <v>179</v>
      </c>
      <c r="C382" s="39">
        <v>7896658018121</v>
      </c>
      <c r="D382" s="40" t="s">
        <v>86</v>
      </c>
      <c r="E382" s="40"/>
      <c r="F382" s="38">
        <v>286</v>
      </c>
      <c r="G382" s="38"/>
      <c r="H382" s="38" t="s">
        <v>149</v>
      </c>
      <c r="I382" s="38" t="s">
        <v>150</v>
      </c>
      <c r="J382" s="38">
        <v>2</v>
      </c>
      <c r="K382" s="41" t="s">
        <v>151</v>
      </c>
      <c r="L382" s="38" t="s">
        <v>114</v>
      </c>
      <c r="M382" s="42" t="s">
        <v>90</v>
      </c>
    </row>
    <row r="383" spans="1:13" x14ac:dyDescent="0.3">
      <c r="A383" s="37">
        <v>53</v>
      </c>
      <c r="B383" s="38" t="s">
        <v>179</v>
      </c>
      <c r="C383" s="39">
        <v>7896658018121</v>
      </c>
      <c r="D383" s="40" t="s">
        <v>86</v>
      </c>
      <c r="E383" s="40"/>
      <c r="F383" s="38">
        <v>286</v>
      </c>
      <c r="G383" s="38"/>
      <c r="H383" s="38" t="s">
        <v>149</v>
      </c>
      <c r="I383" s="38" t="s">
        <v>150</v>
      </c>
      <c r="J383" s="38">
        <v>2</v>
      </c>
      <c r="K383" s="41" t="s">
        <v>151</v>
      </c>
      <c r="L383" s="38" t="s">
        <v>152</v>
      </c>
      <c r="M383" s="42" t="s">
        <v>90</v>
      </c>
    </row>
    <row r="384" spans="1:13" x14ac:dyDescent="0.3">
      <c r="A384" s="37">
        <v>53</v>
      </c>
      <c r="B384" s="38" t="s">
        <v>179</v>
      </c>
      <c r="C384" s="39">
        <v>7896658018121</v>
      </c>
      <c r="D384" s="40" t="s">
        <v>86</v>
      </c>
      <c r="E384" s="40"/>
      <c r="F384" s="38">
        <v>286</v>
      </c>
      <c r="G384" s="38"/>
      <c r="H384" s="38" t="s">
        <v>149</v>
      </c>
      <c r="I384" s="38" t="s">
        <v>150</v>
      </c>
      <c r="J384" s="38">
        <v>2</v>
      </c>
      <c r="K384" s="41">
        <v>0</v>
      </c>
      <c r="L384" s="38" t="s">
        <v>89</v>
      </c>
      <c r="M384" s="42" t="s">
        <v>90</v>
      </c>
    </row>
    <row r="385" spans="1:13" x14ac:dyDescent="0.3">
      <c r="A385" s="37">
        <v>53</v>
      </c>
      <c r="B385" s="38" t="s">
        <v>179</v>
      </c>
      <c r="C385" s="39">
        <v>7896658018121</v>
      </c>
      <c r="D385" s="40" t="s">
        <v>86</v>
      </c>
      <c r="E385" s="40"/>
      <c r="F385" s="38">
        <v>872</v>
      </c>
      <c r="G385" s="38"/>
      <c r="H385" s="38" t="s">
        <v>180</v>
      </c>
      <c r="I385" s="38" t="s">
        <v>154</v>
      </c>
      <c r="J385" s="38">
        <v>3</v>
      </c>
      <c r="K385" s="41" t="s">
        <v>155</v>
      </c>
      <c r="L385" s="38" t="s">
        <v>89</v>
      </c>
      <c r="M385" s="42" t="s">
        <v>90</v>
      </c>
    </row>
    <row r="386" spans="1:13" x14ac:dyDescent="0.3">
      <c r="A386" s="37">
        <v>53</v>
      </c>
      <c r="B386" s="38" t="s">
        <v>179</v>
      </c>
      <c r="C386" s="39">
        <v>7896658018121</v>
      </c>
      <c r="D386" s="40" t="s">
        <v>86</v>
      </c>
      <c r="E386" s="40"/>
      <c r="F386" s="38">
        <v>877</v>
      </c>
      <c r="G386" s="38"/>
      <c r="H386" s="38" t="s">
        <v>181</v>
      </c>
      <c r="I386" s="38" t="s">
        <v>154</v>
      </c>
      <c r="J386" s="38">
        <v>3</v>
      </c>
      <c r="K386" s="41" t="s">
        <v>155</v>
      </c>
      <c r="L386" s="38" t="s">
        <v>89</v>
      </c>
      <c r="M386" s="42" t="s">
        <v>90</v>
      </c>
    </row>
    <row r="387" spans="1:13" x14ac:dyDescent="0.3">
      <c r="A387" s="37">
        <v>53</v>
      </c>
      <c r="B387" s="38" t="s">
        <v>182</v>
      </c>
      <c r="C387" s="39">
        <v>7896658019036</v>
      </c>
      <c r="D387" s="40" t="s">
        <v>86</v>
      </c>
      <c r="E387" s="40"/>
      <c r="F387" s="38">
        <v>51</v>
      </c>
      <c r="G387" s="38"/>
      <c r="H387" s="38" t="s">
        <v>183</v>
      </c>
      <c r="I387" s="38" t="s">
        <v>88</v>
      </c>
      <c r="J387" s="38">
        <v>3</v>
      </c>
      <c r="K387" s="41">
        <v>0.37</v>
      </c>
      <c r="L387" s="38" t="s">
        <v>94</v>
      </c>
      <c r="M387" s="42" t="s">
        <v>90</v>
      </c>
    </row>
    <row r="388" spans="1:13" x14ac:dyDescent="0.3">
      <c r="A388" s="37">
        <v>53</v>
      </c>
      <c r="B388" s="38" t="s">
        <v>182</v>
      </c>
      <c r="C388" s="39">
        <v>7896658019036</v>
      </c>
      <c r="D388" s="40" t="s">
        <v>86</v>
      </c>
      <c r="E388" s="40"/>
      <c r="F388" s="38">
        <v>51</v>
      </c>
      <c r="G388" s="38"/>
      <c r="H388" s="38" t="s">
        <v>183</v>
      </c>
      <c r="I388" s="38" t="s">
        <v>88</v>
      </c>
      <c r="J388" s="38">
        <v>3</v>
      </c>
      <c r="K388" s="41">
        <v>0.36</v>
      </c>
      <c r="L388" s="38" t="s">
        <v>95</v>
      </c>
      <c r="M388" s="42" t="s">
        <v>90</v>
      </c>
    </row>
    <row r="389" spans="1:13" x14ac:dyDescent="0.3">
      <c r="A389" s="37">
        <v>53</v>
      </c>
      <c r="B389" s="38" t="s">
        <v>182</v>
      </c>
      <c r="C389" s="39">
        <v>7896658019036</v>
      </c>
      <c r="D389" s="40" t="s">
        <v>86</v>
      </c>
      <c r="E389" s="40"/>
      <c r="F389" s="38">
        <v>51</v>
      </c>
      <c r="G389" s="38"/>
      <c r="H389" s="38" t="s">
        <v>183</v>
      </c>
      <c r="I389" s="38" t="s">
        <v>88</v>
      </c>
      <c r="J389" s="38">
        <v>3</v>
      </c>
      <c r="K389" s="41">
        <v>0.43</v>
      </c>
      <c r="L389" s="38" t="s">
        <v>89</v>
      </c>
      <c r="M389" s="42" t="s">
        <v>90</v>
      </c>
    </row>
    <row r="390" spans="1:13" x14ac:dyDescent="0.3">
      <c r="A390" s="37">
        <v>53</v>
      </c>
      <c r="B390" s="38" t="s">
        <v>182</v>
      </c>
      <c r="C390" s="39">
        <v>7896658019036</v>
      </c>
      <c r="D390" s="40" t="s">
        <v>86</v>
      </c>
      <c r="E390" s="40"/>
      <c r="F390" s="38">
        <v>202</v>
      </c>
      <c r="G390" s="38"/>
      <c r="H390" s="38" t="s">
        <v>183</v>
      </c>
      <c r="I390" s="38" t="s">
        <v>88</v>
      </c>
      <c r="J390" s="38">
        <v>3</v>
      </c>
      <c r="K390" s="41">
        <v>0.37</v>
      </c>
      <c r="L390" s="38" t="s">
        <v>94</v>
      </c>
      <c r="M390" s="42" t="s">
        <v>90</v>
      </c>
    </row>
    <row r="391" spans="1:13" x14ac:dyDescent="0.3">
      <c r="A391" s="37">
        <v>53</v>
      </c>
      <c r="B391" s="38" t="s">
        <v>182</v>
      </c>
      <c r="C391" s="39">
        <v>7896658019036</v>
      </c>
      <c r="D391" s="40" t="s">
        <v>86</v>
      </c>
      <c r="E391" s="40"/>
      <c r="F391" s="38">
        <v>202</v>
      </c>
      <c r="G391" s="38"/>
      <c r="H391" s="38" t="s">
        <v>183</v>
      </c>
      <c r="I391" s="38" t="s">
        <v>88</v>
      </c>
      <c r="J391" s="38">
        <v>3</v>
      </c>
      <c r="K391" s="41">
        <v>0.36</v>
      </c>
      <c r="L391" s="38" t="s">
        <v>95</v>
      </c>
      <c r="M391" s="42" t="s">
        <v>90</v>
      </c>
    </row>
    <row r="392" spans="1:13" x14ac:dyDescent="0.3">
      <c r="A392" s="37">
        <v>53</v>
      </c>
      <c r="B392" s="38" t="s">
        <v>182</v>
      </c>
      <c r="C392" s="39">
        <v>7896658019036</v>
      </c>
      <c r="D392" s="40" t="s">
        <v>86</v>
      </c>
      <c r="E392" s="40"/>
      <c r="F392" s="38">
        <v>202</v>
      </c>
      <c r="G392" s="38"/>
      <c r="H392" s="38" t="s">
        <v>183</v>
      </c>
      <c r="I392" s="38" t="s">
        <v>88</v>
      </c>
      <c r="J392" s="38">
        <v>3</v>
      </c>
      <c r="K392" s="41">
        <v>0.43</v>
      </c>
      <c r="L392" s="38" t="s">
        <v>89</v>
      </c>
      <c r="M392" s="42" t="s">
        <v>90</v>
      </c>
    </row>
    <row r="393" spans="1:13" x14ac:dyDescent="0.3">
      <c r="A393" s="37">
        <v>53</v>
      </c>
      <c r="B393" s="38" t="s">
        <v>184</v>
      </c>
      <c r="C393" s="39">
        <v>7896658020049</v>
      </c>
      <c r="D393" s="40" t="s">
        <v>86</v>
      </c>
      <c r="E393" s="40"/>
      <c r="F393" s="38">
        <v>926</v>
      </c>
      <c r="G393" s="38"/>
      <c r="H393" s="38" t="s">
        <v>185</v>
      </c>
      <c r="I393" s="38" t="s">
        <v>88</v>
      </c>
      <c r="J393" s="38">
        <v>3</v>
      </c>
      <c r="K393" s="41">
        <v>0.1</v>
      </c>
      <c r="L393" s="38" t="s">
        <v>89</v>
      </c>
      <c r="M393" s="42" t="s">
        <v>90</v>
      </c>
    </row>
    <row r="394" spans="1:13" x14ac:dyDescent="0.3">
      <c r="A394" s="37">
        <v>53</v>
      </c>
      <c r="B394" s="38" t="s">
        <v>186</v>
      </c>
      <c r="C394" s="39">
        <v>7896658020575</v>
      </c>
      <c r="D394" s="40" t="s">
        <v>86</v>
      </c>
      <c r="E394" s="40"/>
      <c r="F394" s="38">
        <v>286</v>
      </c>
      <c r="G394" s="38"/>
      <c r="H394" s="38" t="s">
        <v>149</v>
      </c>
      <c r="I394" s="38" t="s">
        <v>150</v>
      </c>
      <c r="J394" s="38">
        <v>2</v>
      </c>
      <c r="K394" s="41" t="s">
        <v>151</v>
      </c>
      <c r="L394" s="38" t="s">
        <v>114</v>
      </c>
      <c r="M394" s="42" t="s">
        <v>90</v>
      </c>
    </row>
    <row r="395" spans="1:13" x14ac:dyDescent="0.3">
      <c r="A395" s="37">
        <v>53</v>
      </c>
      <c r="B395" s="38" t="s">
        <v>186</v>
      </c>
      <c r="C395" s="39">
        <v>7896658020575</v>
      </c>
      <c r="D395" s="40" t="s">
        <v>86</v>
      </c>
      <c r="E395" s="40"/>
      <c r="F395" s="38">
        <v>286</v>
      </c>
      <c r="G395" s="38"/>
      <c r="H395" s="38" t="s">
        <v>149</v>
      </c>
      <c r="I395" s="38" t="s">
        <v>150</v>
      </c>
      <c r="J395" s="38">
        <v>2</v>
      </c>
      <c r="K395" s="41" t="s">
        <v>151</v>
      </c>
      <c r="L395" s="38" t="s">
        <v>152</v>
      </c>
      <c r="M395" s="42" t="s">
        <v>90</v>
      </c>
    </row>
    <row r="396" spans="1:13" x14ac:dyDescent="0.3">
      <c r="A396" s="37">
        <v>53</v>
      </c>
      <c r="B396" s="38" t="s">
        <v>186</v>
      </c>
      <c r="C396" s="39">
        <v>7896658020575</v>
      </c>
      <c r="D396" s="40" t="s">
        <v>86</v>
      </c>
      <c r="E396" s="40"/>
      <c r="F396" s="38">
        <v>286</v>
      </c>
      <c r="G396" s="38"/>
      <c r="H396" s="38" t="s">
        <v>149</v>
      </c>
      <c r="I396" s="38" t="s">
        <v>150</v>
      </c>
      <c r="J396" s="38">
        <v>2</v>
      </c>
      <c r="K396" s="41">
        <v>0</v>
      </c>
      <c r="L396" s="38" t="s">
        <v>89</v>
      </c>
      <c r="M396" s="42" t="s">
        <v>90</v>
      </c>
    </row>
    <row r="397" spans="1:13" x14ac:dyDescent="0.3">
      <c r="A397" s="37">
        <v>53</v>
      </c>
      <c r="B397" s="38" t="s">
        <v>186</v>
      </c>
      <c r="C397" s="39">
        <v>7896658020575</v>
      </c>
      <c r="D397" s="40" t="s">
        <v>86</v>
      </c>
      <c r="E397" s="40"/>
      <c r="F397" s="38">
        <v>873</v>
      </c>
      <c r="G397" s="38"/>
      <c r="H397" s="38" t="s">
        <v>187</v>
      </c>
      <c r="I397" s="38" t="s">
        <v>154</v>
      </c>
      <c r="J397" s="38">
        <v>3</v>
      </c>
      <c r="K397" s="41" t="s">
        <v>155</v>
      </c>
      <c r="L397" s="38" t="s">
        <v>89</v>
      </c>
      <c r="M397" s="42" t="s">
        <v>90</v>
      </c>
    </row>
    <row r="398" spans="1:13" x14ac:dyDescent="0.3">
      <c r="A398" s="37">
        <v>53</v>
      </c>
      <c r="B398" s="38" t="s">
        <v>186</v>
      </c>
      <c r="C398" s="39">
        <v>7896658020575</v>
      </c>
      <c r="D398" s="40" t="s">
        <v>86</v>
      </c>
      <c r="E398" s="40"/>
      <c r="F398" s="38">
        <v>878</v>
      </c>
      <c r="G398" s="38"/>
      <c r="H398" s="38" t="s">
        <v>188</v>
      </c>
      <c r="I398" s="38" t="s">
        <v>154</v>
      </c>
      <c r="J398" s="38">
        <v>3</v>
      </c>
      <c r="K398" s="41" t="s">
        <v>155</v>
      </c>
      <c r="L398" s="38" t="s">
        <v>89</v>
      </c>
      <c r="M398" s="42" t="s">
        <v>90</v>
      </c>
    </row>
    <row r="399" spans="1:13" x14ac:dyDescent="0.3">
      <c r="A399" s="37">
        <v>53</v>
      </c>
      <c r="B399" s="38" t="s">
        <v>189</v>
      </c>
      <c r="C399" s="39">
        <v>7896658020582</v>
      </c>
      <c r="D399" s="40" t="s">
        <v>86</v>
      </c>
      <c r="E399" s="40"/>
      <c r="F399" s="38">
        <v>286</v>
      </c>
      <c r="G399" s="38"/>
      <c r="H399" s="38" t="s">
        <v>149</v>
      </c>
      <c r="I399" s="38" t="s">
        <v>150</v>
      </c>
      <c r="J399" s="38">
        <v>2</v>
      </c>
      <c r="K399" s="41" t="s">
        <v>151</v>
      </c>
      <c r="L399" s="38" t="s">
        <v>114</v>
      </c>
      <c r="M399" s="42" t="s">
        <v>90</v>
      </c>
    </row>
    <row r="400" spans="1:13" x14ac:dyDescent="0.3">
      <c r="A400" s="37">
        <v>53</v>
      </c>
      <c r="B400" s="38" t="s">
        <v>189</v>
      </c>
      <c r="C400" s="39">
        <v>7896658020582</v>
      </c>
      <c r="D400" s="40" t="s">
        <v>86</v>
      </c>
      <c r="E400" s="40"/>
      <c r="F400" s="38">
        <v>286</v>
      </c>
      <c r="G400" s="38"/>
      <c r="H400" s="38" t="s">
        <v>149</v>
      </c>
      <c r="I400" s="38" t="s">
        <v>150</v>
      </c>
      <c r="J400" s="38">
        <v>2</v>
      </c>
      <c r="K400" s="41" t="s">
        <v>151</v>
      </c>
      <c r="L400" s="38" t="s">
        <v>152</v>
      </c>
      <c r="M400" s="42" t="s">
        <v>90</v>
      </c>
    </row>
    <row r="401" spans="1:13" x14ac:dyDescent="0.3">
      <c r="A401" s="37">
        <v>53</v>
      </c>
      <c r="B401" s="38" t="s">
        <v>189</v>
      </c>
      <c r="C401" s="39">
        <v>7896658020582</v>
      </c>
      <c r="D401" s="40" t="s">
        <v>86</v>
      </c>
      <c r="E401" s="40"/>
      <c r="F401" s="38">
        <v>286</v>
      </c>
      <c r="G401" s="38"/>
      <c r="H401" s="38" t="s">
        <v>149</v>
      </c>
      <c r="I401" s="38" t="s">
        <v>150</v>
      </c>
      <c r="J401" s="38">
        <v>2</v>
      </c>
      <c r="K401" s="41">
        <v>0</v>
      </c>
      <c r="L401" s="38" t="s">
        <v>89</v>
      </c>
      <c r="M401" s="42" t="s">
        <v>90</v>
      </c>
    </row>
    <row r="402" spans="1:13" x14ac:dyDescent="0.3">
      <c r="A402" s="37">
        <v>53</v>
      </c>
      <c r="B402" s="38" t="s">
        <v>190</v>
      </c>
      <c r="C402" s="39">
        <v>7896658020988</v>
      </c>
      <c r="D402" s="40" t="s">
        <v>86</v>
      </c>
      <c r="E402" s="40"/>
      <c r="F402" s="38">
        <v>961</v>
      </c>
      <c r="G402" s="38"/>
      <c r="H402" s="38" t="s">
        <v>191</v>
      </c>
      <c r="I402" s="38" t="s">
        <v>88</v>
      </c>
      <c r="J402" s="38">
        <v>3</v>
      </c>
      <c r="K402" s="41">
        <v>0.2</v>
      </c>
      <c r="L402" s="38" t="s">
        <v>89</v>
      </c>
      <c r="M402" s="42" t="s">
        <v>90</v>
      </c>
    </row>
    <row r="403" spans="1:13" x14ac:dyDescent="0.3">
      <c r="A403" s="37">
        <v>53</v>
      </c>
      <c r="B403" s="38" t="s">
        <v>192</v>
      </c>
      <c r="C403" s="39">
        <v>7896658020995</v>
      </c>
      <c r="D403" s="40" t="s">
        <v>86</v>
      </c>
      <c r="E403" s="40"/>
      <c r="F403" s="38">
        <v>961</v>
      </c>
      <c r="G403" s="38"/>
      <c r="H403" s="38" t="s">
        <v>191</v>
      </c>
      <c r="I403" s="38" t="s">
        <v>88</v>
      </c>
      <c r="J403" s="38">
        <v>3</v>
      </c>
      <c r="K403" s="41">
        <v>0.35</v>
      </c>
      <c r="L403" s="38" t="s">
        <v>89</v>
      </c>
      <c r="M403" s="42" t="s">
        <v>90</v>
      </c>
    </row>
    <row r="404" spans="1:13" x14ac:dyDescent="0.3">
      <c r="A404" s="37">
        <v>53</v>
      </c>
      <c r="B404" s="38" t="s">
        <v>193</v>
      </c>
      <c r="C404" s="39">
        <v>7896658021268</v>
      </c>
      <c r="D404" s="40" t="s">
        <v>86</v>
      </c>
      <c r="E404" s="40"/>
      <c r="F404" s="38">
        <v>29</v>
      </c>
      <c r="G404" s="38"/>
      <c r="H404" s="38" t="s">
        <v>142</v>
      </c>
      <c r="I404" s="38" t="s">
        <v>88</v>
      </c>
      <c r="J404" s="38">
        <v>4</v>
      </c>
      <c r="K404" s="41">
        <v>0.26</v>
      </c>
      <c r="L404" s="38" t="s">
        <v>94</v>
      </c>
      <c r="M404" s="42" t="s">
        <v>90</v>
      </c>
    </row>
    <row r="405" spans="1:13" x14ac:dyDescent="0.3">
      <c r="A405" s="37">
        <v>53</v>
      </c>
      <c r="B405" s="38" t="s">
        <v>193</v>
      </c>
      <c r="C405" s="39">
        <v>7896658021268</v>
      </c>
      <c r="D405" s="40" t="s">
        <v>86</v>
      </c>
      <c r="E405" s="40"/>
      <c r="F405" s="38">
        <v>29</v>
      </c>
      <c r="G405" s="38"/>
      <c r="H405" s="38" t="s">
        <v>142</v>
      </c>
      <c r="I405" s="38" t="s">
        <v>88</v>
      </c>
      <c r="J405" s="38">
        <v>4</v>
      </c>
      <c r="K405" s="41">
        <v>0.26</v>
      </c>
      <c r="L405" s="38" t="s">
        <v>95</v>
      </c>
      <c r="M405" s="42" t="s">
        <v>90</v>
      </c>
    </row>
    <row r="406" spans="1:13" x14ac:dyDescent="0.3">
      <c r="A406" s="37">
        <v>53</v>
      </c>
      <c r="B406" s="38" t="s">
        <v>193</v>
      </c>
      <c r="C406" s="39">
        <v>7896658021268</v>
      </c>
      <c r="D406" s="40" t="s">
        <v>86</v>
      </c>
      <c r="E406" s="40"/>
      <c r="F406" s="38">
        <v>29</v>
      </c>
      <c r="G406" s="38"/>
      <c r="H406" s="38" t="s">
        <v>142</v>
      </c>
      <c r="I406" s="38" t="s">
        <v>88</v>
      </c>
      <c r="J406" s="38">
        <v>4</v>
      </c>
      <c r="K406" s="41">
        <v>0.3</v>
      </c>
      <c r="L406" s="38" t="s">
        <v>89</v>
      </c>
      <c r="M406" s="42" t="s">
        <v>90</v>
      </c>
    </row>
    <row r="407" spans="1:13" x14ac:dyDescent="0.3">
      <c r="A407" s="37">
        <v>53</v>
      </c>
      <c r="B407" s="38" t="s">
        <v>193</v>
      </c>
      <c r="C407" s="39">
        <v>7896658021268</v>
      </c>
      <c r="D407" s="40" t="s">
        <v>86</v>
      </c>
      <c r="E407" s="40"/>
      <c r="F407" s="38">
        <v>45</v>
      </c>
      <c r="G407" s="38"/>
      <c r="H407" s="38" t="s">
        <v>143</v>
      </c>
      <c r="I407" s="38" t="s">
        <v>88</v>
      </c>
      <c r="J407" s="38">
        <v>4</v>
      </c>
      <c r="K407" s="41">
        <v>0.26</v>
      </c>
      <c r="L407" s="38" t="s">
        <v>94</v>
      </c>
      <c r="M407" s="42" t="s">
        <v>90</v>
      </c>
    </row>
    <row r="408" spans="1:13" x14ac:dyDescent="0.3">
      <c r="A408" s="37">
        <v>53</v>
      </c>
      <c r="B408" s="38" t="s">
        <v>193</v>
      </c>
      <c r="C408" s="39">
        <v>7896658021268</v>
      </c>
      <c r="D408" s="40" t="s">
        <v>86</v>
      </c>
      <c r="E408" s="40"/>
      <c r="F408" s="38">
        <v>45</v>
      </c>
      <c r="G408" s="38"/>
      <c r="H408" s="38" t="s">
        <v>143</v>
      </c>
      <c r="I408" s="38" t="s">
        <v>88</v>
      </c>
      <c r="J408" s="38">
        <v>4</v>
      </c>
      <c r="K408" s="41">
        <v>0.26</v>
      </c>
      <c r="L408" s="38" t="s">
        <v>95</v>
      </c>
      <c r="M408" s="42" t="s">
        <v>90</v>
      </c>
    </row>
    <row r="409" spans="1:13" x14ac:dyDescent="0.3">
      <c r="A409" s="37">
        <v>53</v>
      </c>
      <c r="B409" s="38" t="s">
        <v>193</v>
      </c>
      <c r="C409" s="39">
        <v>7896658021268</v>
      </c>
      <c r="D409" s="40" t="s">
        <v>86</v>
      </c>
      <c r="E409" s="40"/>
      <c r="F409" s="38">
        <v>45</v>
      </c>
      <c r="G409" s="38"/>
      <c r="H409" s="38" t="s">
        <v>143</v>
      </c>
      <c r="I409" s="38" t="s">
        <v>88</v>
      </c>
      <c r="J409" s="38">
        <v>4</v>
      </c>
      <c r="K409" s="41">
        <v>0.3</v>
      </c>
      <c r="L409" s="38" t="s">
        <v>89</v>
      </c>
      <c r="M409" s="42" t="s">
        <v>90</v>
      </c>
    </row>
    <row r="410" spans="1:13" x14ac:dyDescent="0.3">
      <c r="A410" s="37">
        <v>53</v>
      </c>
      <c r="B410" s="38" t="s">
        <v>193</v>
      </c>
      <c r="C410" s="39">
        <v>7896658021268</v>
      </c>
      <c r="D410" s="40" t="s">
        <v>86</v>
      </c>
      <c r="E410" s="40"/>
      <c r="F410" s="38">
        <v>205</v>
      </c>
      <c r="G410" s="38"/>
      <c r="H410" s="38" t="s">
        <v>143</v>
      </c>
      <c r="I410" s="38" t="s">
        <v>88</v>
      </c>
      <c r="J410" s="38">
        <v>4</v>
      </c>
      <c r="K410" s="41">
        <v>0.26</v>
      </c>
      <c r="L410" s="38" t="s">
        <v>94</v>
      </c>
      <c r="M410" s="42" t="s">
        <v>90</v>
      </c>
    </row>
    <row r="411" spans="1:13" x14ac:dyDescent="0.3">
      <c r="A411" s="37">
        <v>53</v>
      </c>
      <c r="B411" s="38" t="s">
        <v>193</v>
      </c>
      <c r="C411" s="39">
        <v>7896658021268</v>
      </c>
      <c r="D411" s="40" t="s">
        <v>86</v>
      </c>
      <c r="E411" s="40"/>
      <c r="F411" s="38">
        <v>205</v>
      </c>
      <c r="G411" s="38"/>
      <c r="H411" s="38" t="s">
        <v>143</v>
      </c>
      <c r="I411" s="38" t="s">
        <v>88</v>
      </c>
      <c r="J411" s="38">
        <v>4</v>
      </c>
      <c r="K411" s="41">
        <v>0.26</v>
      </c>
      <c r="L411" s="38" t="s">
        <v>95</v>
      </c>
      <c r="M411" s="42" t="s">
        <v>90</v>
      </c>
    </row>
    <row r="412" spans="1:13" x14ac:dyDescent="0.3">
      <c r="A412" s="37">
        <v>53</v>
      </c>
      <c r="B412" s="38" t="s">
        <v>193</v>
      </c>
      <c r="C412" s="39">
        <v>7896658021268</v>
      </c>
      <c r="D412" s="40" t="s">
        <v>86</v>
      </c>
      <c r="E412" s="40"/>
      <c r="F412" s="38">
        <v>205</v>
      </c>
      <c r="G412" s="38"/>
      <c r="H412" s="38" t="s">
        <v>143</v>
      </c>
      <c r="I412" s="38" t="s">
        <v>88</v>
      </c>
      <c r="J412" s="38">
        <v>4</v>
      </c>
      <c r="K412" s="41">
        <v>0.3</v>
      </c>
      <c r="L412" s="38" t="s">
        <v>89</v>
      </c>
      <c r="M412" s="42" t="s">
        <v>90</v>
      </c>
    </row>
    <row r="413" spans="1:13" x14ac:dyDescent="0.3">
      <c r="A413" s="37">
        <v>53</v>
      </c>
      <c r="B413" s="38" t="s">
        <v>194</v>
      </c>
      <c r="C413" s="39">
        <v>7896658022869</v>
      </c>
      <c r="D413" s="40" t="s">
        <v>86</v>
      </c>
      <c r="E413" s="40"/>
      <c r="F413" s="38">
        <v>922</v>
      </c>
      <c r="G413" s="38"/>
      <c r="H413" s="38" t="s">
        <v>195</v>
      </c>
      <c r="I413" s="38" t="s">
        <v>88</v>
      </c>
      <c r="J413" s="38">
        <v>3</v>
      </c>
      <c r="K413" s="41">
        <v>0.1</v>
      </c>
      <c r="L413" s="38" t="s">
        <v>89</v>
      </c>
      <c r="M413" s="42" t="s">
        <v>90</v>
      </c>
    </row>
    <row r="414" spans="1:13" x14ac:dyDescent="0.3">
      <c r="A414" s="37">
        <v>53</v>
      </c>
      <c r="B414" s="38" t="s">
        <v>196</v>
      </c>
      <c r="C414" s="39">
        <v>7896658022951</v>
      </c>
      <c r="D414" s="40" t="s">
        <v>86</v>
      </c>
      <c r="E414" s="40"/>
      <c r="F414" s="38">
        <v>839</v>
      </c>
      <c r="G414" s="38"/>
      <c r="H414" s="38" t="s">
        <v>111</v>
      </c>
      <c r="I414" s="38" t="s">
        <v>88</v>
      </c>
      <c r="J414" s="38">
        <v>1</v>
      </c>
      <c r="K414" s="41">
        <v>0.65</v>
      </c>
      <c r="L414" s="38" t="s">
        <v>89</v>
      </c>
      <c r="M414" s="42" t="s">
        <v>90</v>
      </c>
    </row>
    <row r="415" spans="1:13" x14ac:dyDescent="0.3">
      <c r="A415" s="37">
        <v>53</v>
      </c>
      <c r="B415" s="38" t="s">
        <v>197</v>
      </c>
      <c r="C415" s="39">
        <v>7896658023101</v>
      </c>
      <c r="D415" s="40" t="s">
        <v>86</v>
      </c>
      <c r="E415" s="40"/>
      <c r="F415" s="38">
        <v>920</v>
      </c>
      <c r="G415" s="38"/>
      <c r="H415" s="38" t="s">
        <v>164</v>
      </c>
      <c r="I415" s="38" t="s">
        <v>88</v>
      </c>
      <c r="J415" s="38">
        <v>3</v>
      </c>
      <c r="K415" s="41">
        <v>0.1</v>
      </c>
      <c r="L415" s="38" t="s">
        <v>89</v>
      </c>
      <c r="M415" s="42" t="s">
        <v>90</v>
      </c>
    </row>
    <row r="416" spans="1:13" x14ac:dyDescent="0.3">
      <c r="A416" s="37">
        <v>53</v>
      </c>
      <c r="B416" s="38" t="s">
        <v>198</v>
      </c>
      <c r="C416" s="39">
        <v>7896658024627</v>
      </c>
      <c r="D416" s="40" t="s">
        <v>86</v>
      </c>
      <c r="E416" s="40"/>
      <c r="F416" s="38">
        <v>52</v>
      </c>
      <c r="G416" s="38"/>
      <c r="H416" s="38" t="s">
        <v>199</v>
      </c>
      <c r="I416" s="38" t="s">
        <v>88</v>
      </c>
      <c r="J416" s="38">
        <v>3</v>
      </c>
      <c r="K416" s="41">
        <v>0.1</v>
      </c>
      <c r="L416" s="38" t="s">
        <v>89</v>
      </c>
      <c r="M416" s="42" t="s">
        <v>90</v>
      </c>
    </row>
    <row r="417" spans="1:13" x14ac:dyDescent="0.3">
      <c r="A417" s="37">
        <v>53</v>
      </c>
      <c r="B417" s="38" t="s">
        <v>200</v>
      </c>
      <c r="C417" s="39">
        <v>7896658024672</v>
      </c>
      <c r="D417" s="40" t="s">
        <v>86</v>
      </c>
      <c r="E417" s="40"/>
      <c r="F417" s="38">
        <v>926</v>
      </c>
      <c r="G417" s="38"/>
      <c r="H417" s="38" t="s">
        <v>185</v>
      </c>
      <c r="I417" s="38" t="s">
        <v>88</v>
      </c>
      <c r="J417" s="38">
        <v>3</v>
      </c>
      <c r="K417" s="41">
        <v>0.1</v>
      </c>
      <c r="L417" s="38" t="s">
        <v>89</v>
      </c>
      <c r="M417" s="42" t="s">
        <v>90</v>
      </c>
    </row>
    <row r="418" spans="1:13" x14ac:dyDescent="0.3">
      <c r="A418" s="37">
        <v>53</v>
      </c>
      <c r="B418" s="38" t="s">
        <v>201</v>
      </c>
      <c r="C418" s="39">
        <v>7896658024689</v>
      </c>
      <c r="D418" s="40" t="s">
        <v>86</v>
      </c>
      <c r="E418" s="40"/>
      <c r="F418" s="38">
        <v>926</v>
      </c>
      <c r="G418" s="38"/>
      <c r="H418" s="38" t="s">
        <v>185</v>
      </c>
      <c r="I418" s="38" t="s">
        <v>88</v>
      </c>
      <c r="J418" s="38">
        <v>3</v>
      </c>
      <c r="K418" s="41">
        <v>0.1</v>
      </c>
      <c r="L418" s="38" t="s">
        <v>89</v>
      </c>
      <c r="M418" s="42" t="s">
        <v>90</v>
      </c>
    </row>
    <row r="419" spans="1:13" x14ac:dyDescent="0.3">
      <c r="A419" s="37">
        <v>53</v>
      </c>
      <c r="B419" s="38" t="s">
        <v>202</v>
      </c>
      <c r="C419" s="39">
        <v>7896658025327</v>
      </c>
      <c r="D419" s="40" t="s">
        <v>86</v>
      </c>
      <c r="E419" s="40"/>
      <c r="F419" s="38">
        <v>921</v>
      </c>
      <c r="G419" s="38"/>
      <c r="H419" s="38" t="s">
        <v>166</v>
      </c>
      <c r="I419" s="38" t="s">
        <v>88</v>
      </c>
      <c r="J419" s="38">
        <v>3</v>
      </c>
      <c r="K419" s="41">
        <v>0.2</v>
      </c>
      <c r="L419" s="38" t="s">
        <v>89</v>
      </c>
      <c r="M419" s="42" t="s">
        <v>90</v>
      </c>
    </row>
    <row r="420" spans="1:13" x14ac:dyDescent="0.3">
      <c r="A420" s="37">
        <v>53</v>
      </c>
      <c r="B420" s="38" t="s">
        <v>203</v>
      </c>
      <c r="C420" s="39">
        <v>7896658025525</v>
      </c>
      <c r="D420" s="40" t="s">
        <v>86</v>
      </c>
      <c r="E420" s="40"/>
      <c r="F420" s="38">
        <v>283</v>
      </c>
      <c r="G420" s="38"/>
      <c r="H420" s="38" t="s">
        <v>204</v>
      </c>
      <c r="I420" s="38" t="s">
        <v>102</v>
      </c>
      <c r="J420" s="38">
        <v>1</v>
      </c>
      <c r="K420" s="41">
        <v>0.73</v>
      </c>
      <c r="L420" s="38" t="s">
        <v>89</v>
      </c>
      <c r="M420" s="42" t="s">
        <v>90</v>
      </c>
    </row>
    <row r="421" spans="1:13" x14ac:dyDescent="0.3">
      <c r="A421" s="37">
        <v>53</v>
      </c>
      <c r="B421" s="38" t="s">
        <v>203</v>
      </c>
      <c r="C421" s="39">
        <v>7896658025525</v>
      </c>
      <c r="D421" s="40" t="s">
        <v>86</v>
      </c>
      <c r="E421" s="40"/>
      <c r="F421" s="38">
        <v>634</v>
      </c>
      <c r="G421" s="38"/>
      <c r="H421" s="38" t="s">
        <v>205</v>
      </c>
      <c r="I421" s="38" t="s">
        <v>88</v>
      </c>
      <c r="J421" s="38">
        <v>6</v>
      </c>
      <c r="K421" s="41">
        <v>0.3</v>
      </c>
      <c r="L421" s="38" t="s">
        <v>89</v>
      </c>
      <c r="M421" s="42" t="s">
        <v>90</v>
      </c>
    </row>
    <row r="422" spans="1:13" x14ac:dyDescent="0.3">
      <c r="A422" s="37">
        <v>53</v>
      </c>
      <c r="B422" s="38" t="s">
        <v>206</v>
      </c>
      <c r="C422" s="39">
        <v>7896658026188</v>
      </c>
      <c r="D422" s="40" t="s">
        <v>86</v>
      </c>
      <c r="E422" s="40"/>
      <c r="F422" s="38">
        <v>921</v>
      </c>
      <c r="G422" s="38"/>
      <c r="H422" s="38" t="s">
        <v>166</v>
      </c>
      <c r="I422" s="38" t="s">
        <v>88</v>
      </c>
      <c r="J422" s="38">
        <v>3</v>
      </c>
      <c r="K422" s="41">
        <v>0.2</v>
      </c>
      <c r="L422" s="38" t="s">
        <v>89</v>
      </c>
      <c r="M422" s="42" t="s">
        <v>90</v>
      </c>
    </row>
    <row r="423" spans="1:13" x14ac:dyDescent="0.3">
      <c r="A423" s="37">
        <v>53</v>
      </c>
      <c r="B423" s="38" t="s">
        <v>207</v>
      </c>
      <c r="C423" s="39">
        <v>7896658026331</v>
      </c>
      <c r="D423" s="40" t="s">
        <v>86</v>
      </c>
      <c r="E423" s="40"/>
      <c r="F423" s="38">
        <v>921</v>
      </c>
      <c r="G423" s="38"/>
      <c r="H423" s="38" t="s">
        <v>166</v>
      </c>
      <c r="I423" s="38" t="s">
        <v>88</v>
      </c>
      <c r="J423" s="38">
        <v>3</v>
      </c>
      <c r="K423" s="41">
        <v>0.2</v>
      </c>
      <c r="L423" s="38" t="s">
        <v>89</v>
      </c>
      <c r="M423" s="42" t="s">
        <v>90</v>
      </c>
    </row>
    <row r="424" spans="1:13" x14ac:dyDescent="0.3">
      <c r="A424" s="37">
        <v>53</v>
      </c>
      <c r="B424" s="38" t="s">
        <v>208</v>
      </c>
      <c r="C424" s="39">
        <v>7896658026355</v>
      </c>
      <c r="D424" s="40" t="s">
        <v>86</v>
      </c>
      <c r="E424" s="40"/>
      <c r="F424" s="38">
        <v>924</v>
      </c>
      <c r="G424" s="38"/>
      <c r="H424" s="38" t="s">
        <v>162</v>
      </c>
      <c r="I424" s="38" t="s">
        <v>88</v>
      </c>
      <c r="J424" s="38">
        <v>3</v>
      </c>
      <c r="K424" s="41">
        <v>0.1</v>
      </c>
      <c r="L424" s="38" t="s">
        <v>89</v>
      </c>
      <c r="M424" s="42" t="s">
        <v>90</v>
      </c>
    </row>
    <row r="425" spans="1:13" x14ac:dyDescent="0.3">
      <c r="A425" s="37">
        <v>53</v>
      </c>
      <c r="B425" s="38" t="s">
        <v>209</v>
      </c>
      <c r="C425" s="39">
        <v>7896658026362</v>
      </c>
      <c r="D425" s="40" t="s">
        <v>86</v>
      </c>
      <c r="E425" s="40"/>
      <c r="F425" s="38">
        <v>924</v>
      </c>
      <c r="G425" s="38"/>
      <c r="H425" s="38" t="s">
        <v>162</v>
      </c>
      <c r="I425" s="38" t="s">
        <v>88</v>
      </c>
      <c r="J425" s="38">
        <v>3</v>
      </c>
      <c r="K425" s="41">
        <v>0.1</v>
      </c>
      <c r="L425" s="38" t="s">
        <v>89</v>
      </c>
      <c r="M425" s="42" t="s">
        <v>90</v>
      </c>
    </row>
    <row r="426" spans="1:13" x14ac:dyDescent="0.3">
      <c r="A426" s="37">
        <v>53</v>
      </c>
      <c r="B426" s="38" t="s">
        <v>210</v>
      </c>
      <c r="C426" s="39">
        <v>7896658026379</v>
      </c>
      <c r="D426" s="40" t="s">
        <v>86</v>
      </c>
      <c r="E426" s="40"/>
      <c r="F426" s="38">
        <v>924</v>
      </c>
      <c r="G426" s="38"/>
      <c r="H426" s="38" t="s">
        <v>162</v>
      </c>
      <c r="I426" s="38" t="s">
        <v>88</v>
      </c>
      <c r="J426" s="38">
        <v>3</v>
      </c>
      <c r="K426" s="41">
        <v>0.1</v>
      </c>
      <c r="L426" s="38" t="s">
        <v>89</v>
      </c>
      <c r="M426" s="42" t="s">
        <v>90</v>
      </c>
    </row>
    <row r="427" spans="1:13" x14ac:dyDescent="0.3">
      <c r="A427" s="37">
        <v>53</v>
      </c>
      <c r="B427" s="38" t="s">
        <v>211</v>
      </c>
      <c r="C427" s="39">
        <v>7896658026508</v>
      </c>
      <c r="D427" s="40" t="s">
        <v>86</v>
      </c>
      <c r="E427" s="40"/>
      <c r="F427" s="38">
        <v>52</v>
      </c>
      <c r="G427" s="38"/>
      <c r="H427" s="38" t="s">
        <v>199</v>
      </c>
      <c r="I427" s="38" t="s">
        <v>154</v>
      </c>
      <c r="J427" s="38">
        <v>3</v>
      </c>
      <c r="K427" s="38" t="s">
        <v>212</v>
      </c>
      <c r="L427" s="49" t="s">
        <v>213</v>
      </c>
      <c r="M427" s="49" t="s">
        <v>213</v>
      </c>
    </row>
    <row r="428" spans="1:13" x14ac:dyDescent="0.3">
      <c r="A428" s="37">
        <v>53</v>
      </c>
      <c r="B428" s="38" t="s">
        <v>214</v>
      </c>
      <c r="C428" s="39">
        <v>7896658026904</v>
      </c>
      <c r="D428" s="40" t="s">
        <v>86</v>
      </c>
      <c r="E428" s="40"/>
      <c r="F428" s="38">
        <v>806</v>
      </c>
      <c r="G428" s="38"/>
      <c r="H428" s="38" t="s">
        <v>215</v>
      </c>
      <c r="I428" s="38" t="s">
        <v>88</v>
      </c>
      <c r="J428" s="38">
        <v>3</v>
      </c>
      <c r="K428" s="41">
        <v>0.30480000000000002</v>
      </c>
      <c r="L428" s="38" t="s">
        <v>89</v>
      </c>
      <c r="M428" s="42" t="s">
        <v>90</v>
      </c>
    </row>
    <row r="429" spans="1:13" x14ac:dyDescent="0.3">
      <c r="A429" s="37">
        <v>53</v>
      </c>
      <c r="B429" s="38" t="s">
        <v>214</v>
      </c>
      <c r="C429" s="39">
        <v>7896658026904</v>
      </c>
      <c r="D429" s="40" t="s">
        <v>86</v>
      </c>
      <c r="E429" s="40"/>
      <c r="F429" s="38">
        <v>953</v>
      </c>
      <c r="G429" s="38"/>
      <c r="H429" s="38" t="s">
        <v>216</v>
      </c>
      <c r="I429" s="38" t="s">
        <v>217</v>
      </c>
      <c r="J429" s="38">
        <v>3</v>
      </c>
      <c r="K429" s="41">
        <v>0.30480000000000002</v>
      </c>
      <c r="L429" s="38" t="s">
        <v>89</v>
      </c>
      <c r="M429" s="42" t="s">
        <v>90</v>
      </c>
    </row>
    <row r="430" spans="1:13" x14ac:dyDescent="0.3">
      <c r="A430" s="37">
        <v>53</v>
      </c>
      <c r="B430" s="38" t="s">
        <v>218</v>
      </c>
      <c r="C430" s="39">
        <v>7896658026973</v>
      </c>
      <c r="D430" s="40" t="s">
        <v>86</v>
      </c>
      <c r="E430" s="40"/>
      <c r="F430" s="38">
        <v>923</v>
      </c>
      <c r="G430" s="38"/>
      <c r="H430" s="38" t="s">
        <v>219</v>
      </c>
      <c r="I430" s="38" t="s">
        <v>88</v>
      </c>
      <c r="J430" s="38">
        <v>3</v>
      </c>
      <c r="K430" s="41">
        <v>0.1</v>
      </c>
      <c r="L430" s="38" t="s">
        <v>89</v>
      </c>
      <c r="M430" s="42" t="s">
        <v>90</v>
      </c>
    </row>
    <row r="431" spans="1:13" x14ac:dyDescent="0.3">
      <c r="A431" s="37">
        <v>53</v>
      </c>
      <c r="B431" s="38" t="s">
        <v>220</v>
      </c>
      <c r="C431" s="39">
        <v>7896658026980</v>
      </c>
      <c r="D431" s="40" t="s">
        <v>86</v>
      </c>
      <c r="E431" s="40"/>
      <c r="F431" s="38">
        <v>923</v>
      </c>
      <c r="G431" s="38"/>
      <c r="H431" s="38" t="s">
        <v>219</v>
      </c>
      <c r="I431" s="38" t="s">
        <v>88</v>
      </c>
      <c r="J431" s="38">
        <v>3</v>
      </c>
      <c r="K431" s="41">
        <v>0.1</v>
      </c>
      <c r="L431" s="38" t="s">
        <v>89</v>
      </c>
      <c r="M431" s="42" t="s">
        <v>90</v>
      </c>
    </row>
    <row r="432" spans="1:13" x14ac:dyDescent="0.3">
      <c r="A432" s="37">
        <v>53</v>
      </c>
      <c r="B432" s="38" t="s">
        <v>221</v>
      </c>
      <c r="C432" s="39">
        <v>7896658026997</v>
      </c>
      <c r="D432" s="40" t="s">
        <v>86</v>
      </c>
      <c r="E432" s="40"/>
      <c r="F432" s="38">
        <v>923</v>
      </c>
      <c r="G432" s="38"/>
      <c r="H432" s="38" t="s">
        <v>219</v>
      </c>
      <c r="I432" s="38" t="s">
        <v>88</v>
      </c>
      <c r="J432" s="38">
        <v>3</v>
      </c>
      <c r="K432" s="41">
        <v>0.1</v>
      </c>
      <c r="L432" s="38" t="s">
        <v>89</v>
      </c>
      <c r="M432" s="42" t="s">
        <v>90</v>
      </c>
    </row>
    <row r="433" spans="1:13" x14ac:dyDescent="0.3">
      <c r="A433" s="37">
        <v>53</v>
      </c>
      <c r="B433" s="38" t="s">
        <v>222</v>
      </c>
      <c r="C433" s="39">
        <v>7896658027055</v>
      </c>
      <c r="D433" s="40" t="s">
        <v>86</v>
      </c>
      <c r="E433" s="40"/>
      <c r="F433" s="38">
        <v>603</v>
      </c>
      <c r="G433" s="38"/>
      <c r="H433" s="38" t="s">
        <v>223</v>
      </c>
      <c r="I433" s="38" t="s">
        <v>88</v>
      </c>
      <c r="J433" s="38">
        <v>3</v>
      </c>
      <c r="K433" s="41">
        <v>0.3</v>
      </c>
      <c r="L433" s="38" t="s">
        <v>89</v>
      </c>
      <c r="M433" s="42" t="s">
        <v>90</v>
      </c>
    </row>
    <row r="434" spans="1:13" x14ac:dyDescent="0.3">
      <c r="A434" s="37">
        <v>53</v>
      </c>
      <c r="B434" s="38" t="s">
        <v>222</v>
      </c>
      <c r="C434" s="39">
        <v>7896658027055</v>
      </c>
      <c r="D434" s="40" t="s">
        <v>86</v>
      </c>
      <c r="E434" s="40"/>
      <c r="F434" s="38">
        <v>956</v>
      </c>
      <c r="G434" s="38"/>
      <c r="H434" s="38" t="s">
        <v>224</v>
      </c>
      <c r="I434" s="38" t="s">
        <v>217</v>
      </c>
      <c r="J434" s="38">
        <v>3</v>
      </c>
      <c r="K434" s="41">
        <v>0.3</v>
      </c>
      <c r="L434" s="38" t="s">
        <v>89</v>
      </c>
      <c r="M434" s="42" t="s">
        <v>90</v>
      </c>
    </row>
    <row r="435" spans="1:13" x14ac:dyDescent="0.3">
      <c r="A435" s="37">
        <v>53</v>
      </c>
      <c r="B435" s="38" t="s">
        <v>225</v>
      </c>
      <c r="C435" s="39">
        <v>7896658027079</v>
      </c>
      <c r="D435" s="40" t="s">
        <v>86</v>
      </c>
      <c r="E435" s="40"/>
      <c r="F435" s="38">
        <v>603</v>
      </c>
      <c r="G435" s="38"/>
      <c r="H435" s="38" t="s">
        <v>223</v>
      </c>
      <c r="I435" s="38" t="s">
        <v>88</v>
      </c>
      <c r="J435" s="38">
        <v>3</v>
      </c>
      <c r="K435" s="41">
        <v>0.1</v>
      </c>
      <c r="L435" s="38" t="s">
        <v>89</v>
      </c>
      <c r="M435" s="42" t="s">
        <v>90</v>
      </c>
    </row>
    <row r="436" spans="1:13" x14ac:dyDescent="0.3">
      <c r="A436" s="37">
        <v>53</v>
      </c>
      <c r="B436" s="38" t="s">
        <v>225</v>
      </c>
      <c r="C436" s="39">
        <v>7896658027079</v>
      </c>
      <c r="D436" s="40" t="s">
        <v>86</v>
      </c>
      <c r="E436" s="40"/>
      <c r="F436" s="38">
        <v>956</v>
      </c>
      <c r="G436" s="38"/>
      <c r="H436" s="38" t="s">
        <v>224</v>
      </c>
      <c r="I436" s="38" t="s">
        <v>217</v>
      </c>
      <c r="J436" s="38">
        <v>3</v>
      </c>
      <c r="K436" s="41">
        <v>0.1</v>
      </c>
      <c r="L436" s="38" t="s">
        <v>89</v>
      </c>
      <c r="M436" s="42" t="s">
        <v>90</v>
      </c>
    </row>
    <row r="437" spans="1:13" x14ac:dyDescent="0.3">
      <c r="A437" s="37">
        <v>53</v>
      </c>
      <c r="B437" s="38" t="s">
        <v>226</v>
      </c>
      <c r="C437" s="39">
        <v>7896658027222</v>
      </c>
      <c r="D437" s="40" t="s">
        <v>86</v>
      </c>
      <c r="E437" s="40"/>
      <c r="F437" s="38">
        <v>914</v>
      </c>
      <c r="G437" s="38"/>
      <c r="H437" s="38" t="s">
        <v>227</v>
      </c>
      <c r="I437" s="38" t="s">
        <v>88</v>
      </c>
      <c r="J437" s="38">
        <v>3</v>
      </c>
      <c r="K437" s="41">
        <v>0.1</v>
      </c>
      <c r="L437" s="38" t="s">
        <v>89</v>
      </c>
      <c r="M437" s="42" t="s">
        <v>90</v>
      </c>
    </row>
    <row r="438" spans="1:13" x14ac:dyDescent="0.3">
      <c r="A438" s="37">
        <v>53</v>
      </c>
      <c r="B438" s="38" t="s">
        <v>228</v>
      </c>
      <c r="C438" s="39">
        <v>7896658027239</v>
      </c>
      <c r="D438" s="40" t="s">
        <v>86</v>
      </c>
      <c r="E438" s="40"/>
      <c r="F438" s="38">
        <v>914</v>
      </c>
      <c r="G438" s="38"/>
      <c r="H438" s="38" t="s">
        <v>227</v>
      </c>
      <c r="I438" s="38" t="s">
        <v>88</v>
      </c>
      <c r="J438" s="38">
        <v>3</v>
      </c>
      <c r="K438" s="41">
        <v>0.1</v>
      </c>
      <c r="L438" s="38" t="s">
        <v>89</v>
      </c>
      <c r="M438" s="42" t="s">
        <v>90</v>
      </c>
    </row>
    <row r="439" spans="1:13" x14ac:dyDescent="0.3">
      <c r="A439" s="37">
        <v>53</v>
      </c>
      <c r="B439" s="38" t="s">
        <v>229</v>
      </c>
      <c r="C439" s="39">
        <v>7896658027246</v>
      </c>
      <c r="D439" s="40" t="s">
        <v>86</v>
      </c>
      <c r="E439" s="40"/>
      <c r="F439" s="38">
        <v>926</v>
      </c>
      <c r="G439" s="38"/>
      <c r="H439" s="38" t="s">
        <v>185</v>
      </c>
      <c r="I439" s="38" t="s">
        <v>88</v>
      </c>
      <c r="J439" s="38">
        <v>3</v>
      </c>
      <c r="K439" s="41">
        <v>0.1</v>
      </c>
      <c r="L439" s="38" t="s">
        <v>89</v>
      </c>
      <c r="M439" s="42" t="s">
        <v>90</v>
      </c>
    </row>
    <row r="440" spans="1:13" x14ac:dyDescent="0.3">
      <c r="A440" s="37">
        <v>53</v>
      </c>
      <c r="B440" s="38" t="s">
        <v>230</v>
      </c>
      <c r="C440" s="39">
        <v>7896658027703</v>
      </c>
      <c r="D440" s="40" t="s">
        <v>86</v>
      </c>
      <c r="E440" s="40"/>
      <c r="F440" s="38">
        <v>626</v>
      </c>
      <c r="G440" s="38"/>
      <c r="H440" s="38" t="s">
        <v>231</v>
      </c>
      <c r="I440" s="38" t="s">
        <v>88</v>
      </c>
      <c r="J440" s="38">
        <v>3</v>
      </c>
      <c r="K440" s="41">
        <v>0.1</v>
      </c>
      <c r="L440" s="38" t="s">
        <v>89</v>
      </c>
      <c r="M440" s="42" t="s">
        <v>90</v>
      </c>
    </row>
    <row r="441" spans="1:13" x14ac:dyDescent="0.3">
      <c r="A441" s="37">
        <v>53</v>
      </c>
      <c r="B441" s="38" t="s">
        <v>232</v>
      </c>
      <c r="C441" s="39">
        <v>7896658029028</v>
      </c>
      <c r="D441" s="40" t="s">
        <v>86</v>
      </c>
      <c r="E441" s="40"/>
      <c r="F441" s="38">
        <v>30</v>
      </c>
      <c r="G441" s="38"/>
      <c r="H441" s="38" t="s">
        <v>135</v>
      </c>
      <c r="I441" s="38" t="s">
        <v>88</v>
      </c>
      <c r="J441" s="38">
        <v>6</v>
      </c>
      <c r="K441" s="41">
        <v>0.38</v>
      </c>
      <c r="L441" s="38" t="s">
        <v>94</v>
      </c>
      <c r="M441" s="42" t="s">
        <v>90</v>
      </c>
    </row>
    <row r="442" spans="1:13" x14ac:dyDescent="0.3">
      <c r="A442" s="37">
        <v>53</v>
      </c>
      <c r="B442" s="38" t="s">
        <v>232</v>
      </c>
      <c r="C442" s="39">
        <v>7896658029028</v>
      </c>
      <c r="D442" s="40" t="s">
        <v>86</v>
      </c>
      <c r="E442" s="40"/>
      <c r="F442" s="38">
        <v>30</v>
      </c>
      <c r="G442" s="38"/>
      <c r="H442" s="38" t="s">
        <v>135</v>
      </c>
      <c r="I442" s="38" t="s">
        <v>88</v>
      </c>
      <c r="J442" s="38">
        <v>6</v>
      </c>
      <c r="K442" s="41">
        <v>0.37</v>
      </c>
      <c r="L442" s="38" t="s">
        <v>95</v>
      </c>
      <c r="M442" s="42" t="s">
        <v>90</v>
      </c>
    </row>
    <row r="443" spans="1:13" x14ac:dyDescent="0.3">
      <c r="A443" s="37">
        <v>53</v>
      </c>
      <c r="B443" s="38" t="s">
        <v>232</v>
      </c>
      <c r="C443" s="39">
        <v>7896658029028</v>
      </c>
      <c r="D443" s="40" t="s">
        <v>86</v>
      </c>
      <c r="E443" s="40"/>
      <c r="F443" s="38">
        <v>30</v>
      </c>
      <c r="G443" s="38"/>
      <c r="H443" s="38" t="s">
        <v>135</v>
      </c>
      <c r="I443" s="38" t="s">
        <v>88</v>
      </c>
      <c r="J443" s="38">
        <v>6</v>
      </c>
      <c r="K443" s="41">
        <v>0.4</v>
      </c>
      <c r="L443" s="38" t="s">
        <v>89</v>
      </c>
      <c r="M443" s="42" t="s">
        <v>90</v>
      </c>
    </row>
    <row r="444" spans="1:13" x14ac:dyDescent="0.3">
      <c r="A444" s="37">
        <v>53</v>
      </c>
      <c r="B444" s="38" t="s">
        <v>232</v>
      </c>
      <c r="C444" s="39">
        <v>7896658029028</v>
      </c>
      <c r="D444" s="40" t="s">
        <v>86</v>
      </c>
      <c r="E444" s="40"/>
      <c r="F444" s="38">
        <v>207</v>
      </c>
      <c r="G444" s="38"/>
      <c r="H444" s="38" t="s">
        <v>135</v>
      </c>
      <c r="I444" s="38" t="s">
        <v>88</v>
      </c>
      <c r="J444" s="38">
        <v>6</v>
      </c>
      <c r="K444" s="41">
        <v>0.38</v>
      </c>
      <c r="L444" s="38" t="s">
        <v>94</v>
      </c>
      <c r="M444" s="42" t="s">
        <v>90</v>
      </c>
    </row>
    <row r="445" spans="1:13" x14ac:dyDescent="0.3">
      <c r="A445" s="37">
        <v>53</v>
      </c>
      <c r="B445" s="38" t="s">
        <v>232</v>
      </c>
      <c r="C445" s="39">
        <v>7896658029028</v>
      </c>
      <c r="D445" s="40" t="s">
        <v>86</v>
      </c>
      <c r="E445" s="40"/>
      <c r="F445" s="38">
        <v>207</v>
      </c>
      <c r="G445" s="38"/>
      <c r="H445" s="38" t="s">
        <v>135</v>
      </c>
      <c r="I445" s="38" t="s">
        <v>88</v>
      </c>
      <c r="J445" s="38">
        <v>6</v>
      </c>
      <c r="K445" s="41">
        <v>0.37</v>
      </c>
      <c r="L445" s="38" t="s">
        <v>95</v>
      </c>
      <c r="M445" s="42" t="s">
        <v>90</v>
      </c>
    </row>
    <row r="446" spans="1:13" x14ac:dyDescent="0.3">
      <c r="A446" s="37">
        <v>53</v>
      </c>
      <c r="B446" s="38" t="s">
        <v>232</v>
      </c>
      <c r="C446" s="39">
        <v>7896658029028</v>
      </c>
      <c r="D446" s="40" t="s">
        <v>86</v>
      </c>
      <c r="E446" s="40"/>
      <c r="F446" s="38">
        <v>207</v>
      </c>
      <c r="G446" s="38"/>
      <c r="H446" s="38" t="s">
        <v>135</v>
      </c>
      <c r="I446" s="38" t="s">
        <v>88</v>
      </c>
      <c r="J446" s="38">
        <v>6</v>
      </c>
      <c r="K446" s="41">
        <v>0.4</v>
      </c>
      <c r="L446" s="38" t="s">
        <v>89</v>
      </c>
      <c r="M446" s="42" t="s">
        <v>90</v>
      </c>
    </row>
    <row r="447" spans="1:13" x14ac:dyDescent="0.3">
      <c r="A447" s="37">
        <v>53</v>
      </c>
      <c r="B447" s="38" t="s">
        <v>233</v>
      </c>
      <c r="C447" s="39">
        <v>7896658029233</v>
      </c>
      <c r="D447" s="40" t="s">
        <v>86</v>
      </c>
      <c r="E447" s="40"/>
      <c r="F447" s="38">
        <v>106</v>
      </c>
      <c r="G447" s="38"/>
      <c r="H447" s="38" t="s">
        <v>234</v>
      </c>
      <c r="I447" s="38" t="s">
        <v>154</v>
      </c>
      <c r="J447" s="38">
        <v>6</v>
      </c>
      <c r="K447" s="41" t="s">
        <v>235</v>
      </c>
      <c r="L447" s="38" t="s">
        <v>89</v>
      </c>
      <c r="M447" s="42" t="s">
        <v>90</v>
      </c>
    </row>
    <row r="448" spans="1:13" x14ac:dyDescent="0.3">
      <c r="A448" s="37">
        <v>53</v>
      </c>
      <c r="B448" s="38" t="s">
        <v>236</v>
      </c>
      <c r="C448" s="39">
        <v>7896658029240</v>
      </c>
      <c r="D448" s="40" t="s">
        <v>86</v>
      </c>
      <c r="E448" s="40"/>
      <c r="F448" s="38">
        <v>106</v>
      </c>
      <c r="G448" s="38"/>
      <c r="H448" s="38" t="s">
        <v>234</v>
      </c>
      <c r="I448" s="38" t="s">
        <v>154</v>
      </c>
      <c r="J448" s="38">
        <v>6</v>
      </c>
      <c r="K448" s="41" t="s">
        <v>235</v>
      </c>
      <c r="L448" s="38" t="s">
        <v>89</v>
      </c>
      <c r="M448" s="42" t="s">
        <v>90</v>
      </c>
    </row>
    <row r="449" spans="1:13" x14ac:dyDescent="0.3">
      <c r="A449" s="37">
        <v>53</v>
      </c>
      <c r="B449" s="38" t="s">
        <v>237</v>
      </c>
      <c r="C449" s="39">
        <v>7896658029257</v>
      </c>
      <c r="D449" s="40" t="s">
        <v>86</v>
      </c>
      <c r="E449" s="40"/>
      <c r="F449" s="38">
        <v>106</v>
      </c>
      <c r="G449" s="38"/>
      <c r="H449" s="38" t="s">
        <v>234</v>
      </c>
      <c r="I449" s="38" t="s">
        <v>154</v>
      </c>
      <c r="J449" s="38">
        <v>6</v>
      </c>
      <c r="K449" s="41" t="s">
        <v>235</v>
      </c>
      <c r="L449" s="38" t="s">
        <v>89</v>
      </c>
      <c r="M449" s="42" t="s">
        <v>90</v>
      </c>
    </row>
    <row r="450" spans="1:13" x14ac:dyDescent="0.3">
      <c r="A450" s="37">
        <v>53</v>
      </c>
      <c r="B450" s="38" t="s">
        <v>238</v>
      </c>
      <c r="C450" s="39">
        <v>7896658029417</v>
      </c>
      <c r="D450" s="40" t="s">
        <v>86</v>
      </c>
      <c r="E450" s="40"/>
      <c r="F450" s="38">
        <v>922</v>
      </c>
      <c r="G450" s="38"/>
      <c r="H450" s="38" t="s">
        <v>195</v>
      </c>
      <c r="I450" s="38" t="s">
        <v>88</v>
      </c>
      <c r="J450" s="38">
        <v>3</v>
      </c>
      <c r="K450" s="41">
        <v>0.1</v>
      </c>
      <c r="L450" s="38" t="s">
        <v>89</v>
      </c>
      <c r="M450" s="42" t="s">
        <v>90</v>
      </c>
    </row>
    <row r="451" spans="1:13" x14ac:dyDescent="0.3">
      <c r="A451" s="37">
        <v>53</v>
      </c>
      <c r="B451" s="38" t="s">
        <v>239</v>
      </c>
      <c r="C451" s="39">
        <v>7896658029448</v>
      </c>
      <c r="D451" s="40" t="s">
        <v>86</v>
      </c>
      <c r="E451" s="40"/>
      <c r="F451" s="38">
        <v>922</v>
      </c>
      <c r="G451" s="38"/>
      <c r="H451" s="38" t="s">
        <v>195</v>
      </c>
      <c r="I451" s="38" t="s">
        <v>88</v>
      </c>
      <c r="J451" s="38">
        <v>3</v>
      </c>
      <c r="K451" s="41">
        <v>0.1</v>
      </c>
      <c r="L451" s="38" t="s">
        <v>89</v>
      </c>
      <c r="M451" s="42" t="s">
        <v>90</v>
      </c>
    </row>
    <row r="452" spans="1:13" x14ac:dyDescent="0.3">
      <c r="A452" s="37">
        <v>53</v>
      </c>
      <c r="B452" s="38" t="s">
        <v>240</v>
      </c>
      <c r="C452" s="39">
        <v>7896658029462</v>
      </c>
      <c r="D452" s="40" t="s">
        <v>86</v>
      </c>
      <c r="E452" s="40"/>
      <c r="F452" s="38">
        <v>921</v>
      </c>
      <c r="G452" s="38"/>
      <c r="H452" s="38" t="s">
        <v>166</v>
      </c>
      <c r="I452" s="38" t="s">
        <v>88</v>
      </c>
      <c r="J452" s="38">
        <v>3</v>
      </c>
      <c r="K452" s="41">
        <v>0.2</v>
      </c>
      <c r="L452" s="38" t="s">
        <v>89</v>
      </c>
      <c r="M452" s="42" t="s">
        <v>90</v>
      </c>
    </row>
    <row r="453" spans="1:13" x14ac:dyDescent="0.3">
      <c r="A453" s="37">
        <v>53</v>
      </c>
      <c r="B453" s="38" t="s">
        <v>241</v>
      </c>
      <c r="C453" s="39">
        <v>7896658030239</v>
      </c>
      <c r="D453" s="40" t="s">
        <v>86</v>
      </c>
      <c r="E453" s="40"/>
      <c r="F453" s="38">
        <v>920</v>
      </c>
      <c r="G453" s="38"/>
      <c r="H453" s="38" t="s">
        <v>164</v>
      </c>
      <c r="I453" s="38" t="s">
        <v>88</v>
      </c>
      <c r="J453" s="38">
        <v>3</v>
      </c>
      <c r="K453" s="41">
        <v>0.1</v>
      </c>
      <c r="L453" s="38" t="s">
        <v>89</v>
      </c>
      <c r="M453" s="42" t="s">
        <v>90</v>
      </c>
    </row>
    <row r="454" spans="1:13" x14ac:dyDescent="0.3">
      <c r="A454" s="37">
        <v>53</v>
      </c>
      <c r="B454" s="38" t="s">
        <v>242</v>
      </c>
      <c r="C454" s="39">
        <v>7896658030437</v>
      </c>
      <c r="D454" s="40" t="s">
        <v>86</v>
      </c>
      <c r="E454" s="40"/>
      <c r="F454" s="38">
        <v>918</v>
      </c>
      <c r="G454" s="38"/>
      <c r="H454" s="38" t="s">
        <v>243</v>
      </c>
      <c r="I454" s="38" t="s">
        <v>88</v>
      </c>
      <c r="J454" s="38">
        <v>3</v>
      </c>
      <c r="K454" s="41">
        <v>0.1</v>
      </c>
      <c r="L454" s="38" t="s">
        <v>89</v>
      </c>
      <c r="M454" s="42" t="s">
        <v>90</v>
      </c>
    </row>
    <row r="455" spans="1:13" x14ac:dyDescent="0.3">
      <c r="A455" s="37">
        <v>53</v>
      </c>
      <c r="B455" s="38" t="s">
        <v>242</v>
      </c>
      <c r="C455" s="39">
        <v>7896658030437</v>
      </c>
      <c r="D455" s="40" t="s">
        <v>86</v>
      </c>
      <c r="E455" s="40"/>
      <c r="F455" s="38">
        <v>954</v>
      </c>
      <c r="G455" s="38"/>
      <c r="H455" s="38" t="s">
        <v>244</v>
      </c>
      <c r="I455" s="38" t="s">
        <v>217</v>
      </c>
      <c r="J455" s="38">
        <v>3</v>
      </c>
      <c r="K455" s="41">
        <v>0.1</v>
      </c>
      <c r="L455" s="38" t="s">
        <v>89</v>
      </c>
      <c r="M455" s="42" t="s">
        <v>90</v>
      </c>
    </row>
    <row r="456" spans="1:13" x14ac:dyDescent="0.3">
      <c r="A456" s="37">
        <v>53</v>
      </c>
      <c r="B456" s="38" t="s">
        <v>245</v>
      </c>
      <c r="C456" s="39">
        <v>7896658030444</v>
      </c>
      <c r="D456" s="40" t="s">
        <v>86</v>
      </c>
      <c r="E456" s="40"/>
      <c r="F456" s="38">
        <v>918</v>
      </c>
      <c r="G456" s="38"/>
      <c r="H456" s="38" t="s">
        <v>243</v>
      </c>
      <c r="I456" s="38" t="s">
        <v>88</v>
      </c>
      <c r="J456" s="38">
        <v>3</v>
      </c>
      <c r="K456" s="41">
        <v>0.1</v>
      </c>
      <c r="L456" s="38" t="s">
        <v>89</v>
      </c>
      <c r="M456" s="42" t="s">
        <v>90</v>
      </c>
    </row>
    <row r="457" spans="1:13" x14ac:dyDescent="0.3">
      <c r="A457" s="37">
        <v>53</v>
      </c>
      <c r="B457" s="38" t="s">
        <v>245</v>
      </c>
      <c r="C457" s="39">
        <v>7896658030444</v>
      </c>
      <c r="D457" s="40" t="s">
        <v>86</v>
      </c>
      <c r="E457" s="40"/>
      <c r="F457" s="38">
        <v>954</v>
      </c>
      <c r="G457" s="38"/>
      <c r="H457" s="38" t="s">
        <v>244</v>
      </c>
      <c r="I457" s="38" t="s">
        <v>217</v>
      </c>
      <c r="J457" s="38">
        <v>3</v>
      </c>
      <c r="K457" s="41">
        <v>0.1</v>
      </c>
      <c r="L457" s="38" t="s">
        <v>89</v>
      </c>
      <c r="M457" s="42" t="s">
        <v>90</v>
      </c>
    </row>
    <row r="458" spans="1:13" x14ac:dyDescent="0.3">
      <c r="A458" s="37">
        <v>53</v>
      </c>
      <c r="B458" s="38" t="s">
        <v>246</v>
      </c>
      <c r="C458" s="39">
        <v>7896658030451</v>
      </c>
      <c r="D458" s="40" t="s">
        <v>86</v>
      </c>
      <c r="E458" s="40"/>
      <c r="F458" s="38">
        <v>920</v>
      </c>
      <c r="G458" s="38"/>
      <c r="H458" s="38" t="s">
        <v>164</v>
      </c>
      <c r="I458" s="38" t="s">
        <v>88</v>
      </c>
      <c r="J458" s="38">
        <v>3</v>
      </c>
      <c r="K458" s="41">
        <v>0.1</v>
      </c>
      <c r="L458" s="38" t="s">
        <v>89</v>
      </c>
      <c r="M458" s="42" t="s">
        <v>90</v>
      </c>
    </row>
    <row r="459" spans="1:13" x14ac:dyDescent="0.3">
      <c r="A459" s="37">
        <v>53</v>
      </c>
      <c r="B459" s="38" t="s">
        <v>247</v>
      </c>
      <c r="C459" s="39">
        <v>7896658031878</v>
      </c>
      <c r="D459" s="40" t="s">
        <v>86</v>
      </c>
      <c r="E459" s="40"/>
      <c r="F459" s="38">
        <v>921</v>
      </c>
      <c r="G459" s="38"/>
      <c r="H459" s="38" t="s">
        <v>166</v>
      </c>
      <c r="I459" s="38" t="s">
        <v>88</v>
      </c>
      <c r="J459" s="38">
        <v>3</v>
      </c>
      <c r="K459" s="41">
        <v>0.2</v>
      </c>
      <c r="L459" s="38" t="s">
        <v>89</v>
      </c>
      <c r="M459" s="42" t="s">
        <v>90</v>
      </c>
    </row>
    <row r="460" spans="1:13" x14ac:dyDescent="0.3">
      <c r="A460" s="37">
        <v>53</v>
      </c>
      <c r="B460" s="38" t="s">
        <v>248</v>
      </c>
      <c r="C460" s="39">
        <v>7896658032561</v>
      </c>
      <c r="D460" s="40" t="s">
        <v>86</v>
      </c>
      <c r="E460" s="40"/>
      <c r="F460" s="38">
        <v>768</v>
      </c>
      <c r="G460" s="38"/>
      <c r="H460" s="38" t="s">
        <v>249</v>
      </c>
      <c r="I460" s="38" t="s">
        <v>138</v>
      </c>
      <c r="J460" s="38">
        <v>4</v>
      </c>
      <c r="K460" s="41">
        <v>0.45219999999999999</v>
      </c>
      <c r="L460" s="38" t="s">
        <v>139</v>
      </c>
      <c r="M460" s="42" t="s">
        <v>250</v>
      </c>
    </row>
    <row r="461" spans="1:13" x14ac:dyDescent="0.3">
      <c r="A461" s="37">
        <v>53</v>
      </c>
      <c r="B461" s="38" t="s">
        <v>248</v>
      </c>
      <c r="C461" s="39">
        <v>7896658032561</v>
      </c>
      <c r="D461" s="40" t="s">
        <v>86</v>
      </c>
      <c r="E461" s="40"/>
      <c r="F461" s="38">
        <v>768</v>
      </c>
      <c r="G461" s="38"/>
      <c r="H461" s="38" t="s">
        <v>249</v>
      </c>
      <c r="I461" s="38" t="s">
        <v>138</v>
      </c>
      <c r="J461" s="38">
        <v>4</v>
      </c>
      <c r="K461" s="41">
        <v>0.45219999999999999</v>
      </c>
      <c r="L461" s="38" t="s">
        <v>139</v>
      </c>
      <c r="M461" s="42" t="s">
        <v>251</v>
      </c>
    </row>
    <row r="462" spans="1:13" x14ac:dyDescent="0.3">
      <c r="A462" s="37">
        <v>53</v>
      </c>
      <c r="B462" s="38" t="s">
        <v>248</v>
      </c>
      <c r="C462" s="39">
        <v>7896658032561</v>
      </c>
      <c r="D462" s="40" t="s">
        <v>86</v>
      </c>
      <c r="E462" s="40"/>
      <c r="F462" s="38">
        <v>768</v>
      </c>
      <c r="G462" s="38"/>
      <c r="H462" s="38" t="s">
        <v>249</v>
      </c>
      <c r="I462" s="38" t="s">
        <v>138</v>
      </c>
      <c r="J462" s="38">
        <v>4</v>
      </c>
      <c r="K462" s="41">
        <v>0.45219999999999999</v>
      </c>
      <c r="L462" s="38" t="s">
        <v>139</v>
      </c>
      <c r="M462" s="42" t="s">
        <v>252</v>
      </c>
    </row>
    <row r="463" spans="1:13" x14ac:dyDescent="0.3">
      <c r="A463" s="37">
        <v>53</v>
      </c>
      <c r="B463" s="38" t="s">
        <v>248</v>
      </c>
      <c r="C463" s="39">
        <v>7896658032561</v>
      </c>
      <c r="D463" s="40" t="s">
        <v>86</v>
      </c>
      <c r="E463" s="40"/>
      <c r="F463" s="38">
        <v>768</v>
      </c>
      <c r="G463" s="38"/>
      <c r="H463" s="38" t="s">
        <v>249</v>
      </c>
      <c r="I463" s="38" t="s">
        <v>138</v>
      </c>
      <c r="J463" s="38">
        <v>4</v>
      </c>
      <c r="K463" s="41">
        <v>0.50539999999999996</v>
      </c>
      <c r="L463" s="38" t="s">
        <v>139</v>
      </c>
      <c r="M463" s="42" t="s">
        <v>90</v>
      </c>
    </row>
    <row r="464" spans="1:13" x14ac:dyDescent="0.3">
      <c r="A464" s="37">
        <v>53</v>
      </c>
      <c r="B464" s="38" t="s">
        <v>248</v>
      </c>
      <c r="C464" s="39">
        <v>7896658032561</v>
      </c>
      <c r="D464" s="40" t="s">
        <v>86</v>
      </c>
      <c r="E464" s="40"/>
      <c r="F464" s="38">
        <v>768</v>
      </c>
      <c r="G464" s="38"/>
      <c r="H464" s="38" t="s">
        <v>249</v>
      </c>
      <c r="I464" s="38" t="s">
        <v>138</v>
      </c>
      <c r="J464" s="38">
        <v>4</v>
      </c>
      <c r="K464" s="41">
        <v>0.50539999999999996</v>
      </c>
      <c r="L464" s="38" t="s">
        <v>253</v>
      </c>
      <c r="M464" s="42" t="s">
        <v>90</v>
      </c>
    </row>
    <row r="465" spans="1:13" x14ac:dyDescent="0.3">
      <c r="A465" s="37">
        <v>53</v>
      </c>
      <c r="B465" s="38" t="s">
        <v>248</v>
      </c>
      <c r="C465" s="39">
        <v>7896658032561</v>
      </c>
      <c r="D465" s="40" t="s">
        <v>86</v>
      </c>
      <c r="E465" s="40"/>
      <c r="F465" s="38">
        <v>768</v>
      </c>
      <c r="G465" s="38"/>
      <c r="H465" s="38" t="s">
        <v>249</v>
      </c>
      <c r="I465" s="38" t="s">
        <v>138</v>
      </c>
      <c r="J465" s="38">
        <v>4</v>
      </c>
      <c r="K465" s="41">
        <v>0.45879999999999999</v>
      </c>
      <c r="L465" s="38" t="s">
        <v>254</v>
      </c>
      <c r="M465" s="42" t="s">
        <v>255</v>
      </c>
    </row>
    <row r="466" spans="1:13" x14ac:dyDescent="0.3">
      <c r="A466" s="37">
        <v>53</v>
      </c>
      <c r="B466" s="38" t="s">
        <v>248</v>
      </c>
      <c r="C466" s="39">
        <v>7896658032561</v>
      </c>
      <c r="D466" s="40" t="s">
        <v>86</v>
      </c>
      <c r="E466" s="40"/>
      <c r="F466" s="38">
        <v>768</v>
      </c>
      <c r="G466" s="38"/>
      <c r="H466" s="38" t="s">
        <v>249</v>
      </c>
      <c r="I466" s="38" t="s">
        <v>138</v>
      </c>
      <c r="J466" s="38">
        <v>4</v>
      </c>
      <c r="K466" s="41">
        <v>0.45879999999999999</v>
      </c>
      <c r="L466" s="38" t="s">
        <v>254</v>
      </c>
      <c r="M466" s="42" t="s">
        <v>256</v>
      </c>
    </row>
    <row r="467" spans="1:13" x14ac:dyDescent="0.3">
      <c r="A467" s="37">
        <v>53</v>
      </c>
      <c r="B467" s="38" t="s">
        <v>248</v>
      </c>
      <c r="C467" s="39">
        <v>7896658032561</v>
      </c>
      <c r="D467" s="40" t="s">
        <v>86</v>
      </c>
      <c r="E467" s="40"/>
      <c r="F467" s="38">
        <v>768</v>
      </c>
      <c r="G467" s="38"/>
      <c r="H467" s="38" t="s">
        <v>249</v>
      </c>
      <c r="I467" s="38" t="s">
        <v>138</v>
      </c>
      <c r="J467" s="38">
        <v>4</v>
      </c>
      <c r="K467" s="41">
        <v>0.5121</v>
      </c>
      <c r="L467" s="38" t="s">
        <v>254</v>
      </c>
      <c r="M467" s="42" t="s">
        <v>90</v>
      </c>
    </row>
    <row r="468" spans="1:13" x14ac:dyDescent="0.3">
      <c r="A468" s="37">
        <v>53</v>
      </c>
      <c r="B468" s="38" t="s">
        <v>248</v>
      </c>
      <c r="C468" s="39">
        <v>7896658032561</v>
      </c>
      <c r="D468" s="40" t="s">
        <v>86</v>
      </c>
      <c r="E468" s="40"/>
      <c r="F468" s="38">
        <v>768</v>
      </c>
      <c r="G468" s="38"/>
      <c r="H468" s="38" t="s">
        <v>249</v>
      </c>
      <c r="I468" s="38" t="s">
        <v>138</v>
      </c>
      <c r="J468" s="38">
        <v>4</v>
      </c>
      <c r="K468" s="41">
        <v>0.45879999999999999</v>
      </c>
      <c r="L468" s="38" t="s">
        <v>257</v>
      </c>
      <c r="M468" s="42" t="s">
        <v>258</v>
      </c>
    </row>
    <row r="469" spans="1:13" x14ac:dyDescent="0.3">
      <c r="A469" s="37">
        <v>53</v>
      </c>
      <c r="B469" s="38" t="s">
        <v>248</v>
      </c>
      <c r="C469" s="39">
        <v>7896658032561</v>
      </c>
      <c r="D469" s="40" t="s">
        <v>86</v>
      </c>
      <c r="E469" s="40"/>
      <c r="F469" s="38">
        <v>768</v>
      </c>
      <c r="G469" s="38"/>
      <c r="H469" s="38" t="s">
        <v>249</v>
      </c>
      <c r="I469" s="38" t="s">
        <v>138</v>
      </c>
      <c r="J469" s="38">
        <v>4</v>
      </c>
      <c r="K469" s="41">
        <v>0.45879999999999999</v>
      </c>
      <c r="L469" s="38" t="s">
        <v>257</v>
      </c>
      <c r="M469" s="42" t="s">
        <v>259</v>
      </c>
    </row>
    <row r="470" spans="1:13" x14ac:dyDescent="0.3">
      <c r="A470" s="37">
        <v>53</v>
      </c>
      <c r="B470" s="38" t="s">
        <v>248</v>
      </c>
      <c r="C470" s="39">
        <v>7896658032561</v>
      </c>
      <c r="D470" s="40" t="s">
        <v>86</v>
      </c>
      <c r="E470" s="40"/>
      <c r="F470" s="38">
        <v>768</v>
      </c>
      <c r="G470" s="38"/>
      <c r="H470" s="38" t="s">
        <v>249</v>
      </c>
      <c r="I470" s="38" t="s">
        <v>138</v>
      </c>
      <c r="J470" s="38">
        <v>4</v>
      </c>
      <c r="K470" s="41">
        <v>0.5121</v>
      </c>
      <c r="L470" s="38" t="s">
        <v>257</v>
      </c>
      <c r="M470" s="42" t="s">
        <v>90</v>
      </c>
    </row>
    <row r="471" spans="1:13" x14ac:dyDescent="0.3">
      <c r="A471" s="37">
        <v>53</v>
      </c>
      <c r="B471" s="38" t="s">
        <v>248</v>
      </c>
      <c r="C471" s="39">
        <v>7896658032561</v>
      </c>
      <c r="D471" s="40" t="s">
        <v>86</v>
      </c>
      <c r="E471" s="40"/>
      <c r="F471" s="38">
        <v>768</v>
      </c>
      <c r="G471" s="38"/>
      <c r="H471" s="38" t="s">
        <v>249</v>
      </c>
      <c r="I471" s="38" t="s">
        <v>138</v>
      </c>
      <c r="J471" s="38">
        <v>4</v>
      </c>
      <c r="K471" s="41">
        <v>0.5121</v>
      </c>
      <c r="L471" s="38" t="s">
        <v>132</v>
      </c>
      <c r="M471" s="42" t="s">
        <v>90</v>
      </c>
    </row>
    <row r="472" spans="1:13" x14ac:dyDescent="0.3">
      <c r="A472" s="37">
        <v>53</v>
      </c>
      <c r="B472" s="38" t="s">
        <v>248</v>
      </c>
      <c r="C472" s="39">
        <v>7896658032561</v>
      </c>
      <c r="D472" s="40" t="s">
        <v>86</v>
      </c>
      <c r="E472" s="40"/>
      <c r="F472" s="38">
        <v>768</v>
      </c>
      <c r="G472" s="38"/>
      <c r="H472" s="38" t="s">
        <v>249</v>
      </c>
      <c r="I472" s="38" t="s">
        <v>138</v>
      </c>
      <c r="J472" s="38">
        <v>4</v>
      </c>
      <c r="K472" s="41">
        <v>0.5121</v>
      </c>
      <c r="L472" s="38" t="s">
        <v>94</v>
      </c>
      <c r="M472" s="42" t="s">
        <v>90</v>
      </c>
    </row>
    <row r="473" spans="1:13" x14ac:dyDescent="0.3">
      <c r="A473" s="37">
        <v>53</v>
      </c>
      <c r="B473" s="38" t="s">
        <v>248</v>
      </c>
      <c r="C473" s="39">
        <v>7896658032561</v>
      </c>
      <c r="D473" s="40" t="s">
        <v>86</v>
      </c>
      <c r="E473" s="40"/>
      <c r="F473" s="38">
        <v>768</v>
      </c>
      <c r="G473" s="38"/>
      <c r="H473" s="38" t="s">
        <v>249</v>
      </c>
      <c r="I473" s="38" t="s">
        <v>138</v>
      </c>
      <c r="J473" s="38">
        <v>4</v>
      </c>
      <c r="K473" s="41">
        <v>0.50539999999999996</v>
      </c>
      <c r="L473" s="38" t="s">
        <v>260</v>
      </c>
      <c r="M473" s="42" t="s">
        <v>90</v>
      </c>
    </row>
    <row r="474" spans="1:13" x14ac:dyDescent="0.3">
      <c r="A474" s="37">
        <v>53</v>
      </c>
      <c r="B474" s="38" t="s">
        <v>248</v>
      </c>
      <c r="C474" s="39">
        <v>7896658032561</v>
      </c>
      <c r="D474" s="40" t="s">
        <v>86</v>
      </c>
      <c r="E474" s="40"/>
      <c r="F474" s="38">
        <v>768</v>
      </c>
      <c r="G474" s="38"/>
      <c r="H474" s="38" t="s">
        <v>249</v>
      </c>
      <c r="I474" s="38" t="s">
        <v>138</v>
      </c>
      <c r="J474" s="38">
        <v>4</v>
      </c>
      <c r="K474" s="41">
        <v>0.50539999999999996</v>
      </c>
      <c r="L474" s="38" t="s">
        <v>261</v>
      </c>
      <c r="M474" s="42" t="s">
        <v>90</v>
      </c>
    </row>
    <row r="475" spans="1:13" x14ac:dyDescent="0.3">
      <c r="A475" s="37">
        <v>53</v>
      </c>
      <c r="B475" s="38" t="s">
        <v>248</v>
      </c>
      <c r="C475" s="39">
        <v>7896658032561</v>
      </c>
      <c r="D475" s="40" t="s">
        <v>86</v>
      </c>
      <c r="E475" s="40"/>
      <c r="F475" s="38">
        <v>768</v>
      </c>
      <c r="G475" s="38"/>
      <c r="H475" s="38" t="s">
        <v>249</v>
      </c>
      <c r="I475" s="38" t="s">
        <v>138</v>
      </c>
      <c r="J475" s="38">
        <v>4</v>
      </c>
      <c r="K475" s="41">
        <v>0.50539999999999996</v>
      </c>
      <c r="L475" s="38" t="s">
        <v>262</v>
      </c>
      <c r="M475" s="42" t="s">
        <v>90</v>
      </c>
    </row>
    <row r="476" spans="1:13" x14ac:dyDescent="0.3">
      <c r="A476" s="37">
        <v>53</v>
      </c>
      <c r="B476" s="38" t="s">
        <v>248</v>
      </c>
      <c r="C476" s="39">
        <v>7896658032561</v>
      </c>
      <c r="D476" s="40" t="s">
        <v>86</v>
      </c>
      <c r="E476" s="40"/>
      <c r="F476" s="38">
        <v>768</v>
      </c>
      <c r="G476" s="38"/>
      <c r="H476" s="38" t="s">
        <v>249</v>
      </c>
      <c r="I476" s="38" t="s">
        <v>138</v>
      </c>
      <c r="J476" s="38">
        <v>4</v>
      </c>
      <c r="K476" s="41">
        <v>0.5121</v>
      </c>
      <c r="L476" s="38" t="s">
        <v>263</v>
      </c>
      <c r="M476" s="42" t="s">
        <v>90</v>
      </c>
    </row>
    <row r="477" spans="1:13" x14ac:dyDescent="0.3">
      <c r="A477" s="37">
        <v>53</v>
      </c>
      <c r="B477" s="38" t="s">
        <v>248</v>
      </c>
      <c r="C477" s="39">
        <v>7896658032561</v>
      </c>
      <c r="D477" s="40" t="s">
        <v>86</v>
      </c>
      <c r="E477" s="40"/>
      <c r="F477" s="38">
        <v>768</v>
      </c>
      <c r="G477" s="38"/>
      <c r="H477" s="38" t="s">
        <v>249</v>
      </c>
      <c r="I477" s="38" t="s">
        <v>138</v>
      </c>
      <c r="J477" s="38">
        <v>4</v>
      </c>
      <c r="K477" s="41">
        <v>0.5121</v>
      </c>
      <c r="L477" s="38" t="s">
        <v>95</v>
      </c>
      <c r="M477" s="42" t="s">
        <v>90</v>
      </c>
    </row>
    <row r="478" spans="1:13" x14ac:dyDescent="0.3">
      <c r="A478" s="37">
        <v>53</v>
      </c>
      <c r="B478" s="38" t="s">
        <v>248</v>
      </c>
      <c r="C478" s="39">
        <v>7896658032561</v>
      </c>
      <c r="D478" s="40" t="s">
        <v>86</v>
      </c>
      <c r="E478" s="40"/>
      <c r="F478" s="38">
        <v>768</v>
      </c>
      <c r="G478" s="38"/>
      <c r="H478" s="38" t="s">
        <v>249</v>
      </c>
      <c r="I478" s="38" t="s">
        <v>138</v>
      </c>
      <c r="J478" s="38">
        <v>4</v>
      </c>
      <c r="K478" s="41">
        <v>0.50539999999999996</v>
      </c>
      <c r="L478" s="38" t="s">
        <v>264</v>
      </c>
      <c r="M478" s="42" t="s">
        <v>90</v>
      </c>
    </row>
    <row r="479" spans="1:13" x14ac:dyDescent="0.3">
      <c r="A479" s="37">
        <v>53</v>
      </c>
      <c r="B479" s="38" t="s">
        <v>248</v>
      </c>
      <c r="C479" s="39">
        <v>7896658032561</v>
      </c>
      <c r="D479" s="40" t="s">
        <v>86</v>
      </c>
      <c r="E479" s="40"/>
      <c r="F479" s="38">
        <v>768</v>
      </c>
      <c r="G479" s="38"/>
      <c r="H479" s="38" t="s">
        <v>249</v>
      </c>
      <c r="I479" s="38" t="s">
        <v>138</v>
      </c>
      <c r="J479" s="38">
        <v>4</v>
      </c>
      <c r="K479" s="41">
        <v>0.50539999999999996</v>
      </c>
      <c r="L479" s="38" t="s">
        <v>265</v>
      </c>
      <c r="M479" s="42" t="s">
        <v>90</v>
      </c>
    </row>
    <row r="480" spans="1:13" x14ac:dyDescent="0.3">
      <c r="A480" s="37">
        <v>53</v>
      </c>
      <c r="B480" s="38" t="s">
        <v>248</v>
      </c>
      <c r="C480" s="39">
        <v>7896658032561</v>
      </c>
      <c r="D480" s="40" t="s">
        <v>86</v>
      </c>
      <c r="E480" s="40"/>
      <c r="F480" s="38">
        <v>768</v>
      </c>
      <c r="G480" s="38"/>
      <c r="H480" s="38" t="s">
        <v>249</v>
      </c>
      <c r="I480" s="38" t="s">
        <v>138</v>
      </c>
      <c r="J480" s="38">
        <v>4</v>
      </c>
      <c r="K480" s="41">
        <v>0.50539999999999996</v>
      </c>
      <c r="L480" s="38" t="s">
        <v>266</v>
      </c>
      <c r="M480" s="42" t="s">
        <v>90</v>
      </c>
    </row>
    <row r="481" spans="1:13" x14ac:dyDescent="0.3">
      <c r="A481" s="37">
        <v>53</v>
      </c>
      <c r="B481" s="38" t="s">
        <v>248</v>
      </c>
      <c r="C481" s="39">
        <v>7896658032561</v>
      </c>
      <c r="D481" s="40" t="s">
        <v>86</v>
      </c>
      <c r="E481" s="40"/>
      <c r="F481" s="38">
        <v>768</v>
      </c>
      <c r="G481" s="38"/>
      <c r="H481" s="38" t="s">
        <v>249</v>
      </c>
      <c r="I481" s="38" t="s">
        <v>138</v>
      </c>
      <c r="J481" s="38">
        <v>4</v>
      </c>
      <c r="K481" s="41">
        <v>0.5121</v>
      </c>
      <c r="L481" s="38" t="s">
        <v>267</v>
      </c>
      <c r="M481" s="42" t="s">
        <v>90</v>
      </c>
    </row>
    <row r="482" spans="1:13" x14ac:dyDescent="0.3">
      <c r="A482" s="37">
        <v>53</v>
      </c>
      <c r="B482" s="38" t="s">
        <v>248</v>
      </c>
      <c r="C482" s="39">
        <v>7896658032561</v>
      </c>
      <c r="D482" s="40" t="s">
        <v>86</v>
      </c>
      <c r="E482" s="40"/>
      <c r="F482" s="38">
        <v>768</v>
      </c>
      <c r="G482" s="38"/>
      <c r="H482" s="38" t="s">
        <v>249</v>
      </c>
      <c r="I482" s="38" t="s">
        <v>138</v>
      </c>
      <c r="J482" s="38">
        <v>4</v>
      </c>
      <c r="K482" s="41">
        <v>0.5121</v>
      </c>
      <c r="L482" s="38" t="s">
        <v>268</v>
      </c>
      <c r="M482" s="42" t="s">
        <v>90</v>
      </c>
    </row>
    <row r="483" spans="1:13" x14ac:dyDescent="0.3">
      <c r="A483" s="37">
        <v>53</v>
      </c>
      <c r="B483" s="38" t="s">
        <v>248</v>
      </c>
      <c r="C483" s="39">
        <v>7896658032561</v>
      </c>
      <c r="D483" s="40" t="s">
        <v>86</v>
      </c>
      <c r="E483" s="40"/>
      <c r="F483" s="38">
        <v>768</v>
      </c>
      <c r="G483" s="38"/>
      <c r="H483" s="38" t="s">
        <v>249</v>
      </c>
      <c r="I483" s="38" t="s">
        <v>138</v>
      </c>
      <c r="J483" s="38">
        <v>4</v>
      </c>
      <c r="K483" s="41">
        <v>0.5121</v>
      </c>
      <c r="L483" s="38" t="s">
        <v>269</v>
      </c>
      <c r="M483" s="42" t="s">
        <v>90</v>
      </c>
    </row>
    <row r="484" spans="1:13" x14ac:dyDescent="0.3">
      <c r="A484" s="37">
        <v>53</v>
      </c>
      <c r="B484" s="38" t="s">
        <v>248</v>
      </c>
      <c r="C484" s="39">
        <v>7896658032561</v>
      </c>
      <c r="D484" s="40" t="s">
        <v>86</v>
      </c>
      <c r="E484" s="40"/>
      <c r="F484" s="38">
        <v>768</v>
      </c>
      <c r="G484" s="38"/>
      <c r="H484" s="38" t="s">
        <v>249</v>
      </c>
      <c r="I484" s="38" t="s">
        <v>138</v>
      </c>
      <c r="J484" s="38">
        <v>4</v>
      </c>
      <c r="K484" s="41">
        <v>0.5121</v>
      </c>
      <c r="L484" s="38" t="s">
        <v>270</v>
      </c>
      <c r="M484" s="42" t="s">
        <v>90</v>
      </c>
    </row>
    <row r="485" spans="1:13" x14ac:dyDescent="0.3">
      <c r="A485" s="37">
        <v>53</v>
      </c>
      <c r="B485" s="38" t="s">
        <v>248</v>
      </c>
      <c r="C485" s="39">
        <v>7896658032561</v>
      </c>
      <c r="D485" s="40" t="s">
        <v>86</v>
      </c>
      <c r="E485" s="40"/>
      <c r="F485" s="38">
        <v>768</v>
      </c>
      <c r="G485" s="38"/>
      <c r="H485" s="38" t="s">
        <v>249</v>
      </c>
      <c r="I485" s="38" t="s">
        <v>138</v>
      </c>
      <c r="J485" s="38">
        <v>4</v>
      </c>
      <c r="K485" s="41">
        <v>0.52529999999999999</v>
      </c>
      <c r="L485" s="38" t="s">
        <v>114</v>
      </c>
      <c r="M485" s="42" t="s">
        <v>90</v>
      </c>
    </row>
    <row r="486" spans="1:13" x14ac:dyDescent="0.3">
      <c r="A486" s="37">
        <v>53</v>
      </c>
      <c r="B486" s="38" t="s">
        <v>248</v>
      </c>
      <c r="C486" s="39">
        <v>7896658032561</v>
      </c>
      <c r="D486" s="40" t="s">
        <v>86</v>
      </c>
      <c r="E486" s="40"/>
      <c r="F486" s="38">
        <v>768</v>
      </c>
      <c r="G486" s="38"/>
      <c r="H486" s="38" t="s">
        <v>249</v>
      </c>
      <c r="I486" s="38" t="s">
        <v>138</v>
      </c>
      <c r="J486" s="38">
        <v>4</v>
      </c>
      <c r="K486" s="41">
        <v>0.5121</v>
      </c>
      <c r="L486" s="38" t="s">
        <v>271</v>
      </c>
      <c r="M486" s="42" t="s">
        <v>90</v>
      </c>
    </row>
    <row r="487" spans="1:13" x14ac:dyDescent="0.3">
      <c r="A487" s="37">
        <v>53</v>
      </c>
      <c r="B487" s="38" t="s">
        <v>248</v>
      </c>
      <c r="C487" s="39">
        <v>7896658032561</v>
      </c>
      <c r="D487" s="40" t="s">
        <v>86</v>
      </c>
      <c r="E487" s="40"/>
      <c r="F487" s="38">
        <v>768</v>
      </c>
      <c r="G487" s="38"/>
      <c r="H487" s="38" t="s">
        <v>249</v>
      </c>
      <c r="I487" s="38" t="s">
        <v>138</v>
      </c>
      <c r="J487" s="38">
        <v>4</v>
      </c>
      <c r="K487" s="41">
        <v>0.45550000000000002</v>
      </c>
      <c r="L487" s="38" t="s">
        <v>272</v>
      </c>
      <c r="M487" s="42" t="s">
        <v>273</v>
      </c>
    </row>
    <row r="488" spans="1:13" x14ac:dyDescent="0.3">
      <c r="A488" s="37">
        <v>53</v>
      </c>
      <c r="B488" s="38" t="s">
        <v>248</v>
      </c>
      <c r="C488" s="39">
        <v>7896658032561</v>
      </c>
      <c r="D488" s="40" t="s">
        <v>86</v>
      </c>
      <c r="E488" s="40"/>
      <c r="F488" s="38">
        <v>768</v>
      </c>
      <c r="G488" s="38"/>
      <c r="H488" s="38" t="s">
        <v>249</v>
      </c>
      <c r="I488" s="38" t="s">
        <v>138</v>
      </c>
      <c r="J488" s="38">
        <v>4</v>
      </c>
      <c r="K488" s="41">
        <v>0.50870000000000004</v>
      </c>
      <c r="L488" s="38" t="s">
        <v>272</v>
      </c>
      <c r="M488" s="42" t="s">
        <v>90</v>
      </c>
    </row>
    <row r="489" spans="1:13" x14ac:dyDescent="0.3">
      <c r="A489" s="37">
        <v>53</v>
      </c>
      <c r="B489" s="38" t="s">
        <v>248</v>
      </c>
      <c r="C489" s="39">
        <v>7896658032561</v>
      </c>
      <c r="D489" s="40" t="s">
        <v>86</v>
      </c>
      <c r="E489" s="40"/>
      <c r="F489" s="38">
        <v>768</v>
      </c>
      <c r="G489" s="38"/>
      <c r="H489" s="38" t="s">
        <v>249</v>
      </c>
      <c r="I489" s="38" t="s">
        <v>138</v>
      </c>
      <c r="J489" s="38">
        <v>4</v>
      </c>
      <c r="K489" s="41">
        <v>0.45219999999999999</v>
      </c>
      <c r="L489" s="38" t="s">
        <v>274</v>
      </c>
      <c r="M489" s="42" t="s">
        <v>275</v>
      </c>
    </row>
    <row r="490" spans="1:13" x14ac:dyDescent="0.3">
      <c r="A490" s="37">
        <v>53</v>
      </c>
      <c r="B490" s="38" t="s">
        <v>248</v>
      </c>
      <c r="C490" s="39">
        <v>7896658032561</v>
      </c>
      <c r="D490" s="40" t="s">
        <v>86</v>
      </c>
      <c r="E490" s="40"/>
      <c r="F490" s="38">
        <v>768</v>
      </c>
      <c r="G490" s="38"/>
      <c r="H490" s="38" t="s">
        <v>249</v>
      </c>
      <c r="I490" s="38" t="s">
        <v>138</v>
      </c>
      <c r="J490" s="38">
        <v>4</v>
      </c>
      <c r="K490" s="41">
        <v>0.45219999999999999</v>
      </c>
      <c r="L490" s="38" t="s">
        <v>274</v>
      </c>
      <c r="M490" s="42" t="s">
        <v>276</v>
      </c>
    </row>
    <row r="491" spans="1:13" x14ac:dyDescent="0.3">
      <c r="A491" s="37">
        <v>53</v>
      </c>
      <c r="B491" s="38" t="s">
        <v>248</v>
      </c>
      <c r="C491" s="39">
        <v>7896658032561</v>
      </c>
      <c r="D491" s="40" t="s">
        <v>86</v>
      </c>
      <c r="E491" s="40"/>
      <c r="F491" s="38">
        <v>768</v>
      </c>
      <c r="G491" s="38"/>
      <c r="H491" s="38" t="s">
        <v>249</v>
      </c>
      <c r="I491" s="38" t="s">
        <v>138</v>
      </c>
      <c r="J491" s="38">
        <v>4</v>
      </c>
      <c r="K491" s="41">
        <v>0.50539999999999996</v>
      </c>
      <c r="L491" s="38" t="s">
        <v>274</v>
      </c>
      <c r="M491" s="42" t="s">
        <v>90</v>
      </c>
    </row>
    <row r="492" spans="1:13" x14ac:dyDescent="0.3">
      <c r="A492" s="37">
        <v>53</v>
      </c>
      <c r="B492" s="38" t="s">
        <v>248</v>
      </c>
      <c r="C492" s="39">
        <v>7896658032561</v>
      </c>
      <c r="D492" s="40" t="s">
        <v>86</v>
      </c>
      <c r="E492" s="40"/>
      <c r="F492" s="38">
        <v>768</v>
      </c>
      <c r="G492" s="38"/>
      <c r="H492" s="38" t="s">
        <v>249</v>
      </c>
      <c r="I492" s="38" t="s">
        <v>138</v>
      </c>
      <c r="J492" s="38">
        <v>4</v>
      </c>
      <c r="K492" s="41">
        <v>0.5121</v>
      </c>
      <c r="L492" s="38" t="s">
        <v>152</v>
      </c>
      <c r="M492" s="42" t="s">
        <v>90</v>
      </c>
    </row>
    <row r="493" spans="1:13" x14ac:dyDescent="0.3">
      <c r="A493" s="37">
        <v>53</v>
      </c>
      <c r="B493" s="38" t="s">
        <v>248</v>
      </c>
      <c r="C493" s="39">
        <v>7896658032561</v>
      </c>
      <c r="D493" s="40" t="s">
        <v>86</v>
      </c>
      <c r="E493" s="40"/>
      <c r="F493" s="38">
        <v>768</v>
      </c>
      <c r="G493" s="38"/>
      <c r="H493" s="38" t="s">
        <v>249</v>
      </c>
      <c r="I493" s="38" t="s">
        <v>138</v>
      </c>
      <c r="J493" s="38">
        <v>4</v>
      </c>
      <c r="K493" s="41">
        <v>0.50539999999999996</v>
      </c>
      <c r="L493" s="38" t="s">
        <v>127</v>
      </c>
      <c r="M493" s="42" t="s">
        <v>90</v>
      </c>
    </row>
    <row r="494" spans="1:13" x14ac:dyDescent="0.3">
      <c r="A494" s="37">
        <v>53</v>
      </c>
      <c r="B494" s="38" t="s">
        <v>248</v>
      </c>
      <c r="C494" s="39">
        <v>7896658032561</v>
      </c>
      <c r="D494" s="40" t="s">
        <v>86</v>
      </c>
      <c r="E494" s="40"/>
      <c r="F494" s="38">
        <v>768</v>
      </c>
      <c r="G494" s="38"/>
      <c r="H494" s="38" t="s">
        <v>249</v>
      </c>
      <c r="I494" s="38" t="s">
        <v>138</v>
      </c>
      <c r="J494" s="38">
        <v>4</v>
      </c>
      <c r="K494" s="41">
        <v>0.5121</v>
      </c>
      <c r="L494" s="38" t="s">
        <v>277</v>
      </c>
      <c r="M494" s="42" t="s">
        <v>90</v>
      </c>
    </row>
    <row r="495" spans="1:13" x14ac:dyDescent="0.3">
      <c r="A495" s="37">
        <v>53</v>
      </c>
      <c r="B495" s="38" t="s">
        <v>248</v>
      </c>
      <c r="C495" s="39">
        <v>7896658032561</v>
      </c>
      <c r="D495" s="40" t="s">
        <v>86</v>
      </c>
      <c r="E495" s="40"/>
      <c r="F495" s="38">
        <v>768</v>
      </c>
      <c r="G495" s="38"/>
      <c r="H495" s="38" t="s">
        <v>249</v>
      </c>
      <c r="I495" s="38" t="s">
        <v>138</v>
      </c>
      <c r="J495" s="38">
        <v>4</v>
      </c>
      <c r="K495" s="41">
        <v>0.5121</v>
      </c>
      <c r="L495" s="38" t="s">
        <v>278</v>
      </c>
      <c r="M495" s="42" t="s">
        <v>90</v>
      </c>
    </row>
    <row r="496" spans="1:13" x14ac:dyDescent="0.3">
      <c r="A496" s="37">
        <v>53</v>
      </c>
      <c r="B496" s="38" t="s">
        <v>248</v>
      </c>
      <c r="C496" s="39">
        <v>7896658032561</v>
      </c>
      <c r="D496" s="40" t="s">
        <v>86</v>
      </c>
      <c r="E496" s="40"/>
      <c r="F496" s="38">
        <v>768</v>
      </c>
      <c r="G496" s="38"/>
      <c r="H496" s="38" t="s">
        <v>249</v>
      </c>
      <c r="I496" s="38" t="s">
        <v>138</v>
      </c>
      <c r="J496" s="38">
        <v>4</v>
      </c>
      <c r="K496" s="41">
        <v>0.5121</v>
      </c>
      <c r="L496" s="38" t="s">
        <v>279</v>
      </c>
      <c r="M496" s="42" t="s">
        <v>90</v>
      </c>
    </row>
    <row r="497" spans="1:13" x14ac:dyDescent="0.3">
      <c r="A497" s="37">
        <v>53</v>
      </c>
      <c r="B497" s="38" t="s">
        <v>248</v>
      </c>
      <c r="C497" s="39">
        <v>7896658032561</v>
      </c>
      <c r="D497" s="40" t="s">
        <v>86</v>
      </c>
      <c r="E497" s="40"/>
      <c r="F497" s="38">
        <v>768</v>
      </c>
      <c r="G497" s="38"/>
      <c r="H497" s="38" t="s">
        <v>249</v>
      </c>
      <c r="I497" s="38" t="s">
        <v>138</v>
      </c>
      <c r="J497" s="38">
        <v>4</v>
      </c>
      <c r="K497" s="41">
        <v>0</v>
      </c>
      <c r="L497" s="38" t="s">
        <v>89</v>
      </c>
      <c r="M497" s="42" t="s">
        <v>90</v>
      </c>
    </row>
    <row r="498" spans="1:13" x14ac:dyDescent="0.3">
      <c r="A498" s="37">
        <v>53</v>
      </c>
      <c r="B498" s="38" t="s">
        <v>280</v>
      </c>
      <c r="C498" s="39">
        <v>7896658032578</v>
      </c>
      <c r="D498" s="40" t="s">
        <v>86</v>
      </c>
      <c r="E498" s="40"/>
      <c r="F498" s="38">
        <v>768</v>
      </c>
      <c r="G498" s="38"/>
      <c r="H498" s="38" t="s">
        <v>249</v>
      </c>
      <c r="I498" s="38" t="s">
        <v>138</v>
      </c>
      <c r="J498" s="38">
        <v>4</v>
      </c>
      <c r="K498" s="41">
        <v>0.43890000000000001</v>
      </c>
      <c r="L498" s="38" t="s">
        <v>139</v>
      </c>
      <c r="M498" s="42" t="s">
        <v>250</v>
      </c>
    </row>
    <row r="499" spans="1:13" x14ac:dyDescent="0.3">
      <c r="A499" s="37">
        <v>53</v>
      </c>
      <c r="B499" s="38" t="s">
        <v>280</v>
      </c>
      <c r="C499" s="39">
        <v>7896658032578</v>
      </c>
      <c r="D499" s="40" t="s">
        <v>86</v>
      </c>
      <c r="E499" s="40"/>
      <c r="F499" s="38">
        <v>768</v>
      </c>
      <c r="G499" s="38"/>
      <c r="H499" s="38" t="s">
        <v>249</v>
      </c>
      <c r="I499" s="38" t="s">
        <v>138</v>
      </c>
      <c r="J499" s="38">
        <v>4</v>
      </c>
      <c r="K499" s="41">
        <v>0.43890000000000001</v>
      </c>
      <c r="L499" s="38" t="s">
        <v>139</v>
      </c>
      <c r="M499" s="42" t="s">
        <v>251</v>
      </c>
    </row>
    <row r="500" spans="1:13" x14ac:dyDescent="0.3">
      <c r="A500" s="37">
        <v>53</v>
      </c>
      <c r="B500" s="38" t="s">
        <v>280</v>
      </c>
      <c r="C500" s="39">
        <v>7896658032578</v>
      </c>
      <c r="D500" s="40" t="s">
        <v>86</v>
      </c>
      <c r="E500" s="40"/>
      <c r="F500" s="38">
        <v>768</v>
      </c>
      <c r="G500" s="38"/>
      <c r="H500" s="38" t="s">
        <v>249</v>
      </c>
      <c r="I500" s="38" t="s">
        <v>138</v>
      </c>
      <c r="J500" s="38">
        <v>4</v>
      </c>
      <c r="K500" s="41">
        <v>0.43890000000000001</v>
      </c>
      <c r="L500" s="38" t="s">
        <v>139</v>
      </c>
      <c r="M500" s="42" t="s">
        <v>252</v>
      </c>
    </row>
    <row r="501" spans="1:13" x14ac:dyDescent="0.3">
      <c r="A501" s="37">
        <v>53</v>
      </c>
      <c r="B501" s="38" t="s">
        <v>280</v>
      </c>
      <c r="C501" s="39">
        <v>7896658032578</v>
      </c>
      <c r="D501" s="40" t="s">
        <v>86</v>
      </c>
      <c r="E501" s="40"/>
      <c r="F501" s="38">
        <v>768</v>
      </c>
      <c r="G501" s="38"/>
      <c r="H501" s="38" t="s">
        <v>249</v>
      </c>
      <c r="I501" s="38" t="s">
        <v>138</v>
      </c>
      <c r="J501" s="38">
        <v>4</v>
      </c>
      <c r="K501" s="41">
        <v>0.49340000000000001</v>
      </c>
      <c r="L501" s="38" t="s">
        <v>139</v>
      </c>
      <c r="M501" s="42" t="s">
        <v>90</v>
      </c>
    </row>
    <row r="502" spans="1:13" x14ac:dyDescent="0.3">
      <c r="A502" s="37">
        <v>53</v>
      </c>
      <c r="B502" s="38" t="s">
        <v>280</v>
      </c>
      <c r="C502" s="39">
        <v>7896658032578</v>
      </c>
      <c r="D502" s="40" t="s">
        <v>86</v>
      </c>
      <c r="E502" s="40"/>
      <c r="F502" s="38">
        <v>768</v>
      </c>
      <c r="G502" s="38"/>
      <c r="H502" s="38" t="s">
        <v>249</v>
      </c>
      <c r="I502" s="38" t="s">
        <v>138</v>
      </c>
      <c r="J502" s="38">
        <v>4</v>
      </c>
      <c r="K502" s="41">
        <v>0.49340000000000001</v>
      </c>
      <c r="L502" s="38" t="s">
        <v>253</v>
      </c>
      <c r="M502" s="42" t="s">
        <v>90</v>
      </c>
    </row>
    <row r="503" spans="1:13" x14ac:dyDescent="0.3">
      <c r="A503" s="37">
        <v>53</v>
      </c>
      <c r="B503" s="38" t="s">
        <v>280</v>
      </c>
      <c r="C503" s="39">
        <v>7896658032578</v>
      </c>
      <c r="D503" s="40" t="s">
        <v>86</v>
      </c>
      <c r="E503" s="40"/>
      <c r="F503" s="38">
        <v>768</v>
      </c>
      <c r="G503" s="38"/>
      <c r="H503" s="38" t="s">
        <v>249</v>
      </c>
      <c r="I503" s="38" t="s">
        <v>138</v>
      </c>
      <c r="J503" s="38">
        <v>4</v>
      </c>
      <c r="K503" s="41">
        <v>0.4456</v>
      </c>
      <c r="L503" s="38" t="s">
        <v>254</v>
      </c>
      <c r="M503" s="42" t="s">
        <v>255</v>
      </c>
    </row>
    <row r="504" spans="1:13" x14ac:dyDescent="0.3">
      <c r="A504" s="37">
        <v>53</v>
      </c>
      <c r="B504" s="38" t="s">
        <v>280</v>
      </c>
      <c r="C504" s="39">
        <v>7896658032578</v>
      </c>
      <c r="D504" s="40" t="s">
        <v>86</v>
      </c>
      <c r="E504" s="40"/>
      <c r="F504" s="38">
        <v>768</v>
      </c>
      <c r="G504" s="38"/>
      <c r="H504" s="38" t="s">
        <v>249</v>
      </c>
      <c r="I504" s="38" t="s">
        <v>138</v>
      </c>
      <c r="J504" s="38">
        <v>4</v>
      </c>
      <c r="K504" s="41">
        <v>0.4456</v>
      </c>
      <c r="L504" s="38" t="s">
        <v>254</v>
      </c>
      <c r="M504" s="42" t="s">
        <v>256</v>
      </c>
    </row>
    <row r="505" spans="1:13" x14ac:dyDescent="0.3">
      <c r="A505" s="37">
        <v>53</v>
      </c>
      <c r="B505" s="38" t="s">
        <v>280</v>
      </c>
      <c r="C505" s="39">
        <v>7896658032578</v>
      </c>
      <c r="D505" s="40" t="s">
        <v>86</v>
      </c>
      <c r="E505" s="40"/>
      <c r="F505" s="38">
        <v>768</v>
      </c>
      <c r="G505" s="38"/>
      <c r="H505" s="38" t="s">
        <v>249</v>
      </c>
      <c r="I505" s="38" t="s">
        <v>138</v>
      </c>
      <c r="J505" s="38">
        <v>4</v>
      </c>
      <c r="K505" s="41">
        <v>0.50019999999999998</v>
      </c>
      <c r="L505" s="38" t="s">
        <v>254</v>
      </c>
      <c r="M505" s="42" t="s">
        <v>90</v>
      </c>
    </row>
    <row r="506" spans="1:13" x14ac:dyDescent="0.3">
      <c r="A506" s="37">
        <v>53</v>
      </c>
      <c r="B506" s="38" t="s">
        <v>280</v>
      </c>
      <c r="C506" s="39">
        <v>7896658032578</v>
      </c>
      <c r="D506" s="40" t="s">
        <v>86</v>
      </c>
      <c r="E506" s="40"/>
      <c r="F506" s="38">
        <v>768</v>
      </c>
      <c r="G506" s="38"/>
      <c r="H506" s="38" t="s">
        <v>249</v>
      </c>
      <c r="I506" s="38" t="s">
        <v>138</v>
      </c>
      <c r="J506" s="38">
        <v>4</v>
      </c>
      <c r="K506" s="41">
        <v>0.4456</v>
      </c>
      <c r="L506" s="38" t="s">
        <v>257</v>
      </c>
      <c r="M506" s="42" t="s">
        <v>258</v>
      </c>
    </row>
    <row r="507" spans="1:13" x14ac:dyDescent="0.3">
      <c r="A507" s="37">
        <v>53</v>
      </c>
      <c r="B507" s="38" t="s">
        <v>280</v>
      </c>
      <c r="C507" s="39">
        <v>7896658032578</v>
      </c>
      <c r="D507" s="40" t="s">
        <v>86</v>
      </c>
      <c r="E507" s="40"/>
      <c r="F507" s="38">
        <v>768</v>
      </c>
      <c r="G507" s="38"/>
      <c r="H507" s="38" t="s">
        <v>249</v>
      </c>
      <c r="I507" s="38" t="s">
        <v>138</v>
      </c>
      <c r="J507" s="38">
        <v>4</v>
      </c>
      <c r="K507" s="41">
        <v>0.4456</v>
      </c>
      <c r="L507" s="38" t="s">
        <v>257</v>
      </c>
      <c r="M507" s="42" t="s">
        <v>259</v>
      </c>
    </row>
    <row r="508" spans="1:13" x14ac:dyDescent="0.3">
      <c r="A508" s="37">
        <v>53</v>
      </c>
      <c r="B508" s="38" t="s">
        <v>280</v>
      </c>
      <c r="C508" s="39">
        <v>7896658032578</v>
      </c>
      <c r="D508" s="40" t="s">
        <v>86</v>
      </c>
      <c r="E508" s="40"/>
      <c r="F508" s="38">
        <v>768</v>
      </c>
      <c r="G508" s="38"/>
      <c r="H508" s="38" t="s">
        <v>249</v>
      </c>
      <c r="I508" s="38" t="s">
        <v>138</v>
      </c>
      <c r="J508" s="38">
        <v>4</v>
      </c>
      <c r="K508" s="41">
        <v>0.50019999999999998</v>
      </c>
      <c r="L508" s="38" t="s">
        <v>257</v>
      </c>
      <c r="M508" s="42" t="s">
        <v>90</v>
      </c>
    </row>
    <row r="509" spans="1:13" x14ac:dyDescent="0.3">
      <c r="A509" s="37">
        <v>53</v>
      </c>
      <c r="B509" s="38" t="s">
        <v>280</v>
      </c>
      <c r="C509" s="39">
        <v>7896658032578</v>
      </c>
      <c r="D509" s="40" t="s">
        <v>86</v>
      </c>
      <c r="E509" s="40"/>
      <c r="F509" s="38">
        <v>768</v>
      </c>
      <c r="G509" s="38"/>
      <c r="H509" s="38" t="s">
        <v>249</v>
      </c>
      <c r="I509" s="38" t="s">
        <v>138</v>
      </c>
      <c r="J509" s="38">
        <v>4</v>
      </c>
      <c r="K509" s="41">
        <v>0.50019999999999998</v>
      </c>
      <c r="L509" s="38" t="s">
        <v>132</v>
      </c>
      <c r="M509" s="42" t="s">
        <v>90</v>
      </c>
    </row>
    <row r="510" spans="1:13" x14ac:dyDescent="0.3">
      <c r="A510" s="37">
        <v>53</v>
      </c>
      <c r="B510" s="38" t="s">
        <v>280</v>
      </c>
      <c r="C510" s="39">
        <v>7896658032578</v>
      </c>
      <c r="D510" s="40" t="s">
        <v>86</v>
      </c>
      <c r="E510" s="40"/>
      <c r="F510" s="38">
        <v>768</v>
      </c>
      <c r="G510" s="38"/>
      <c r="H510" s="38" t="s">
        <v>249</v>
      </c>
      <c r="I510" s="38" t="s">
        <v>138</v>
      </c>
      <c r="J510" s="38">
        <v>4</v>
      </c>
      <c r="K510" s="41">
        <v>0.50019999999999998</v>
      </c>
      <c r="L510" s="38" t="s">
        <v>94</v>
      </c>
      <c r="M510" s="42" t="s">
        <v>90</v>
      </c>
    </row>
    <row r="511" spans="1:13" x14ac:dyDescent="0.3">
      <c r="A511" s="37">
        <v>53</v>
      </c>
      <c r="B511" s="38" t="s">
        <v>280</v>
      </c>
      <c r="C511" s="39">
        <v>7896658032578</v>
      </c>
      <c r="D511" s="40" t="s">
        <v>86</v>
      </c>
      <c r="E511" s="40"/>
      <c r="F511" s="38">
        <v>768</v>
      </c>
      <c r="G511" s="38"/>
      <c r="H511" s="38" t="s">
        <v>249</v>
      </c>
      <c r="I511" s="38" t="s">
        <v>138</v>
      </c>
      <c r="J511" s="38">
        <v>4</v>
      </c>
      <c r="K511" s="41">
        <v>0.49340000000000001</v>
      </c>
      <c r="L511" s="38" t="s">
        <v>260</v>
      </c>
      <c r="M511" s="42" t="s">
        <v>90</v>
      </c>
    </row>
    <row r="512" spans="1:13" x14ac:dyDescent="0.3">
      <c r="A512" s="37">
        <v>53</v>
      </c>
      <c r="B512" s="38" t="s">
        <v>280</v>
      </c>
      <c r="C512" s="39">
        <v>7896658032578</v>
      </c>
      <c r="D512" s="40" t="s">
        <v>86</v>
      </c>
      <c r="E512" s="40"/>
      <c r="F512" s="38">
        <v>768</v>
      </c>
      <c r="G512" s="38"/>
      <c r="H512" s="38" t="s">
        <v>249</v>
      </c>
      <c r="I512" s="38" t="s">
        <v>138</v>
      </c>
      <c r="J512" s="38">
        <v>4</v>
      </c>
      <c r="K512" s="41">
        <v>0.49340000000000001</v>
      </c>
      <c r="L512" s="38" t="s">
        <v>261</v>
      </c>
      <c r="M512" s="42" t="s">
        <v>90</v>
      </c>
    </row>
    <row r="513" spans="1:13" x14ac:dyDescent="0.3">
      <c r="A513" s="37">
        <v>53</v>
      </c>
      <c r="B513" s="38" t="s">
        <v>280</v>
      </c>
      <c r="C513" s="39">
        <v>7896658032578</v>
      </c>
      <c r="D513" s="40" t="s">
        <v>86</v>
      </c>
      <c r="E513" s="40"/>
      <c r="F513" s="38">
        <v>768</v>
      </c>
      <c r="G513" s="38"/>
      <c r="H513" s="38" t="s">
        <v>249</v>
      </c>
      <c r="I513" s="38" t="s">
        <v>138</v>
      </c>
      <c r="J513" s="38">
        <v>4</v>
      </c>
      <c r="K513" s="41">
        <v>0.49340000000000001</v>
      </c>
      <c r="L513" s="38" t="s">
        <v>262</v>
      </c>
      <c r="M513" s="42" t="s">
        <v>90</v>
      </c>
    </row>
    <row r="514" spans="1:13" x14ac:dyDescent="0.3">
      <c r="A514" s="37">
        <v>53</v>
      </c>
      <c r="B514" s="38" t="s">
        <v>280</v>
      </c>
      <c r="C514" s="39">
        <v>7896658032578</v>
      </c>
      <c r="D514" s="40" t="s">
        <v>86</v>
      </c>
      <c r="E514" s="40"/>
      <c r="F514" s="38">
        <v>768</v>
      </c>
      <c r="G514" s="38"/>
      <c r="H514" s="38" t="s">
        <v>249</v>
      </c>
      <c r="I514" s="38" t="s">
        <v>138</v>
      </c>
      <c r="J514" s="38">
        <v>4</v>
      </c>
      <c r="K514" s="41">
        <v>0.50019999999999998</v>
      </c>
      <c r="L514" s="38" t="s">
        <v>263</v>
      </c>
      <c r="M514" s="42" t="s">
        <v>90</v>
      </c>
    </row>
    <row r="515" spans="1:13" x14ac:dyDescent="0.3">
      <c r="A515" s="37">
        <v>53</v>
      </c>
      <c r="B515" s="38" t="s">
        <v>280</v>
      </c>
      <c r="C515" s="39">
        <v>7896658032578</v>
      </c>
      <c r="D515" s="40" t="s">
        <v>86</v>
      </c>
      <c r="E515" s="40"/>
      <c r="F515" s="38">
        <v>768</v>
      </c>
      <c r="G515" s="38"/>
      <c r="H515" s="38" t="s">
        <v>249</v>
      </c>
      <c r="I515" s="38" t="s">
        <v>138</v>
      </c>
      <c r="J515" s="38">
        <v>4</v>
      </c>
      <c r="K515" s="41">
        <v>0.50019999999999998</v>
      </c>
      <c r="L515" s="38" t="s">
        <v>95</v>
      </c>
      <c r="M515" s="42" t="s">
        <v>90</v>
      </c>
    </row>
    <row r="516" spans="1:13" x14ac:dyDescent="0.3">
      <c r="A516" s="37">
        <v>53</v>
      </c>
      <c r="B516" s="38" t="s">
        <v>280</v>
      </c>
      <c r="C516" s="39">
        <v>7896658032578</v>
      </c>
      <c r="D516" s="40" t="s">
        <v>86</v>
      </c>
      <c r="E516" s="40"/>
      <c r="F516" s="38">
        <v>768</v>
      </c>
      <c r="G516" s="38"/>
      <c r="H516" s="38" t="s">
        <v>249</v>
      </c>
      <c r="I516" s="38" t="s">
        <v>138</v>
      </c>
      <c r="J516" s="38">
        <v>4</v>
      </c>
      <c r="K516" s="41">
        <v>0.49340000000000001</v>
      </c>
      <c r="L516" s="38" t="s">
        <v>264</v>
      </c>
      <c r="M516" s="42" t="s">
        <v>90</v>
      </c>
    </row>
    <row r="517" spans="1:13" x14ac:dyDescent="0.3">
      <c r="A517" s="37">
        <v>53</v>
      </c>
      <c r="B517" s="38" t="s">
        <v>280</v>
      </c>
      <c r="C517" s="39">
        <v>7896658032578</v>
      </c>
      <c r="D517" s="40" t="s">
        <v>86</v>
      </c>
      <c r="E517" s="40"/>
      <c r="F517" s="38">
        <v>768</v>
      </c>
      <c r="G517" s="38"/>
      <c r="H517" s="38" t="s">
        <v>249</v>
      </c>
      <c r="I517" s="38" t="s">
        <v>138</v>
      </c>
      <c r="J517" s="38">
        <v>4</v>
      </c>
      <c r="K517" s="41">
        <v>0.49340000000000001</v>
      </c>
      <c r="L517" s="38" t="s">
        <v>265</v>
      </c>
      <c r="M517" s="42" t="s">
        <v>90</v>
      </c>
    </row>
    <row r="518" spans="1:13" x14ac:dyDescent="0.3">
      <c r="A518" s="37">
        <v>53</v>
      </c>
      <c r="B518" s="38" t="s">
        <v>280</v>
      </c>
      <c r="C518" s="39">
        <v>7896658032578</v>
      </c>
      <c r="D518" s="40" t="s">
        <v>86</v>
      </c>
      <c r="E518" s="40"/>
      <c r="F518" s="38">
        <v>768</v>
      </c>
      <c r="G518" s="38"/>
      <c r="H518" s="38" t="s">
        <v>249</v>
      </c>
      <c r="I518" s="38" t="s">
        <v>138</v>
      </c>
      <c r="J518" s="38">
        <v>4</v>
      </c>
      <c r="K518" s="41">
        <v>0.49340000000000001</v>
      </c>
      <c r="L518" s="38" t="s">
        <v>266</v>
      </c>
      <c r="M518" s="42" t="s">
        <v>90</v>
      </c>
    </row>
    <row r="519" spans="1:13" x14ac:dyDescent="0.3">
      <c r="A519" s="37">
        <v>53</v>
      </c>
      <c r="B519" s="38" t="s">
        <v>280</v>
      </c>
      <c r="C519" s="39">
        <v>7896658032578</v>
      </c>
      <c r="D519" s="40" t="s">
        <v>86</v>
      </c>
      <c r="E519" s="40"/>
      <c r="F519" s="38">
        <v>768</v>
      </c>
      <c r="G519" s="38"/>
      <c r="H519" s="38" t="s">
        <v>249</v>
      </c>
      <c r="I519" s="38" t="s">
        <v>138</v>
      </c>
      <c r="J519" s="38">
        <v>4</v>
      </c>
      <c r="K519" s="41">
        <v>0.50019999999999998</v>
      </c>
      <c r="L519" s="38" t="s">
        <v>267</v>
      </c>
      <c r="M519" s="42" t="s">
        <v>90</v>
      </c>
    </row>
    <row r="520" spans="1:13" x14ac:dyDescent="0.3">
      <c r="A520" s="37">
        <v>53</v>
      </c>
      <c r="B520" s="38" t="s">
        <v>280</v>
      </c>
      <c r="C520" s="39">
        <v>7896658032578</v>
      </c>
      <c r="D520" s="40" t="s">
        <v>86</v>
      </c>
      <c r="E520" s="40"/>
      <c r="F520" s="38">
        <v>768</v>
      </c>
      <c r="G520" s="38"/>
      <c r="H520" s="38" t="s">
        <v>249</v>
      </c>
      <c r="I520" s="38" t="s">
        <v>138</v>
      </c>
      <c r="J520" s="38">
        <v>4</v>
      </c>
      <c r="K520" s="41">
        <v>0.50019999999999998</v>
      </c>
      <c r="L520" s="38" t="s">
        <v>268</v>
      </c>
      <c r="M520" s="42" t="s">
        <v>90</v>
      </c>
    </row>
    <row r="521" spans="1:13" x14ac:dyDescent="0.3">
      <c r="A521" s="37">
        <v>53</v>
      </c>
      <c r="B521" s="38" t="s">
        <v>280</v>
      </c>
      <c r="C521" s="39">
        <v>7896658032578</v>
      </c>
      <c r="D521" s="40" t="s">
        <v>86</v>
      </c>
      <c r="E521" s="40"/>
      <c r="F521" s="38">
        <v>768</v>
      </c>
      <c r="G521" s="38"/>
      <c r="H521" s="38" t="s">
        <v>249</v>
      </c>
      <c r="I521" s="38" t="s">
        <v>138</v>
      </c>
      <c r="J521" s="38">
        <v>4</v>
      </c>
      <c r="K521" s="41">
        <v>0.50019999999999998</v>
      </c>
      <c r="L521" s="38" t="s">
        <v>269</v>
      </c>
      <c r="M521" s="42" t="s">
        <v>90</v>
      </c>
    </row>
    <row r="522" spans="1:13" x14ac:dyDescent="0.3">
      <c r="A522" s="37">
        <v>53</v>
      </c>
      <c r="B522" s="38" t="s">
        <v>280</v>
      </c>
      <c r="C522" s="39">
        <v>7896658032578</v>
      </c>
      <c r="D522" s="40" t="s">
        <v>86</v>
      </c>
      <c r="E522" s="40"/>
      <c r="F522" s="38">
        <v>768</v>
      </c>
      <c r="G522" s="38"/>
      <c r="H522" s="38" t="s">
        <v>249</v>
      </c>
      <c r="I522" s="38" t="s">
        <v>138</v>
      </c>
      <c r="J522" s="38">
        <v>4</v>
      </c>
      <c r="K522" s="41">
        <v>0.50019999999999998</v>
      </c>
      <c r="L522" s="38" t="s">
        <v>270</v>
      </c>
      <c r="M522" s="42" t="s">
        <v>90</v>
      </c>
    </row>
    <row r="523" spans="1:13" x14ac:dyDescent="0.3">
      <c r="A523" s="37">
        <v>53</v>
      </c>
      <c r="B523" s="38" t="s">
        <v>280</v>
      </c>
      <c r="C523" s="39">
        <v>7896658032578</v>
      </c>
      <c r="D523" s="40" t="s">
        <v>86</v>
      </c>
      <c r="E523" s="40"/>
      <c r="F523" s="38">
        <v>768</v>
      </c>
      <c r="G523" s="38"/>
      <c r="H523" s="38" t="s">
        <v>249</v>
      </c>
      <c r="I523" s="38" t="s">
        <v>138</v>
      </c>
      <c r="J523" s="38">
        <v>4</v>
      </c>
      <c r="K523" s="41">
        <v>0.51380000000000003</v>
      </c>
      <c r="L523" s="38" t="s">
        <v>114</v>
      </c>
      <c r="M523" s="42" t="s">
        <v>90</v>
      </c>
    </row>
    <row r="524" spans="1:13" x14ac:dyDescent="0.3">
      <c r="A524" s="37">
        <v>53</v>
      </c>
      <c r="B524" s="38" t="s">
        <v>280</v>
      </c>
      <c r="C524" s="39">
        <v>7896658032578</v>
      </c>
      <c r="D524" s="40" t="s">
        <v>86</v>
      </c>
      <c r="E524" s="40"/>
      <c r="F524" s="38">
        <v>768</v>
      </c>
      <c r="G524" s="38"/>
      <c r="H524" s="38" t="s">
        <v>249</v>
      </c>
      <c r="I524" s="38" t="s">
        <v>138</v>
      </c>
      <c r="J524" s="38">
        <v>4</v>
      </c>
      <c r="K524" s="41">
        <v>0.50019999999999998</v>
      </c>
      <c r="L524" s="38" t="s">
        <v>271</v>
      </c>
      <c r="M524" s="42" t="s">
        <v>90</v>
      </c>
    </row>
    <row r="525" spans="1:13" x14ac:dyDescent="0.3">
      <c r="A525" s="37">
        <v>53</v>
      </c>
      <c r="B525" s="38" t="s">
        <v>280</v>
      </c>
      <c r="C525" s="39">
        <v>7896658032578</v>
      </c>
      <c r="D525" s="40" t="s">
        <v>86</v>
      </c>
      <c r="E525" s="40"/>
      <c r="F525" s="38">
        <v>768</v>
      </c>
      <c r="G525" s="38"/>
      <c r="H525" s="38" t="s">
        <v>249</v>
      </c>
      <c r="I525" s="38" t="s">
        <v>138</v>
      </c>
      <c r="J525" s="38">
        <v>4</v>
      </c>
      <c r="K525" s="41">
        <v>0.44230000000000003</v>
      </c>
      <c r="L525" s="38" t="s">
        <v>272</v>
      </c>
      <c r="M525" s="42" t="s">
        <v>273</v>
      </c>
    </row>
    <row r="526" spans="1:13" x14ac:dyDescent="0.3">
      <c r="A526" s="37">
        <v>53</v>
      </c>
      <c r="B526" s="38" t="s">
        <v>280</v>
      </c>
      <c r="C526" s="39">
        <v>7896658032578</v>
      </c>
      <c r="D526" s="40" t="s">
        <v>86</v>
      </c>
      <c r="E526" s="40"/>
      <c r="F526" s="38">
        <v>768</v>
      </c>
      <c r="G526" s="38"/>
      <c r="H526" s="38" t="s">
        <v>249</v>
      </c>
      <c r="I526" s="38" t="s">
        <v>138</v>
      </c>
      <c r="J526" s="38">
        <v>4</v>
      </c>
      <c r="K526" s="41">
        <v>0.49669999999999997</v>
      </c>
      <c r="L526" s="38" t="s">
        <v>272</v>
      </c>
      <c r="M526" s="42" t="s">
        <v>90</v>
      </c>
    </row>
    <row r="527" spans="1:13" x14ac:dyDescent="0.3">
      <c r="A527" s="37">
        <v>53</v>
      </c>
      <c r="B527" s="38" t="s">
        <v>280</v>
      </c>
      <c r="C527" s="39">
        <v>7896658032578</v>
      </c>
      <c r="D527" s="40" t="s">
        <v>86</v>
      </c>
      <c r="E527" s="40"/>
      <c r="F527" s="38">
        <v>768</v>
      </c>
      <c r="G527" s="38"/>
      <c r="H527" s="38" t="s">
        <v>249</v>
      </c>
      <c r="I527" s="38" t="s">
        <v>138</v>
      </c>
      <c r="J527" s="38">
        <v>4</v>
      </c>
      <c r="K527" s="41">
        <v>0.43890000000000001</v>
      </c>
      <c r="L527" s="38" t="s">
        <v>274</v>
      </c>
      <c r="M527" s="42" t="s">
        <v>275</v>
      </c>
    </row>
    <row r="528" spans="1:13" x14ac:dyDescent="0.3">
      <c r="A528" s="37">
        <v>53</v>
      </c>
      <c r="B528" s="38" t="s">
        <v>280</v>
      </c>
      <c r="C528" s="39">
        <v>7896658032578</v>
      </c>
      <c r="D528" s="40" t="s">
        <v>86</v>
      </c>
      <c r="E528" s="40"/>
      <c r="F528" s="38">
        <v>768</v>
      </c>
      <c r="G528" s="38"/>
      <c r="H528" s="38" t="s">
        <v>249</v>
      </c>
      <c r="I528" s="38" t="s">
        <v>138</v>
      </c>
      <c r="J528" s="38">
        <v>4</v>
      </c>
      <c r="K528" s="41">
        <v>0.43890000000000001</v>
      </c>
      <c r="L528" s="38" t="s">
        <v>274</v>
      </c>
      <c r="M528" s="42" t="s">
        <v>276</v>
      </c>
    </row>
    <row r="529" spans="1:13" x14ac:dyDescent="0.3">
      <c r="A529" s="37">
        <v>53</v>
      </c>
      <c r="B529" s="38" t="s">
        <v>280</v>
      </c>
      <c r="C529" s="39">
        <v>7896658032578</v>
      </c>
      <c r="D529" s="40" t="s">
        <v>86</v>
      </c>
      <c r="E529" s="40"/>
      <c r="F529" s="38">
        <v>768</v>
      </c>
      <c r="G529" s="38"/>
      <c r="H529" s="38" t="s">
        <v>249</v>
      </c>
      <c r="I529" s="38" t="s">
        <v>138</v>
      </c>
      <c r="J529" s="38">
        <v>4</v>
      </c>
      <c r="K529" s="41">
        <v>0.49340000000000001</v>
      </c>
      <c r="L529" s="38" t="s">
        <v>274</v>
      </c>
      <c r="M529" s="42" t="s">
        <v>90</v>
      </c>
    </row>
    <row r="530" spans="1:13" x14ac:dyDescent="0.3">
      <c r="A530" s="37">
        <v>53</v>
      </c>
      <c r="B530" s="38" t="s">
        <v>280</v>
      </c>
      <c r="C530" s="39">
        <v>7896658032578</v>
      </c>
      <c r="D530" s="40" t="s">
        <v>86</v>
      </c>
      <c r="E530" s="40"/>
      <c r="F530" s="38">
        <v>768</v>
      </c>
      <c r="G530" s="38"/>
      <c r="H530" s="38" t="s">
        <v>249</v>
      </c>
      <c r="I530" s="38" t="s">
        <v>138</v>
      </c>
      <c r="J530" s="38">
        <v>4</v>
      </c>
      <c r="K530" s="41">
        <v>0.50019999999999998</v>
      </c>
      <c r="L530" s="38" t="s">
        <v>152</v>
      </c>
      <c r="M530" s="42" t="s">
        <v>90</v>
      </c>
    </row>
    <row r="531" spans="1:13" x14ac:dyDescent="0.3">
      <c r="A531" s="37">
        <v>53</v>
      </c>
      <c r="B531" s="38" t="s">
        <v>280</v>
      </c>
      <c r="C531" s="39">
        <v>7896658032578</v>
      </c>
      <c r="D531" s="40" t="s">
        <v>86</v>
      </c>
      <c r="E531" s="40"/>
      <c r="F531" s="38">
        <v>768</v>
      </c>
      <c r="G531" s="38"/>
      <c r="H531" s="38" t="s">
        <v>249</v>
      </c>
      <c r="I531" s="38" t="s">
        <v>138</v>
      </c>
      <c r="J531" s="38">
        <v>4</v>
      </c>
      <c r="K531" s="41">
        <v>0.49340000000000001</v>
      </c>
      <c r="L531" s="38" t="s">
        <v>127</v>
      </c>
      <c r="M531" s="42" t="s">
        <v>90</v>
      </c>
    </row>
    <row r="532" spans="1:13" x14ac:dyDescent="0.3">
      <c r="A532" s="37">
        <v>53</v>
      </c>
      <c r="B532" s="38" t="s">
        <v>280</v>
      </c>
      <c r="C532" s="39">
        <v>7896658032578</v>
      </c>
      <c r="D532" s="40" t="s">
        <v>86</v>
      </c>
      <c r="E532" s="40"/>
      <c r="F532" s="38">
        <v>768</v>
      </c>
      <c r="G532" s="38"/>
      <c r="H532" s="38" t="s">
        <v>249</v>
      </c>
      <c r="I532" s="38" t="s">
        <v>138</v>
      </c>
      <c r="J532" s="38">
        <v>4</v>
      </c>
      <c r="K532" s="41">
        <v>0.50019999999999998</v>
      </c>
      <c r="L532" s="38" t="s">
        <v>277</v>
      </c>
      <c r="M532" s="42" t="s">
        <v>90</v>
      </c>
    </row>
    <row r="533" spans="1:13" x14ac:dyDescent="0.3">
      <c r="A533" s="37">
        <v>53</v>
      </c>
      <c r="B533" s="38" t="s">
        <v>280</v>
      </c>
      <c r="C533" s="39">
        <v>7896658032578</v>
      </c>
      <c r="D533" s="40" t="s">
        <v>86</v>
      </c>
      <c r="E533" s="40"/>
      <c r="F533" s="38">
        <v>768</v>
      </c>
      <c r="G533" s="38"/>
      <c r="H533" s="38" t="s">
        <v>249</v>
      </c>
      <c r="I533" s="38" t="s">
        <v>138</v>
      </c>
      <c r="J533" s="38">
        <v>4</v>
      </c>
      <c r="K533" s="41">
        <v>0.50019999999999998</v>
      </c>
      <c r="L533" s="38" t="s">
        <v>278</v>
      </c>
      <c r="M533" s="42" t="s">
        <v>90</v>
      </c>
    </row>
    <row r="534" spans="1:13" x14ac:dyDescent="0.3">
      <c r="A534" s="37">
        <v>53</v>
      </c>
      <c r="B534" s="38" t="s">
        <v>280</v>
      </c>
      <c r="C534" s="39">
        <v>7896658032578</v>
      </c>
      <c r="D534" s="40" t="s">
        <v>86</v>
      </c>
      <c r="E534" s="40"/>
      <c r="F534" s="38">
        <v>768</v>
      </c>
      <c r="G534" s="38"/>
      <c r="H534" s="38" t="s">
        <v>249</v>
      </c>
      <c r="I534" s="38" t="s">
        <v>138</v>
      </c>
      <c r="J534" s="38">
        <v>4</v>
      </c>
      <c r="K534" s="41">
        <v>0.50019999999999998</v>
      </c>
      <c r="L534" s="38" t="s">
        <v>279</v>
      </c>
      <c r="M534" s="42" t="s">
        <v>90</v>
      </c>
    </row>
    <row r="535" spans="1:13" x14ac:dyDescent="0.3">
      <c r="A535" s="37">
        <v>53</v>
      </c>
      <c r="B535" s="38" t="s">
        <v>280</v>
      </c>
      <c r="C535" s="39">
        <v>7896658032578</v>
      </c>
      <c r="D535" s="40" t="s">
        <v>86</v>
      </c>
      <c r="E535" s="40"/>
      <c r="F535" s="38">
        <v>768</v>
      </c>
      <c r="G535" s="38"/>
      <c r="H535" s="38" t="s">
        <v>249</v>
      </c>
      <c r="I535" s="38" t="s">
        <v>138</v>
      </c>
      <c r="J535" s="38">
        <v>4</v>
      </c>
      <c r="K535" s="41">
        <v>0</v>
      </c>
      <c r="L535" s="38" t="s">
        <v>89</v>
      </c>
      <c r="M535" s="42" t="s">
        <v>90</v>
      </c>
    </row>
    <row r="536" spans="1:13" x14ac:dyDescent="0.3">
      <c r="A536" s="37">
        <v>53</v>
      </c>
      <c r="B536" s="38" t="s">
        <v>281</v>
      </c>
      <c r="C536" s="39">
        <v>7896658032585</v>
      </c>
      <c r="D536" s="40" t="s">
        <v>86</v>
      </c>
      <c r="E536" s="40"/>
      <c r="F536" s="38">
        <v>768</v>
      </c>
      <c r="G536" s="38"/>
      <c r="H536" s="38" t="s">
        <v>249</v>
      </c>
      <c r="I536" s="38" t="s">
        <v>138</v>
      </c>
      <c r="J536" s="38">
        <v>4</v>
      </c>
      <c r="K536" s="41">
        <v>0.39839999999999998</v>
      </c>
      <c r="L536" s="38" t="s">
        <v>139</v>
      </c>
      <c r="M536" s="42" t="s">
        <v>250</v>
      </c>
    </row>
    <row r="537" spans="1:13" x14ac:dyDescent="0.3">
      <c r="A537" s="37">
        <v>53</v>
      </c>
      <c r="B537" s="38" t="s">
        <v>281</v>
      </c>
      <c r="C537" s="39">
        <v>7896658032585</v>
      </c>
      <c r="D537" s="40" t="s">
        <v>86</v>
      </c>
      <c r="E537" s="40"/>
      <c r="F537" s="38">
        <v>768</v>
      </c>
      <c r="G537" s="38"/>
      <c r="H537" s="38" t="s">
        <v>249</v>
      </c>
      <c r="I537" s="38" t="s">
        <v>138</v>
      </c>
      <c r="J537" s="38">
        <v>4</v>
      </c>
      <c r="K537" s="41">
        <v>0.39839999999999998</v>
      </c>
      <c r="L537" s="38" t="s">
        <v>139</v>
      </c>
      <c r="M537" s="42" t="s">
        <v>251</v>
      </c>
    </row>
    <row r="538" spans="1:13" x14ac:dyDescent="0.3">
      <c r="A538" s="37">
        <v>53</v>
      </c>
      <c r="B538" s="38" t="s">
        <v>281</v>
      </c>
      <c r="C538" s="39">
        <v>7896658032585</v>
      </c>
      <c r="D538" s="40" t="s">
        <v>86</v>
      </c>
      <c r="E538" s="40"/>
      <c r="F538" s="38">
        <v>768</v>
      </c>
      <c r="G538" s="38"/>
      <c r="H538" s="38" t="s">
        <v>249</v>
      </c>
      <c r="I538" s="38" t="s">
        <v>138</v>
      </c>
      <c r="J538" s="38">
        <v>4</v>
      </c>
      <c r="K538" s="41">
        <v>0.39839999999999998</v>
      </c>
      <c r="L538" s="38" t="s">
        <v>139</v>
      </c>
      <c r="M538" s="42" t="s">
        <v>252</v>
      </c>
    </row>
    <row r="539" spans="1:13" x14ac:dyDescent="0.3">
      <c r="A539" s="37">
        <v>53</v>
      </c>
      <c r="B539" s="38" t="s">
        <v>281</v>
      </c>
      <c r="C539" s="39">
        <v>7896658032585</v>
      </c>
      <c r="D539" s="40" t="s">
        <v>86</v>
      </c>
      <c r="E539" s="40"/>
      <c r="F539" s="38">
        <v>768</v>
      </c>
      <c r="G539" s="38"/>
      <c r="H539" s="38" t="s">
        <v>249</v>
      </c>
      <c r="I539" s="38" t="s">
        <v>138</v>
      </c>
      <c r="J539" s="38">
        <v>4</v>
      </c>
      <c r="K539" s="41">
        <v>0.45679999999999998</v>
      </c>
      <c r="L539" s="38" t="s">
        <v>139</v>
      </c>
      <c r="M539" s="42" t="s">
        <v>90</v>
      </c>
    </row>
    <row r="540" spans="1:13" x14ac:dyDescent="0.3">
      <c r="A540" s="37">
        <v>53</v>
      </c>
      <c r="B540" s="38" t="s">
        <v>281</v>
      </c>
      <c r="C540" s="39">
        <v>7896658032585</v>
      </c>
      <c r="D540" s="40" t="s">
        <v>86</v>
      </c>
      <c r="E540" s="40"/>
      <c r="F540" s="38">
        <v>768</v>
      </c>
      <c r="G540" s="38"/>
      <c r="H540" s="38" t="s">
        <v>249</v>
      </c>
      <c r="I540" s="38" t="s">
        <v>138</v>
      </c>
      <c r="J540" s="38">
        <v>4</v>
      </c>
      <c r="K540" s="41">
        <v>0.45679999999999998</v>
      </c>
      <c r="L540" s="38" t="s">
        <v>253</v>
      </c>
      <c r="M540" s="42" t="s">
        <v>90</v>
      </c>
    </row>
    <row r="541" spans="1:13" x14ac:dyDescent="0.3">
      <c r="A541" s="37">
        <v>53</v>
      </c>
      <c r="B541" s="38" t="s">
        <v>281</v>
      </c>
      <c r="C541" s="39">
        <v>7896658032585</v>
      </c>
      <c r="D541" s="40" t="s">
        <v>86</v>
      </c>
      <c r="E541" s="40"/>
      <c r="F541" s="38">
        <v>768</v>
      </c>
      <c r="G541" s="38"/>
      <c r="H541" s="38" t="s">
        <v>249</v>
      </c>
      <c r="I541" s="38" t="s">
        <v>138</v>
      </c>
      <c r="J541" s="38">
        <v>4</v>
      </c>
      <c r="K541" s="41">
        <v>0.40550000000000003</v>
      </c>
      <c r="L541" s="38" t="s">
        <v>254</v>
      </c>
      <c r="M541" s="42" t="s">
        <v>255</v>
      </c>
    </row>
    <row r="542" spans="1:13" x14ac:dyDescent="0.3">
      <c r="A542" s="37">
        <v>53</v>
      </c>
      <c r="B542" s="38" t="s">
        <v>281</v>
      </c>
      <c r="C542" s="39">
        <v>7896658032585</v>
      </c>
      <c r="D542" s="40" t="s">
        <v>86</v>
      </c>
      <c r="E542" s="40"/>
      <c r="F542" s="38">
        <v>768</v>
      </c>
      <c r="G542" s="38"/>
      <c r="H542" s="38" t="s">
        <v>249</v>
      </c>
      <c r="I542" s="38" t="s">
        <v>138</v>
      </c>
      <c r="J542" s="38">
        <v>4</v>
      </c>
      <c r="K542" s="41">
        <v>0.40550000000000003</v>
      </c>
      <c r="L542" s="38" t="s">
        <v>254</v>
      </c>
      <c r="M542" s="42" t="s">
        <v>256</v>
      </c>
    </row>
    <row r="543" spans="1:13" x14ac:dyDescent="0.3">
      <c r="A543" s="37">
        <v>53</v>
      </c>
      <c r="B543" s="38" t="s">
        <v>281</v>
      </c>
      <c r="C543" s="39">
        <v>7896658032585</v>
      </c>
      <c r="D543" s="40" t="s">
        <v>86</v>
      </c>
      <c r="E543" s="40"/>
      <c r="F543" s="38">
        <v>768</v>
      </c>
      <c r="G543" s="38"/>
      <c r="H543" s="38" t="s">
        <v>249</v>
      </c>
      <c r="I543" s="38" t="s">
        <v>138</v>
      </c>
      <c r="J543" s="38">
        <v>4</v>
      </c>
      <c r="K543" s="41">
        <v>0.46400000000000002</v>
      </c>
      <c r="L543" s="38" t="s">
        <v>254</v>
      </c>
      <c r="M543" s="42" t="s">
        <v>90</v>
      </c>
    </row>
    <row r="544" spans="1:13" x14ac:dyDescent="0.3">
      <c r="A544" s="37">
        <v>53</v>
      </c>
      <c r="B544" s="38" t="s">
        <v>281</v>
      </c>
      <c r="C544" s="39">
        <v>7896658032585</v>
      </c>
      <c r="D544" s="40" t="s">
        <v>86</v>
      </c>
      <c r="E544" s="40"/>
      <c r="F544" s="38">
        <v>768</v>
      </c>
      <c r="G544" s="38"/>
      <c r="H544" s="38" t="s">
        <v>249</v>
      </c>
      <c r="I544" s="38" t="s">
        <v>138</v>
      </c>
      <c r="J544" s="38">
        <v>4</v>
      </c>
      <c r="K544" s="41">
        <v>0.40550000000000003</v>
      </c>
      <c r="L544" s="38" t="s">
        <v>257</v>
      </c>
      <c r="M544" s="42" t="s">
        <v>258</v>
      </c>
    </row>
    <row r="545" spans="1:13" x14ac:dyDescent="0.3">
      <c r="A545" s="37">
        <v>53</v>
      </c>
      <c r="B545" s="38" t="s">
        <v>281</v>
      </c>
      <c r="C545" s="39">
        <v>7896658032585</v>
      </c>
      <c r="D545" s="40" t="s">
        <v>86</v>
      </c>
      <c r="E545" s="40"/>
      <c r="F545" s="38">
        <v>768</v>
      </c>
      <c r="G545" s="38"/>
      <c r="H545" s="38" t="s">
        <v>249</v>
      </c>
      <c r="I545" s="38" t="s">
        <v>138</v>
      </c>
      <c r="J545" s="38">
        <v>4</v>
      </c>
      <c r="K545" s="41">
        <v>0.40550000000000003</v>
      </c>
      <c r="L545" s="38" t="s">
        <v>257</v>
      </c>
      <c r="M545" s="42" t="s">
        <v>259</v>
      </c>
    </row>
    <row r="546" spans="1:13" x14ac:dyDescent="0.3">
      <c r="A546" s="37">
        <v>53</v>
      </c>
      <c r="B546" s="38" t="s">
        <v>281</v>
      </c>
      <c r="C546" s="39">
        <v>7896658032585</v>
      </c>
      <c r="D546" s="40" t="s">
        <v>86</v>
      </c>
      <c r="E546" s="40"/>
      <c r="F546" s="38">
        <v>768</v>
      </c>
      <c r="G546" s="38"/>
      <c r="H546" s="38" t="s">
        <v>249</v>
      </c>
      <c r="I546" s="38" t="s">
        <v>138</v>
      </c>
      <c r="J546" s="38">
        <v>4</v>
      </c>
      <c r="K546" s="41">
        <v>0.46400000000000002</v>
      </c>
      <c r="L546" s="38" t="s">
        <v>257</v>
      </c>
      <c r="M546" s="42" t="s">
        <v>90</v>
      </c>
    </row>
    <row r="547" spans="1:13" x14ac:dyDescent="0.3">
      <c r="A547" s="37">
        <v>53</v>
      </c>
      <c r="B547" s="38" t="s">
        <v>281</v>
      </c>
      <c r="C547" s="39">
        <v>7896658032585</v>
      </c>
      <c r="D547" s="40" t="s">
        <v>86</v>
      </c>
      <c r="E547" s="40"/>
      <c r="F547" s="38">
        <v>768</v>
      </c>
      <c r="G547" s="38"/>
      <c r="H547" s="38" t="s">
        <v>249</v>
      </c>
      <c r="I547" s="38" t="s">
        <v>138</v>
      </c>
      <c r="J547" s="38">
        <v>4</v>
      </c>
      <c r="K547" s="41">
        <v>0.46400000000000002</v>
      </c>
      <c r="L547" s="38" t="s">
        <v>132</v>
      </c>
      <c r="M547" s="42" t="s">
        <v>90</v>
      </c>
    </row>
    <row r="548" spans="1:13" x14ac:dyDescent="0.3">
      <c r="A548" s="37">
        <v>53</v>
      </c>
      <c r="B548" s="38" t="s">
        <v>281</v>
      </c>
      <c r="C548" s="39">
        <v>7896658032585</v>
      </c>
      <c r="D548" s="40" t="s">
        <v>86</v>
      </c>
      <c r="E548" s="40"/>
      <c r="F548" s="38">
        <v>768</v>
      </c>
      <c r="G548" s="38"/>
      <c r="H548" s="38" t="s">
        <v>249</v>
      </c>
      <c r="I548" s="38" t="s">
        <v>138</v>
      </c>
      <c r="J548" s="38">
        <v>4</v>
      </c>
      <c r="K548" s="41">
        <v>0.46400000000000002</v>
      </c>
      <c r="L548" s="38" t="s">
        <v>94</v>
      </c>
      <c r="M548" s="42" t="s">
        <v>90</v>
      </c>
    </row>
    <row r="549" spans="1:13" x14ac:dyDescent="0.3">
      <c r="A549" s="37">
        <v>53</v>
      </c>
      <c r="B549" s="38" t="s">
        <v>281</v>
      </c>
      <c r="C549" s="39">
        <v>7896658032585</v>
      </c>
      <c r="D549" s="40" t="s">
        <v>86</v>
      </c>
      <c r="E549" s="40"/>
      <c r="F549" s="38">
        <v>768</v>
      </c>
      <c r="G549" s="38"/>
      <c r="H549" s="38" t="s">
        <v>249</v>
      </c>
      <c r="I549" s="38" t="s">
        <v>138</v>
      </c>
      <c r="J549" s="38">
        <v>4</v>
      </c>
      <c r="K549" s="41">
        <v>0.45679999999999998</v>
      </c>
      <c r="L549" s="38" t="s">
        <v>260</v>
      </c>
      <c r="M549" s="42" t="s">
        <v>90</v>
      </c>
    </row>
    <row r="550" spans="1:13" x14ac:dyDescent="0.3">
      <c r="A550" s="37">
        <v>53</v>
      </c>
      <c r="B550" s="38" t="s">
        <v>281</v>
      </c>
      <c r="C550" s="39">
        <v>7896658032585</v>
      </c>
      <c r="D550" s="40" t="s">
        <v>86</v>
      </c>
      <c r="E550" s="40"/>
      <c r="F550" s="38">
        <v>768</v>
      </c>
      <c r="G550" s="38"/>
      <c r="H550" s="38" t="s">
        <v>249</v>
      </c>
      <c r="I550" s="38" t="s">
        <v>138</v>
      </c>
      <c r="J550" s="38">
        <v>4</v>
      </c>
      <c r="K550" s="41">
        <v>0.45679999999999998</v>
      </c>
      <c r="L550" s="38" t="s">
        <v>261</v>
      </c>
      <c r="M550" s="42" t="s">
        <v>90</v>
      </c>
    </row>
    <row r="551" spans="1:13" x14ac:dyDescent="0.3">
      <c r="A551" s="37">
        <v>53</v>
      </c>
      <c r="B551" s="38" t="s">
        <v>281</v>
      </c>
      <c r="C551" s="39">
        <v>7896658032585</v>
      </c>
      <c r="D551" s="40" t="s">
        <v>86</v>
      </c>
      <c r="E551" s="40"/>
      <c r="F551" s="38">
        <v>768</v>
      </c>
      <c r="G551" s="38"/>
      <c r="H551" s="38" t="s">
        <v>249</v>
      </c>
      <c r="I551" s="38" t="s">
        <v>138</v>
      </c>
      <c r="J551" s="38">
        <v>4</v>
      </c>
      <c r="K551" s="41">
        <v>0.45679999999999998</v>
      </c>
      <c r="L551" s="38" t="s">
        <v>262</v>
      </c>
      <c r="M551" s="42" t="s">
        <v>90</v>
      </c>
    </row>
    <row r="552" spans="1:13" x14ac:dyDescent="0.3">
      <c r="A552" s="37">
        <v>53</v>
      </c>
      <c r="B552" s="38" t="s">
        <v>281</v>
      </c>
      <c r="C552" s="39">
        <v>7896658032585</v>
      </c>
      <c r="D552" s="40" t="s">
        <v>86</v>
      </c>
      <c r="E552" s="40"/>
      <c r="F552" s="38">
        <v>768</v>
      </c>
      <c r="G552" s="38"/>
      <c r="H552" s="38" t="s">
        <v>249</v>
      </c>
      <c r="I552" s="38" t="s">
        <v>138</v>
      </c>
      <c r="J552" s="38">
        <v>4</v>
      </c>
      <c r="K552" s="41">
        <v>0.46400000000000002</v>
      </c>
      <c r="L552" s="38" t="s">
        <v>263</v>
      </c>
      <c r="M552" s="42" t="s">
        <v>90</v>
      </c>
    </row>
    <row r="553" spans="1:13" x14ac:dyDescent="0.3">
      <c r="A553" s="37">
        <v>53</v>
      </c>
      <c r="B553" s="38" t="s">
        <v>281</v>
      </c>
      <c r="C553" s="39">
        <v>7896658032585</v>
      </c>
      <c r="D553" s="40" t="s">
        <v>86</v>
      </c>
      <c r="E553" s="40"/>
      <c r="F553" s="38">
        <v>768</v>
      </c>
      <c r="G553" s="38"/>
      <c r="H553" s="38" t="s">
        <v>249</v>
      </c>
      <c r="I553" s="38" t="s">
        <v>138</v>
      </c>
      <c r="J553" s="38">
        <v>4</v>
      </c>
      <c r="K553" s="41">
        <v>0.46400000000000002</v>
      </c>
      <c r="L553" s="38" t="s">
        <v>95</v>
      </c>
      <c r="M553" s="42" t="s">
        <v>90</v>
      </c>
    </row>
    <row r="554" spans="1:13" x14ac:dyDescent="0.3">
      <c r="A554" s="37">
        <v>53</v>
      </c>
      <c r="B554" s="38" t="s">
        <v>281</v>
      </c>
      <c r="C554" s="39">
        <v>7896658032585</v>
      </c>
      <c r="D554" s="40" t="s">
        <v>86</v>
      </c>
      <c r="E554" s="40"/>
      <c r="F554" s="38">
        <v>768</v>
      </c>
      <c r="G554" s="38"/>
      <c r="H554" s="38" t="s">
        <v>249</v>
      </c>
      <c r="I554" s="38" t="s">
        <v>138</v>
      </c>
      <c r="J554" s="38">
        <v>4</v>
      </c>
      <c r="K554" s="41">
        <v>0.45679999999999998</v>
      </c>
      <c r="L554" s="38" t="s">
        <v>264</v>
      </c>
      <c r="M554" s="42" t="s">
        <v>90</v>
      </c>
    </row>
    <row r="555" spans="1:13" x14ac:dyDescent="0.3">
      <c r="A555" s="37">
        <v>53</v>
      </c>
      <c r="B555" s="38" t="s">
        <v>281</v>
      </c>
      <c r="C555" s="39">
        <v>7896658032585</v>
      </c>
      <c r="D555" s="40" t="s">
        <v>86</v>
      </c>
      <c r="E555" s="40"/>
      <c r="F555" s="38">
        <v>768</v>
      </c>
      <c r="G555" s="38"/>
      <c r="H555" s="38" t="s">
        <v>249</v>
      </c>
      <c r="I555" s="38" t="s">
        <v>138</v>
      </c>
      <c r="J555" s="38">
        <v>4</v>
      </c>
      <c r="K555" s="41">
        <v>0.45679999999999998</v>
      </c>
      <c r="L555" s="38" t="s">
        <v>265</v>
      </c>
      <c r="M555" s="42" t="s">
        <v>90</v>
      </c>
    </row>
    <row r="556" spans="1:13" x14ac:dyDescent="0.3">
      <c r="A556" s="37">
        <v>53</v>
      </c>
      <c r="B556" s="38" t="s">
        <v>281</v>
      </c>
      <c r="C556" s="39">
        <v>7896658032585</v>
      </c>
      <c r="D556" s="40" t="s">
        <v>86</v>
      </c>
      <c r="E556" s="40"/>
      <c r="F556" s="38">
        <v>768</v>
      </c>
      <c r="G556" s="38"/>
      <c r="H556" s="38" t="s">
        <v>249</v>
      </c>
      <c r="I556" s="38" t="s">
        <v>138</v>
      </c>
      <c r="J556" s="38">
        <v>4</v>
      </c>
      <c r="K556" s="41">
        <v>0.45679999999999998</v>
      </c>
      <c r="L556" s="38" t="s">
        <v>266</v>
      </c>
      <c r="M556" s="42" t="s">
        <v>90</v>
      </c>
    </row>
    <row r="557" spans="1:13" x14ac:dyDescent="0.3">
      <c r="A557" s="37">
        <v>53</v>
      </c>
      <c r="B557" s="38" t="s">
        <v>281</v>
      </c>
      <c r="C557" s="39">
        <v>7896658032585</v>
      </c>
      <c r="D557" s="40" t="s">
        <v>86</v>
      </c>
      <c r="E557" s="40"/>
      <c r="F557" s="38">
        <v>768</v>
      </c>
      <c r="G557" s="38"/>
      <c r="H557" s="38" t="s">
        <v>249</v>
      </c>
      <c r="I557" s="38" t="s">
        <v>138</v>
      </c>
      <c r="J557" s="38">
        <v>4</v>
      </c>
      <c r="K557" s="41">
        <v>0.46400000000000002</v>
      </c>
      <c r="L557" s="38" t="s">
        <v>267</v>
      </c>
      <c r="M557" s="42" t="s">
        <v>90</v>
      </c>
    </row>
    <row r="558" spans="1:13" x14ac:dyDescent="0.3">
      <c r="A558" s="37">
        <v>53</v>
      </c>
      <c r="B558" s="38" t="s">
        <v>281</v>
      </c>
      <c r="C558" s="39">
        <v>7896658032585</v>
      </c>
      <c r="D558" s="40" t="s">
        <v>86</v>
      </c>
      <c r="E558" s="40"/>
      <c r="F558" s="38">
        <v>768</v>
      </c>
      <c r="G558" s="38"/>
      <c r="H558" s="38" t="s">
        <v>249</v>
      </c>
      <c r="I558" s="38" t="s">
        <v>138</v>
      </c>
      <c r="J558" s="38">
        <v>4</v>
      </c>
      <c r="K558" s="41">
        <v>0.46400000000000002</v>
      </c>
      <c r="L558" s="38" t="s">
        <v>268</v>
      </c>
      <c r="M558" s="42" t="s">
        <v>90</v>
      </c>
    </row>
    <row r="559" spans="1:13" x14ac:dyDescent="0.3">
      <c r="A559" s="37">
        <v>53</v>
      </c>
      <c r="B559" s="38" t="s">
        <v>281</v>
      </c>
      <c r="C559" s="39">
        <v>7896658032585</v>
      </c>
      <c r="D559" s="40" t="s">
        <v>86</v>
      </c>
      <c r="E559" s="40"/>
      <c r="F559" s="38">
        <v>768</v>
      </c>
      <c r="G559" s="38"/>
      <c r="H559" s="38" t="s">
        <v>249</v>
      </c>
      <c r="I559" s="38" t="s">
        <v>138</v>
      </c>
      <c r="J559" s="38">
        <v>4</v>
      </c>
      <c r="K559" s="41">
        <v>0.46400000000000002</v>
      </c>
      <c r="L559" s="38" t="s">
        <v>269</v>
      </c>
      <c r="M559" s="42" t="s">
        <v>90</v>
      </c>
    </row>
    <row r="560" spans="1:13" x14ac:dyDescent="0.3">
      <c r="A560" s="37">
        <v>53</v>
      </c>
      <c r="B560" s="38" t="s">
        <v>281</v>
      </c>
      <c r="C560" s="39">
        <v>7896658032585</v>
      </c>
      <c r="D560" s="40" t="s">
        <v>86</v>
      </c>
      <c r="E560" s="40"/>
      <c r="F560" s="38">
        <v>768</v>
      </c>
      <c r="G560" s="38"/>
      <c r="H560" s="38" t="s">
        <v>249</v>
      </c>
      <c r="I560" s="38" t="s">
        <v>138</v>
      </c>
      <c r="J560" s="38">
        <v>4</v>
      </c>
      <c r="K560" s="41">
        <v>0.46400000000000002</v>
      </c>
      <c r="L560" s="38" t="s">
        <v>270</v>
      </c>
      <c r="M560" s="42" t="s">
        <v>90</v>
      </c>
    </row>
    <row r="561" spans="1:13" x14ac:dyDescent="0.3">
      <c r="A561" s="37">
        <v>53</v>
      </c>
      <c r="B561" s="38" t="s">
        <v>281</v>
      </c>
      <c r="C561" s="39">
        <v>7896658032585</v>
      </c>
      <c r="D561" s="40" t="s">
        <v>86</v>
      </c>
      <c r="E561" s="40"/>
      <c r="F561" s="38">
        <v>768</v>
      </c>
      <c r="G561" s="38"/>
      <c r="H561" s="38" t="s">
        <v>249</v>
      </c>
      <c r="I561" s="38" t="s">
        <v>138</v>
      </c>
      <c r="J561" s="38">
        <v>4</v>
      </c>
      <c r="K561" s="41">
        <v>0.47860000000000003</v>
      </c>
      <c r="L561" s="38" t="s">
        <v>114</v>
      </c>
      <c r="M561" s="42" t="s">
        <v>90</v>
      </c>
    </row>
    <row r="562" spans="1:13" x14ac:dyDescent="0.3">
      <c r="A562" s="37">
        <v>53</v>
      </c>
      <c r="B562" s="38" t="s">
        <v>281</v>
      </c>
      <c r="C562" s="39">
        <v>7896658032585</v>
      </c>
      <c r="D562" s="40" t="s">
        <v>86</v>
      </c>
      <c r="E562" s="40"/>
      <c r="F562" s="38">
        <v>768</v>
      </c>
      <c r="G562" s="38"/>
      <c r="H562" s="38" t="s">
        <v>249</v>
      </c>
      <c r="I562" s="38" t="s">
        <v>138</v>
      </c>
      <c r="J562" s="38">
        <v>4</v>
      </c>
      <c r="K562" s="41">
        <v>0.46400000000000002</v>
      </c>
      <c r="L562" s="38" t="s">
        <v>271</v>
      </c>
      <c r="M562" s="42" t="s">
        <v>90</v>
      </c>
    </row>
    <row r="563" spans="1:13" x14ac:dyDescent="0.3">
      <c r="A563" s="37">
        <v>53</v>
      </c>
      <c r="B563" s="38" t="s">
        <v>281</v>
      </c>
      <c r="C563" s="39">
        <v>7896658032585</v>
      </c>
      <c r="D563" s="40" t="s">
        <v>86</v>
      </c>
      <c r="E563" s="40"/>
      <c r="F563" s="38">
        <v>768</v>
      </c>
      <c r="G563" s="38"/>
      <c r="H563" s="38" t="s">
        <v>249</v>
      </c>
      <c r="I563" s="38" t="s">
        <v>138</v>
      </c>
      <c r="J563" s="38">
        <v>4</v>
      </c>
      <c r="K563" s="41">
        <v>0.40179999999999999</v>
      </c>
      <c r="L563" s="38" t="s">
        <v>272</v>
      </c>
      <c r="M563" s="42" t="s">
        <v>273</v>
      </c>
    </row>
    <row r="564" spans="1:13" x14ac:dyDescent="0.3">
      <c r="A564" s="37">
        <v>53</v>
      </c>
      <c r="B564" s="38" t="s">
        <v>281</v>
      </c>
      <c r="C564" s="39">
        <v>7896658032585</v>
      </c>
      <c r="D564" s="40" t="s">
        <v>86</v>
      </c>
      <c r="E564" s="40"/>
      <c r="F564" s="38">
        <v>768</v>
      </c>
      <c r="G564" s="38"/>
      <c r="H564" s="38" t="s">
        <v>249</v>
      </c>
      <c r="I564" s="38" t="s">
        <v>138</v>
      </c>
      <c r="J564" s="38">
        <v>4</v>
      </c>
      <c r="K564" s="41">
        <v>0.46029999999999999</v>
      </c>
      <c r="L564" s="38" t="s">
        <v>272</v>
      </c>
      <c r="M564" s="42" t="s">
        <v>90</v>
      </c>
    </row>
    <row r="565" spans="1:13" x14ac:dyDescent="0.3">
      <c r="A565" s="37">
        <v>53</v>
      </c>
      <c r="B565" s="38" t="s">
        <v>281</v>
      </c>
      <c r="C565" s="39">
        <v>7896658032585</v>
      </c>
      <c r="D565" s="40" t="s">
        <v>86</v>
      </c>
      <c r="E565" s="40"/>
      <c r="F565" s="38">
        <v>768</v>
      </c>
      <c r="G565" s="38"/>
      <c r="H565" s="38" t="s">
        <v>249</v>
      </c>
      <c r="I565" s="38" t="s">
        <v>138</v>
      </c>
      <c r="J565" s="38">
        <v>4</v>
      </c>
      <c r="K565" s="41">
        <v>0.39839999999999998</v>
      </c>
      <c r="L565" s="38" t="s">
        <v>274</v>
      </c>
      <c r="M565" s="42" t="s">
        <v>275</v>
      </c>
    </row>
    <row r="566" spans="1:13" x14ac:dyDescent="0.3">
      <c r="A566" s="37">
        <v>53</v>
      </c>
      <c r="B566" s="38" t="s">
        <v>281</v>
      </c>
      <c r="C566" s="39">
        <v>7896658032585</v>
      </c>
      <c r="D566" s="40" t="s">
        <v>86</v>
      </c>
      <c r="E566" s="40"/>
      <c r="F566" s="38">
        <v>768</v>
      </c>
      <c r="G566" s="38"/>
      <c r="H566" s="38" t="s">
        <v>249</v>
      </c>
      <c r="I566" s="38" t="s">
        <v>138</v>
      </c>
      <c r="J566" s="38">
        <v>4</v>
      </c>
      <c r="K566" s="41">
        <v>0.39839999999999998</v>
      </c>
      <c r="L566" s="38" t="s">
        <v>274</v>
      </c>
      <c r="M566" s="42" t="s">
        <v>276</v>
      </c>
    </row>
    <row r="567" spans="1:13" x14ac:dyDescent="0.3">
      <c r="A567" s="37">
        <v>53</v>
      </c>
      <c r="B567" s="38" t="s">
        <v>281</v>
      </c>
      <c r="C567" s="39">
        <v>7896658032585</v>
      </c>
      <c r="D567" s="40" t="s">
        <v>86</v>
      </c>
      <c r="E567" s="40"/>
      <c r="F567" s="38">
        <v>768</v>
      </c>
      <c r="G567" s="38"/>
      <c r="H567" s="38" t="s">
        <v>249</v>
      </c>
      <c r="I567" s="38" t="s">
        <v>138</v>
      </c>
      <c r="J567" s="38">
        <v>4</v>
      </c>
      <c r="K567" s="41">
        <v>0.45679999999999998</v>
      </c>
      <c r="L567" s="38" t="s">
        <v>274</v>
      </c>
      <c r="M567" s="42" t="s">
        <v>90</v>
      </c>
    </row>
    <row r="568" spans="1:13" x14ac:dyDescent="0.3">
      <c r="A568" s="37">
        <v>53</v>
      </c>
      <c r="B568" s="38" t="s">
        <v>281</v>
      </c>
      <c r="C568" s="39">
        <v>7896658032585</v>
      </c>
      <c r="D568" s="40" t="s">
        <v>86</v>
      </c>
      <c r="E568" s="40"/>
      <c r="F568" s="38">
        <v>768</v>
      </c>
      <c r="G568" s="38"/>
      <c r="H568" s="38" t="s">
        <v>249</v>
      </c>
      <c r="I568" s="38" t="s">
        <v>138</v>
      </c>
      <c r="J568" s="38">
        <v>4</v>
      </c>
      <c r="K568" s="41">
        <v>0.46400000000000002</v>
      </c>
      <c r="L568" s="38" t="s">
        <v>152</v>
      </c>
      <c r="M568" s="42" t="s">
        <v>90</v>
      </c>
    </row>
    <row r="569" spans="1:13" x14ac:dyDescent="0.3">
      <c r="A569" s="37">
        <v>53</v>
      </c>
      <c r="B569" s="38" t="s">
        <v>281</v>
      </c>
      <c r="C569" s="39">
        <v>7896658032585</v>
      </c>
      <c r="D569" s="40" t="s">
        <v>86</v>
      </c>
      <c r="E569" s="40"/>
      <c r="F569" s="38">
        <v>768</v>
      </c>
      <c r="G569" s="38"/>
      <c r="H569" s="38" t="s">
        <v>249</v>
      </c>
      <c r="I569" s="38" t="s">
        <v>138</v>
      </c>
      <c r="J569" s="38">
        <v>4</v>
      </c>
      <c r="K569" s="41">
        <v>0.45679999999999998</v>
      </c>
      <c r="L569" s="38" t="s">
        <v>127</v>
      </c>
      <c r="M569" s="42" t="s">
        <v>90</v>
      </c>
    </row>
    <row r="570" spans="1:13" x14ac:dyDescent="0.3">
      <c r="A570" s="37">
        <v>53</v>
      </c>
      <c r="B570" s="38" t="s">
        <v>281</v>
      </c>
      <c r="C570" s="39">
        <v>7896658032585</v>
      </c>
      <c r="D570" s="40" t="s">
        <v>86</v>
      </c>
      <c r="E570" s="40"/>
      <c r="F570" s="38">
        <v>768</v>
      </c>
      <c r="G570" s="38"/>
      <c r="H570" s="38" t="s">
        <v>249</v>
      </c>
      <c r="I570" s="38" t="s">
        <v>138</v>
      </c>
      <c r="J570" s="38">
        <v>4</v>
      </c>
      <c r="K570" s="41">
        <v>0.46400000000000002</v>
      </c>
      <c r="L570" s="38" t="s">
        <v>277</v>
      </c>
      <c r="M570" s="42" t="s">
        <v>90</v>
      </c>
    </row>
    <row r="571" spans="1:13" x14ac:dyDescent="0.3">
      <c r="A571" s="37">
        <v>53</v>
      </c>
      <c r="B571" s="38" t="s">
        <v>281</v>
      </c>
      <c r="C571" s="39">
        <v>7896658032585</v>
      </c>
      <c r="D571" s="40" t="s">
        <v>86</v>
      </c>
      <c r="E571" s="40"/>
      <c r="F571" s="38">
        <v>768</v>
      </c>
      <c r="G571" s="38"/>
      <c r="H571" s="38" t="s">
        <v>249</v>
      </c>
      <c r="I571" s="38" t="s">
        <v>138</v>
      </c>
      <c r="J571" s="38">
        <v>4</v>
      </c>
      <c r="K571" s="41">
        <v>0.46400000000000002</v>
      </c>
      <c r="L571" s="38" t="s">
        <v>278</v>
      </c>
      <c r="M571" s="42" t="s">
        <v>90</v>
      </c>
    </row>
    <row r="572" spans="1:13" x14ac:dyDescent="0.3">
      <c r="A572" s="37">
        <v>53</v>
      </c>
      <c r="B572" s="38" t="s">
        <v>281</v>
      </c>
      <c r="C572" s="39">
        <v>7896658032585</v>
      </c>
      <c r="D572" s="40" t="s">
        <v>86</v>
      </c>
      <c r="E572" s="40"/>
      <c r="F572" s="38">
        <v>768</v>
      </c>
      <c r="G572" s="38"/>
      <c r="H572" s="38" t="s">
        <v>249</v>
      </c>
      <c r="I572" s="38" t="s">
        <v>138</v>
      </c>
      <c r="J572" s="38">
        <v>4</v>
      </c>
      <c r="K572" s="41">
        <v>0.46400000000000002</v>
      </c>
      <c r="L572" s="38" t="s">
        <v>279</v>
      </c>
      <c r="M572" s="42" t="s">
        <v>90</v>
      </c>
    </row>
    <row r="573" spans="1:13" x14ac:dyDescent="0.3">
      <c r="A573" s="37">
        <v>53</v>
      </c>
      <c r="B573" s="38" t="s">
        <v>281</v>
      </c>
      <c r="C573" s="39">
        <v>7896658032585</v>
      </c>
      <c r="D573" s="40" t="s">
        <v>86</v>
      </c>
      <c r="E573" s="40"/>
      <c r="F573" s="38">
        <v>768</v>
      </c>
      <c r="G573" s="38"/>
      <c r="H573" s="38" t="s">
        <v>249</v>
      </c>
      <c r="I573" s="38" t="s">
        <v>138</v>
      </c>
      <c r="J573" s="38">
        <v>4</v>
      </c>
      <c r="K573" s="41">
        <v>0</v>
      </c>
      <c r="L573" s="38" t="s">
        <v>89</v>
      </c>
      <c r="M573" s="42" t="s">
        <v>90</v>
      </c>
    </row>
    <row r="574" spans="1:13" x14ac:dyDescent="0.3">
      <c r="A574" s="37">
        <v>53</v>
      </c>
      <c r="B574" s="38" t="s">
        <v>282</v>
      </c>
      <c r="C574" s="39">
        <v>7896658032639</v>
      </c>
      <c r="D574" s="40" t="s">
        <v>86</v>
      </c>
      <c r="E574" s="40"/>
      <c r="F574" s="38">
        <v>920</v>
      </c>
      <c r="G574" s="38"/>
      <c r="H574" s="38" t="s">
        <v>164</v>
      </c>
      <c r="I574" s="38" t="s">
        <v>88</v>
      </c>
      <c r="J574" s="38">
        <v>3</v>
      </c>
      <c r="K574" s="41">
        <v>0.1</v>
      </c>
      <c r="L574" s="38" t="s">
        <v>89</v>
      </c>
      <c r="M574" s="42" t="s">
        <v>90</v>
      </c>
    </row>
    <row r="575" spans="1:13" x14ac:dyDescent="0.3">
      <c r="A575" s="37">
        <v>53</v>
      </c>
      <c r="B575" s="38" t="s">
        <v>283</v>
      </c>
      <c r="C575" s="39">
        <v>7896658032714</v>
      </c>
      <c r="D575" s="40" t="s">
        <v>86</v>
      </c>
      <c r="E575" s="40"/>
      <c r="F575" s="38">
        <v>920</v>
      </c>
      <c r="G575" s="38"/>
      <c r="H575" s="38" t="s">
        <v>164</v>
      </c>
      <c r="I575" s="38" t="s">
        <v>88</v>
      </c>
      <c r="J575" s="38">
        <v>3</v>
      </c>
      <c r="K575" s="41">
        <v>0.1</v>
      </c>
      <c r="L575" s="38" t="s">
        <v>89</v>
      </c>
      <c r="M575" s="42" t="s">
        <v>90</v>
      </c>
    </row>
    <row r="576" spans="1:13" x14ac:dyDescent="0.3">
      <c r="A576" s="37">
        <v>53</v>
      </c>
      <c r="B576" s="38" t="s">
        <v>284</v>
      </c>
      <c r="C576" s="39">
        <v>7896658033278</v>
      </c>
      <c r="D576" s="40" t="s">
        <v>86</v>
      </c>
      <c r="E576" s="40"/>
      <c r="F576" s="38">
        <v>637</v>
      </c>
      <c r="G576" s="38"/>
      <c r="H576" s="38" t="s">
        <v>285</v>
      </c>
      <c r="I576" s="38" t="s">
        <v>286</v>
      </c>
      <c r="J576" s="38">
        <v>5</v>
      </c>
      <c r="K576" s="41" t="s">
        <v>287</v>
      </c>
      <c r="L576" s="38" t="s">
        <v>89</v>
      </c>
      <c r="M576" s="42" t="s">
        <v>90</v>
      </c>
    </row>
    <row r="577" spans="1:13" x14ac:dyDescent="0.3">
      <c r="A577" s="37">
        <v>53</v>
      </c>
      <c r="B577" s="38" t="s">
        <v>288</v>
      </c>
      <c r="C577" s="39">
        <v>7896658033360</v>
      </c>
      <c r="D577" s="40" t="s">
        <v>86</v>
      </c>
      <c r="E577" s="40"/>
      <c r="F577" s="38">
        <v>925</v>
      </c>
      <c r="G577" s="38"/>
      <c r="H577" s="38" t="s">
        <v>168</v>
      </c>
      <c r="I577" s="38" t="s">
        <v>88</v>
      </c>
      <c r="J577" s="38">
        <v>3</v>
      </c>
      <c r="K577" s="41">
        <v>0.1</v>
      </c>
      <c r="L577" s="38" t="s">
        <v>89</v>
      </c>
      <c r="M577" s="42" t="s">
        <v>90</v>
      </c>
    </row>
    <row r="578" spans="1:13" x14ac:dyDescent="0.3">
      <c r="A578" s="37">
        <v>53</v>
      </c>
      <c r="B578" s="38" t="s">
        <v>289</v>
      </c>
      <c r="C578" s="39">
        <v>7896658033377</v>
      </c>
      <c r="D578" s="40" t="s">
        <v>86</v>
      </c>
      <c r="E578" s="40"/>
      <c r="F578" s="38">
        <v>925</v>
      </c>
      <c r="G578" s="38"/>
      <c r="H578" s="38" t="s">
        <v>168</v>
      </c>
      <c r="I578" s="38" t="s">
        <v>88</v>
      </c>
      <c r="J578" s="38">
        <v>3</v>
      </c>
      <c r="K578" s="41">
        <v>0.1</v>
      </c>
      <c r="L578" s="38" t="s">
        <v>89</v>
      </c>
      <c r="M578" s="42" t="s">
        <v>90</v>
      </c>
    </row>
    <row r="579" spans="1:13" x14ac:dyDescent="0.3">
      <c r="A579" s="37">
        <v>53</v>
      </c>
      <c r="B579" s="38" t="s">
        <v>290</v>
      </c>
      <c r="C579" s="39">
        <v>7896658033384</v>
      </c>
      <c r="D579" s="40" t="s">
        <v>86</v>
      </c>
      <c r="E579" s="40"/>
      <c r="F579" s="38">
        <v>925</v>
      </c>
      <c r="G579" s="38"/>
      <c r="H579" s="38" t="s">
        <v>168</v>
      </c>
      <c r="I579" s="38" t="s">
        <v>88</v>
      </c>
      <c r="J579" s="38">
        <v>3</v>
      </c>
      <c r="K579" s="41">
        <v>0.1</v>
      </c>
      <c r="L579" s="38" t="s">
        <v>89</v>
      </c>
      <c r="M579" s="42" t="s">
        <v>90</v>
      </c>
    </row>
    <row r="580" spans="1:13" x14ac:dyDescent="0.3">
      <c r="A580" s="37">
        <v>53</v>
      </c>
      <c r="B580" s="38" t="s">
        <v>291</v>
      </c>
      <c r="C580" s="39">
        <v>7896658033391</v>
      </c>
      <c r="D580" s="40" t="s">
        <v>86</v>
      </c>
      <c r="E580" s="40"/>
      <c r="F580" s="38">
        <v>925</v>
      </c>
      <c r="G580" s="38"/>
      <c r="H580" s="38" t="s">
        <v>168</v>
      </c>
      <c r="I580" s="38" t="s">
        <v>88</v>
      </c>
      <c r="J580" s="38">
        <v>3</v>
      </c>
      <c r="K580" s="41">
        <v>0.1</v>
      </c>
      <c r="L580" s="38" t="s">
        <v>89</v>
      </c>
      <c r="M580" s="42" t="s">
        <v>90</v>
      </c>
    </row>
    <row r="581" spans="1:13" x14ac:dyDescent="0.3">
      <c r="A581" s="37">
        <v>53</v>
      </c>
      <c r="B581" s="38" t="s">
        <v>292</v>
      </c>
      <c r="C581" s="39">
        <v>7896658033407</v>
      </c>
      <c r="D581" s="40" t="s">
        <v>86</v>
      </c>
      <c r="E581" s="40"/>
      <c r="F581" s="38">
        <v>925</v>
      </c>
      <c r="G581" s="38"/>
      <c r="H581" s="38" t="s">
        <v>168</v>
      </c>
      <c r="I581" s="38" t="s">
        <v>88</v>
      </c>
      <c r="J581" s="38">
        <v>3</v>
      </c>
      <c r="K581" s="41">
        <v>0.1</v>
      </c>
      <c r="L581" s="38" t="s">
        <v>89</v>
      </c>
      <c r="M581" s="42" t="s">
        <v>90</v>
      </c>
    </row>
    <row r="582" spans="1:13" x14ac:dyDescent="0.3">
      <c r="A582" s="37">
        <v>53</v>
      </c>
      <c r="B582" s="38" t="s">
        <v>293</v>
      </c>
      <c r="C582" s="39">
        <v>7896658033438</v>
      </c>
      <c r="D582" s="40" t="s">
        <v>86</v>
      </c>
      <c r="E582" s="40"/>
      <c r="F582" s="38">
        <v>925</v>
      </c>
      <c r="G582" s="38"/>
      <c r="H582" s="38" t="s">
        <v>168</v>
      </c>
      <c r="I582" s="38" t="s">
        <v>88</v>
      </c>
      <c r="J582" s="38">
        <v>3</v>
      </c>
      <c r="K582" s="41">
        <v>0.1</v>
      </c>
      <c r="L582" s="38" t="s">
        <v>89</v>
      </c>
      <c r="M582" s="42" t="s">
        <v>90</v>
      </c>
    </row>
    <row r="583" spans="1:13" x14ac:dyDescent="0.3">
      <c r="A583" s="37">
        <v>53</v>
      </c>
      <c r="B583" s="38" t="s">
        <v>294</v>
      </c>
      <c r="C583" s="39">
        <v>7896658033469</v>
      </c>
      <c r="D583" s="40" t="s">
        <v>86</v>
      </c>
      <c r="E583" s="40"/>
      <c r="F583" s="38">
        <v>920</v>
      </c>
      <c r="G583" s="38"/>
      <c r="H583" s="38" t="s">
        <v>164</v>
      </c>
      <c r="I583" s="38" t="s">
        <v>88</v>
      </c>
      <c r="J583" s="38">
        <v>3</v>
      </c>
      <c r="K583" s="41">
        <v>0.1</v>
      </c>
      <c r="L583" s="38" t="s">
        <v>89</v>
      </c>
      <c r="M583" s="42" t="s">
        <v>90</v>
      </c>
    </row>
    <row r="584" spans="1:13" x14ac:dyDescent="0.3">
      <c r="A584" s="37">
        <v>53</v>
      </c>
      <c r="B584" s="38" t="s">
        <v>295</v>
      </c>
      <c r="C584" s="39">
        <v>7896658033605</v>
      </c>
      <c r="D584" s="40" t="s">
        <v>86</v>
      </c>
      <c r="E584" s="40"/>
      <c r="F584" s="38">
        <v>921</v>
      </c>
      <c r="G584" s="38"/>
      <c r="H584" s="38" t="s">
        <v>166</v>
      </c>
      <c r="I584" s="38" t="s">
        <v>88</v>
      </c>
      <c r="J584" s="38">
        <v>3</v>
      </c>
      <c r="K584" s="41">
        <v>0.2</v>
      </c>
      <c r="L584" s="38" t="s">
        <v>89</v>
      </c>
      <c r="M584" s="42" t="s">
        <v>90</v>
      </c>
    </row>
    <row r="585" spans="1:13" x14ac:dyDescent="0.3">
      <c r="A585" s="37">
        <v>53</v>
      </c>
      <c r="B585" s="38" t="s">
        <v>296</v>
      </c>
      <c r="C585" s="39">
        <v>7896658033971</v>
      </c>
      <c r="D585" s="40" t="s">
        <v>86</v>
      </c>
      <c r="E585" s="40"/>
      <c r="F585" s="38">
        <v>919</v>
      </c>
      <c r="G585" s="38"/>
      <c r="H585" s="38" t="s">
        <v>297</v>
      </c>
      <c r="I585" s="38" t="s">
        <v>88</v>
      </c>
      <c r="J585" s="38">
        <v>3</v>
      </c>
      <c r="K585" s="41">
        <v>0.1</v>
      </c>
      <c r="L585" s="38" t="s">
        <v>89</v>
      </c>
      <c r="M585" s="42" t="s">
        <v>90</v>
      </c>
    </row>
    <row r="586" spans="1:13" x14ac:dyDescent="0.3">
      <c r="A586" s="37">
        <v>53</v>
      </c>
      <c r="B586" s="38" t="s">
        <v>296</v>
      </c>
      <c r="C586" s="39">
        <v>7896658033971</v>
      </c>
      <c r="D586" s="40" t="s">
        <v>86</v>
      </c>
      <c r="E586" s="40"/>
      <c r="F586" s="38">
        <v>955</v>
      </c>
      <c r="G586" s="38"/>
      <c r="H586" s="38" t="s">
        <v>298</v>
      </c>
      <c r="I586" s="38" t="s">
        <v>217</v>
      </c>
      <c r="J586" s="38">
        <v>3</v>
      </c>
      <c r="K586" s="41">
        <v>0.1</v>
      </c>
      <c r="L586" s="38" t="s">
        <v>89</v>
      </c>
      <c r="M586" s="42" t="s">
        <v>90</v>
      </c>
    </row>
    <row r="587" spans="1:13" x14ac:dyDescent="0.3">
      <c r="A587" s="37">
        <v>53</v>
      </c>
      <c r="B587" s="38" t="s">
        <v>299</v>
      </c>
      <c r="C587" s="39">
        <v>7896658034138</v>
      </c>
      <c r="D587" s="40" t="s">
        <v>86</v>
      </c>
      <c r="E587" s="40"/>
      <c r="F587" s="38">
        <v>919</v>
      </c>
      <c r="G587" s="38"/>
      <c r="H587" s="38" t="s">
        <v>297</v>
      </c>
      <c r="I587" s="38" t="s">
        <v>88</v>
      </c>
      <c r="J587" s="38">
        <v>3</v>
      </c>
      <c r="K587" s="41">
        <v>0.1</v>
      </c>
      <c r="L587" s="38" t="s">
        <v>89</v>
      </c>
      <c r="M587" s="42" t="s">
        <v>90</v>
      </c>
    </row>
    <row r="588" spans="1:13" x14ac:dyDescent="0.3">
      <c r="A588" s="37">
        <v>53</v>
      </c>
      <c r="B588" s="38" t="s">
        <v>299</v>
      </c>
      <c r="C588" s="39">
        <v>7896658034138</v>
      </c>
      <c r="D588" s="40" t="s">
        <v>86</v>
      </c>
      <c r="E588" s="40"/>
      <c r="F588" s="38">
        <v>955</v>
      </c>
      <c r="G588" s="38"/>
      <c r="H588" s="38" t="s">
        <v>298</v>
      </c>
      <c r="I588" s="38" t="s">
        <v>217</v>
      </c>
      <c r="J588" s="38">
        <v>3</v>
      </c>
      <c r="K588" s="41">
        <v>0.1</v>
      </c>
      <c r="L588" s="38" t="s">
        <v>89</v>
      </c>
      <c r="M588" s="42" t="s">
        <v>90</v>
      </c>
    </row>
    <row r="589" spans="1:13" x14ac:dyDescent="0.3">
      <c r="A589" s="37">
        <v>53</v>
      </c>
      <c r="B589" s="38" t="s">
        <v>300</v>
      </c>
      <c r="C589" s="39">
        <v>7896658034206</v>
      </c>
      <c r="D589" s="40" t="s">
        <v>86</v>
      </c>
      <c r="E589" s="40"/>
      <c r="F589" s="38">
        <v>919</v>
      </c>
      <c r="G589" s="38"/>
      <c r="H589" s="38" t="s">
        <v>297</v>
      </c>
      <c r="I589" s="38" t="s">
        <v>88</v>
      </c>
      <c r="J589" s="38">
        <v>3</v>
      </c>
      <c r="K589" s="41">
        <v>0.1</v>
      </c>
      <c r="L589" s="38" t="s">
        <v>89</v>
      </c>
      <c r="M589" s="42" t="s">
        <v>90</v>
      </c>
    </row>
    <row r="590" spans="1:13" x14ac:dyDescent="0.3">
      <c r="A590" s="37">
        <v>53</v>
      </c>
      <c r="B590" s="38" t="s">
        <v>300</v>
      </c>
      <c r="C590" s="39">
        <v>7896658034206</v>
      </c>
      <c r="D590" s="40" t="s">
        <v>86</v>
      </c>
      <c r="E590" s="40"/>
      <c r="F590" s="38">
        <v>955</v>
      </c>
      <c r="G590" s="38"/>
      <c r="H590" s="38" t="s">
        <v>298</v>
      </c>
      <c r="I590" s="38" t="s">
        <v>217</v>
      </c>
      <c r="J590" s="38">
        <v>3</v>
      </c>
      <c r="K590" s="41">
        <v>0.1</v>
      </c>
      <c r="L590" s="38" t="s">
        <v>89</v>
      </c>
      <c r="M590" s="42" t="s">
        <v>90</v>
      </c>
    </row>
    <row r="591" spans="1:13" x14ac:dyDescent="0.3">
      <c r="A591" s="37">
        <v>53</v>
      </c>
      <c r="B591" s="38" t="s">
        <v>301</v>
      </c>
      <c r="C591" s="39">
        <v>7896658034213</v>
      </c>
      <c r="D591" s="40" t="s">
        <v>86</v>
      </c>
      <c r="E591" s="40"/>
      <c r="F591" s="38">
        <v>926</v>
      </c>
      <c r="G591" s="38"/>
      <c r="H591" s="38" t="s">
        <v>185</v>
      </c>
      <c r="I591" s="38" t="s">
        <v>88</v>
      </c>
      <c r="J591" s="38">
        <v>3</v>
      </c>
      <c r="K591" s="41">
        <v>0.1</v>
      </c>
      <c r="L591" s="38" t="s">
        <v>89</v>
      </c>
      <c r="M591" s="42" t="s">
        <v>90</v>
      </c>
    </row>
    <row r="592" spans="1:13" x14ac:dyDescent="0.3">
      <c r="A592" s="37">
        <v>53</v>
      </c>
      <c r="B592" s="38" t="s">
        <v>302</v>
      </c>
      <c r="C592" s="39">
        <v>7896658034329</v>
      </c>
      <c r="D592" s="40" t="s">
        <v>86</v>
      </c>
      <c r="E592" s="40"/>
      <c r="F592" s="38">
        <v>923</v>
      </c>
      <c r="G592" s="38"/>
      <c r="H592" s="38" t="s">
        <v>219</v>
      </c>
      <c r="I592" s="38" t="s">
        <v>88</v>
      </c>
      <c r="J592" s="38">
        <v>3</v>
      </c>
      <c r="K592" s="41">
        <v>0.1</v>
      </c>
      <c r="L592" s="38" t="s">
        <v>89</v>
      </c>
      <c r="M592" s="42" t="s">
        <v>90</v>
      </c>
    </row>
    <row r="593" spans="1:13" x14ac:dyDescent="0.3">
      <c r="A593" s="37">
        <v>53</v>
      </c>
      <c r="B593" s="38" t="s">
        <v>303</v>
      </c>
      <c r="C593" s="39">
        <v>7896658034367</v>
      </c>
      <c r="D593" s="40" t="s">
        <v>86</v>
      </c>
      <c r="E593" s="40"/>
      <c r="F593" s="38">
        <v>923</v>
      </c>
      <c r="G593" s="38"/>
      <c r="H593" s="38" t="s">
        <v>219</v>
      </c>
      <c r="I593" s="38" t="s">
        <v>88</v>
      </c>
      <c r="J593" s="38">
        <v>3</v>
      </c>
      <c r="K593" s="41">
        <v>0.1</v>
      </c>
      <c r="L593" s="38" t="s">
        <v>89</v>
      </c>
      <c r="M593" s="42" t="s">
        <v>90</v>
      </c>
    </row>
    <row r="594" spans="1:13" x14ac:dyDescent="0.3">
      <c r="A594" s="37">
        <v>53</v>
      </c>
      <c r="B594" s="38" t="s">
        <v>304</v>
      </c>
      <c r="C594" s="39">
        <v>7896658034985</v>
      </c>
      <c r="D594" s="40" t="s">
        <v>86</v>
      </c>
      <c r="E594" s="40"/>
      <c r="F594" s="38">
        <v>285</v>
      </c>
      <c r="G594" s="38"/>
      <c r="H594" s="38" t="s">
        <v>170</v>
      </c>
      <c r="I594" s="38" t="s">
        <v>102</v>
      </c>
      <c r="J594" s="38">
        <v>1</v>
      </c>
      <c r="K594" s="41">
        <v>0.56000000000000005</v>
      </c>
      <c r="L594" s="38" t="s">
        <v>89</v>
      </c>
      <c r="M594" s="42" t="s">
        <v>90</v>
      </c>
    </row>
    <row r="595" spans="1:13" x14ac:dyDescent="0.3">
      <c r="A595" s="37">
        <v>53</v>
      </c>
      <c r="B595" s="38" t="s">
        <v>304</v>
      </c>
      <c r="C595" s="39">
        <v>7896658034985</v>
      </c>
      <c r="D595" s="40" t="s">
        <v>86</v>
      </c>
      <c r="E595" s="40"/>
      <c r="F595" s="38">
        <v>966</v>
      </c>
      <c r="G595" s="38"/>
      <c r="H595" s="38" t="s">
        <v>171</v>
      </c>
      <c r="I595" s="38" t="s">
        <v>102</v>
      </c>
      <c r="J595" s="38">
        <v>1</v>
      </c>
      <c r="K595" s="41">
        <v>0.56000000000000005</v>
      </c>
      <c r="L595" s="38" t="s">
        <v>89</v>
      </c>
      <c r="M595" s="42" t="s">
        <v>90</v>
      </c>
    </row>
    <row r="596" spans="1:13" x14ac:dyDescent="0.3">
      <c r="A596" s="37">
        <v>53</v>
      </c>
      <c r="B596" s="38" t="s">
        <v>305</v>
      </c>
      <c r="C596" s="39">
        <v>7896658035388</v>
      </c>
      <c r="D596" s="40" t="s">
        <v>86</v>
      </c>
      <c r="E596" s="40"/>
      <c r="F596" s="38">
        <v>806</v>
      </c>
      <c r="G596" s="38"/>
      <c r="H596" s="38" t="s">
        <v>215</v>
      </c>
      <c r="I596" s="38" t="s">
        <v>88</v>
      </c>
      <c r="J596" s="38">
        <v>3</v>
      </c>
      <c r="K596" s="41">
        <v>0.25</v>
      </c>
      <c r="L596" s="38" t="s">
        <v>89</v>
      </c>
      <c r="M596" s="42" t="s">
        <v>90</v>
      </c>
    </row>
    <row r="597" spans="1:13" x14ac:dyDescent="0.3">
      <c r="A597" s="37">
        <v>53</v>
      </c>
      <c r="B597" s="38" t="s">
        <v>306</v>
      </c>
      <c r="C597" s="39">
        <v>7896658035586</v>
      </c>
      <c r="D597" s="40" t="s">
        <v>86</v>
      </c>
      <c r="E597" s="40"/>
      <c r="F597" s="38">
        <v>921</v>
      </c>
      <c r="G597" s="38"/>
      <c r="H597" s="38" t="s">
        <v>166</v>
      </c>
      <c r="I597" s="38" t="s">
        <v>88</v>
      </c>
      <c r="J597" s="38">
        <v>3</v>
      </c>
      <c r="K597" s="41">
        <v>0.2</v>
      </c>
      <c r="L597" s="38" t="s">
        <v>89</v>
      </c>
      <c r="M597" s="42" t="s">
        <v>90</v>
      </c>
    </row>
    <row r="598" spans="1:13" x14ac:dyDescent="0.3">
      <c r="A598" s="37">
        <v>53</v>
      </c>
      <c r="B598" s="38" t="s">
        <v>307</v>
      </c>
      <c r="C598" s="39">
        <v>7896658035838</v>
      </c>
      <c r="D598" s="40" t="s">
        <v>86</v>
      </c>
      <c r="E598" s="40"/>
      <c r="F598" s="38">
        <v>920</v>
      </c>
      <c r="G598" s="38"/>
      <c r="H598" s="38" t="s">
        <v>164</v>
      </c>
      <c r="I598" s="38" t="s">
        <v>88</v>
      </c>
      <c r="J598" s="38">
        <v>3</v>
      </c>
      <c r="K598" s="41">
        <v>0.1</v>
      </c>
      <c r="L598" s="38" t="s">
        <v>89</v>
      </c>
      <c r="M598" s="42" t="s">
        <v>90</v>
      </c>
    </row>
    <row r="599" spans="1:13" x14ac:dyDescent="0.3">
      <c r="A599" s="37">
        <v>53</v>
      </c>
      <c r="B599" s="38" t="s">
        <v>308</v>
      </c>
      <c r="C599" s="39">
        <v>7896658035845</v>
      </c>
      <c r="D599" s="40" t="s">
        <v>86</v>
      </c>
      <c r="E599" s="40"/>
      <c r="F599" s="38">
        <v>920</v>
      </c>
      <c r="G599" s="38"/>
      <c r="H599" s="38" t="s">
        <v>164</v>
      </c>
      <c r="I599" s="38" t="s">
        <v>88</v>
      </c>
      <c r="J599" s="38">
        <v>3</v>
      </c>
      <c r="K599" s="41">
        <v>0.1</v>
      </c>
      <c r="L599" s="38" t="s">
        <v>89</v>
      </c>
      <c r="M599" s="42" t="s">
        <v>90</v>
      </c>
    </row>
    <row r="600" spans="1:13" x14ac:dyDescent="0.3">
      <c r="A600" s="37">
        <v>53</v>
      </c>
      <c r="B600" s="38" t="s">
        <v>309</v>
      </c>
      <c r="C600" s="39">
        <v>7896658036972</v>
      </c>
      <c r="D600" s="40" t="s">
        <v>86</v>
      </c>
      <c r="E600" s="40"/>
      <c r="F600" s="38">
        <v>603</v>
      </c>
      <c r="G600" s="38"/>
      <c r="H600" s="38" t="s">
        <v>223</v>
      </c>
      <c r="I600" s="38" t="s">
        <v>88</v>
      </c>
      <c r="J600" s="38">
        <v>3</v>
      </c>
      <c r="K600" s="41">
        <v>0.1</v>
      </c>
      <c r="L600" s="38" t="s">
        <v>89</v>
      </c>
      <c r="M600" s="42" t="s">
        <v>90</v>
      </c>
    </row>
    <row r="601" spans="1:13" x14ac:dyDescent="0.3">
      <c r="A601" s="37">
        <v>53</v>
      </c>
      <c r="B601" s="38" t="s">
        <v>309</v>
      </c>
      <c r="C601" s="39">
        <v>7896658036972</v>
      </c>
      <c r="D601" s="40" t="s">
        <v>86</v>
      </c>
      <c r="E601" s="40"/>
      <c r="F601" s="38">
        <v>956</v>
      </c>
      <c r="G601" s="38"/>
      <c r="H601" s="38" t="s">
        <v>224</v>
      </c>
      <c r="I601" s="38" t="s">
        <v>217</v>
      </c>
      <c r="J601" s="38">
        <v>3</v>
      </c>
      <c r="K601" s="41">
        <v>0.1</v>
      </c>
      <c r="L601" s="38" t="s">
        <v>89</v>
      </c>
      <c r="M601" s="42" t="s">
        <v>90</v>
      </c>
    </row>
    <row r="602" spans="1:13" x14ac:dyDescent="0.3">
      <c r="A602" s="37">
        <v>86</v>
      </c>
      <c r="B602" s="38" t="s">
        <v>24</v>
      </c>
      <c r="C602" s="51">
        <v>300658950123</v>
      </c>
      <c r="D602" s="40" t="s">
        <v>65</v>
      </c>
      <c r="E602" s="40"/>
      <c r="F602" s="40">
        <v>312</v>
      </c>
      <c r="G602" s="38"/>
      <c r="H602" s="38" t="s">
        <v>310</v>
      </c>
      <c r="I602" s="38" t="s">
        <v>311</v>
      </c>
      <c r="J602" s="38">
        <v>9</v>
      </c>
      <c r="K602" s="38" t="s">
        <v>312</v>
      </c>
      <c r="L602" s="52" t="s">
        <v>213</v>
      </c>
      <c r="M602" s="53" t="s">
        <v>213</v>
      </c>
    </row>
    <row r="603" spans="1:13" x14ac:dyDescent="0.3">
      <c r="A603" s="37">
        <v>86</v>
      </c>
      <c r="B603" s="38" t="s">
        <v>313</v>
      </c>
      <c r="C603" s="51">
        <v>7896548197738</v>
      </c>
      <c r="D603" s="40" t="s">
        <v>65</v>
      </c>
      <c r="E603" s="40"/>
      <c r="F603" s="40">
        <v>414</v>
      </c>
      <c r="G603" s="38"/>
      <c r="H603" s="38" t="s">
        <v>314</v>
      </c>
      <c r="I603" s="38" t="s">
        <v>311</v>
      </c>
      <c r="J603" s="38">
        <v>6</v>
      </c>
      <c r="K603" s="38" t="s">
        <v>315</v>
      </c>
      <c r="L603" s="52" t="s">
        <v>213</v>
      </c>
      <c r="M603" s="53" t="s">
        <v>213</v>
      </c>
    </row>
    <row r="604" spans="1:13" x14ac:dyDescent="0.3">
      <c r="A604" s="37">
        <v>86</v>
      </c>
      <c r="B604" s="38" t="s">
        <v>316</v>
      </c>
      <c r="C604" s="51">
        <v>7896548197738</v>
      </c>
      <c r="D604" s="40" t="s">
        <v>65</v>
      </c>
      <c r="E604" s="40"/>
      <c r="F604" s="40">
        <v>414</v>
      </c>
      <c r="G604" s="38"/>
      <c r="H604" s="38" t="s">
        <v>314</v>
      </c>
      <c r="I604" s="38" t="s">
        <v>311</v>
      </c>
      <c r="J604" s="38">
        <v>6</v>
      </c>
      <c r="K604" s="38" t="s">
        <v>315</v>
      </c>
      <c r="L604" s="52" t="s">
        <v>213</v>
      </c>
      <c r="M604" s="53" t="s">
        <v>213</v>
      </c>
    </row>
    <row r="605" spans="1:13" x14ac:dyDescent="0.3">
      <c r="A605" s="37">
        <v>86</v>
      </c>
      <c r="B605" s="38" t="s">
        <v>317</v>
      </c>
      <c r="C605" s="51">
        <v>7896548198247</v>
      </c>
      <c r="D605" s="40" t="s">
        <v>65</v>
      </c>
      <c r="E605" s="40"/>
      <c r="F605" s="40">
        <v>414</v>
      </c>
      <c r="G605" s="38"/>
      <c r="H605" s="38" t="s">
        <v>314</v>
      </c>
      <c r="I605" s="38" t="s">
        <v>311</v>
      </c>
      <c r="J605" s="38">
        <v>6</v>
      </c>
      <c r="K605" s="38" t="s">
        <v>315</v>
      </c>
      <c r="L605" s="52" t="s">
        <v>213</v>
      </c>
      <c r="M605" s="53" t="s">
        <v>213</v>
      </c>
    </row>
    <row r="606" spans="1:13" x14ac:dyDescent="0.3">
      <c r="A606" s="37">
        <v>86</v>
      </c>
      <c r="B606" s="38" t="s">
        <v>24</v>
      </c>
      <c r="C606" s="51">
        <v>7896548198902</v>
      </c>
      <c r="D606" s="40" t="s">
        <v>65</v>
      </c>
      <c r="E606" s="40"/>
      <c r="F606" s="40">
        <v>312</v>
      </c>
      <c r="G606" s="38"/>
      <c r="H606" s="38" t="s">
        <v>310</v>
      </c>
      <c r="I606" s="38" t="s">
        <v>311</v>
      </c>
      <c r="J606" s="38">
        <v>9</v>
      </c>
      <c r="K606" s="38" t="s">
        <v>312</v>
      </c>
      <c r="L606" s="52" t="s">
        <v>213</v>
      </c>
      <c r="M606" s="53" t="s">
        <v>213</v>
      </c>
    </row>
    <row r="607" spans="1:13" x14ac:dyDescent="0.3">
      <c r="A607" s="37">
        <v>86</v>
      </c>
      <c r="B607" s="38" t="s">
        <v>318</v>
      </c>
      <c r="C607" s="51">
        <v>7896548198957</v>
      </c>
      <c r="D607" s="40" t="s">
        <v>65</v>
      </c>
      <c r="E607" s="40"/>
      <c r="F607" s="40">
        <v>414</v>
      </c>
      <c r="G607" s="38"/>
      <c r="H607" s="38" t="s">
        <v>314</v>
      </c>
      <c r="I607" s="38" t="s">
        <v>311</v>
      </c>
      <c r="J607" s="38">
        <v>6</v>
      </c>
      <c r="K607" s="38" t="s">
        <v>315</v>
      </c>
      <c r="L607" s="52" t="s">
        <v>213</v>
      </c>
      <c r="M607" s="53" t="s">
        <v>213</v>
      </c>
    </row>
    <row r="608" spans="1:13" x14ac:dyDescent="0.3">
      <c r="A608" s="37">
        <v>71</v>
      </c>
      <c r="B608" s="38" t="s">
        <v>319</v>
      </c>
      <c r="C608" s="51">
        <v>7898609960138</v>
      </c>
      <c r="D608" s="40" t="s">
        <v>320</v>
      </c>
      <c r="E608" s="40"/>
      <c r="F608" s="40">
        <v>965</v>
      </c>
      <c r="G608" s="38"/>
      <c r="H608" s="38" t="s">
        <v>321</v>
      </c>
      <c r="I608" s="38" t="s">
        <v>322</v>
      </c>
      <c r="J608" s="38" t="s">
        <v>323</v>
      </c>
      <c r="K608" s="38" t="s">
        <v>324</v>
      </c>
      <c r="L608" s="52" t="s">
        <v>213</v>
      </c>
      <c r="M608" s="53" t="s">
        <v>213</v>
      </c>
    </row>
    <row r="609" spans="1:13" x14ac:dyDescent="0.3">
      <c r="A609" s="37">
        <v>71</v>
      </c>
      <c r="B609" s="38" t="s">
        <v>325</v>
      </c>
      <c r="C609" s="51">
        <v>7898609960893</v>
      </c>
      <c r="D609" s="40" t="s">
        <v>320</v>
      </c>
      <c r="E609" s="40"/>
      <c r="F609" s="40">
        <v>902</v>
      </c>
      <c r="G609" s="38"/>
      <c r="H609" s="38" t="s">
        <v>326</v>
      </c>
      <c r="I609" s="38" t="s">
        <v>322</v>
      </c>
      <c r="J609" s="38" t="s">
        <v>327</v>
      </c>
      <c r="K609" s="38" t="s">
        <v>328</v>
      </c>
      <c r="L609" s="52" t="s">
        <v>213</v>
      </c>
      <c r="M609" s="53" t="s">
        <v>213</v>
      </c>
    </row>
    <row r="610" spans="1:13" x14ac:dyDescent="0.3">
      <c r="A610" s="37">
        <v>71</v>
      </c>
      <c r="B610" s="38" t="s">
        <v>329</v>
      </c>
      <c r="C610" s="51">
        <v>7898609960565</v>
      </c>
      <c r="D610" s="40" t="s">
        <v>320</v>
      </c>
      <c r="E610" s="40"/>
      <c r="F610" s="40">
        <v>794</v>
      </c>
      <c r="G610" s="38"/>
      <c r="H610" s="38" t="s">
        <v>330</v>
      </c>
      <c r="I610" s="38" t="s">
        <v>331</v>
      </c>
      <c r="J610" s="38" t="s">
        <v>323</v>
      </c>
      <c r="K610" s="38" t="s">
        <v>332</v>
      </c>
      <c r="L610" s="52" t="s">
        <v>213</v>
      </c>
      <c r="M610" s="53" t="s">
        <v>213</v>
      </c>
    </row>
    <row r="611" spans="1:13" x14ac:dyDescent="0.3">
      <c r="A611" s="37">
        <v>42</v>
      </c>
      <c r="B611" s="38" t="s">
        <v>333</v>
      </c>
      <c r="C611" s="51">
        <v>7896206401146</v>
      </c>
      <c r="D611" s="40" t="s">
        <v>67</v>
      </c>
      <c r="E611" s="40"/>
      <c r="F611" s="40">
        <v>360</v>
      </c>
      <c r="G611" s="38"/>
      <c r="H611" s="38" t="s">
        <v>334</v>
      </c>
      <c r="I611" s="38" t="s">
        <v>335</v>
      </c>
      <c r="J611" s="38" t="s">
        <v>336</v>
      </c>
      <c r="K611" s="38" t="s">
        <v>337</v>
      </c>
      <c r="L611" s="52" t="s">
        <v>213</v>
      </c>
      <c r="M611" s="53" t="s">
        <v>213</v>
      </c>
    </row>
    <row r="612" spans="1:13" x14ac:dyDescent="0.3">
      <c r="A612" s="37">
        <v>42</v>
      </c>
      <c r="B612" s="38" t="s">
        <v>338</v>
      </c>
      <c r="C612" s="51">
        <v>7896206401160</v>
      </c>
      <c r="D612" s="40" t="s">
        <v>67</v>
      </c>
      <c r="E612" s="40"/>
      <c r="F612" s="40">
        <v>360</v>
      </c>
      <c r="G612" s="38"/>
      <c r="H612" s="38" t="s">
        <v>334</v>
      </c>
      <c r="I612" s="38" t="s">
        <v>335</v>
      </c>
      <c r="J612" s="38" t="s">
        <v>336</v>
      </c>
      <c r="K612" s="38" t="s">
        <v>337</v>
      </c>
      <c r="L612" s="52" t="s">
        <v>213</v>
      </c>
      <c r="M612" s="53" t="s">
        <v>213</v>
      </c>
    </row>
    <row r="613" spans="1:13" x14ac:dyDescent="0.3">
      <c r="A613" s="37">
        <v>42</v>
      </c>
      <c r="B613" s="38" t="s">
        <v>339</v>
      </c>
      <c r="C613" s="51">
        <v>7896206402082</v>
      </c>
      <c r="D613" s="40" t="s">
        <v>67</v>
      </c>
      <c r="E613" s="40"/>
      <c r="F613" s="40">
        <v>360</v>
      </c>
      <c r="G613" s="38"/>
      <c r="H613" s="38" t="s">
        <v>334</v>
      </c>
      <c r="I613" s="38" t="s">
        <v>335</v>
      </c>
      <c r="J613" s="38" t="s">
        <v>336</v>
      </c>
      <c r="K613" s="38" t="s">
        <v>337</v>
      </c>
      <c r="L613" s="52" t="s">
        <v>213</v>
      </c>
      <c r="M613" s="53" t="s">
        <v>213</v>
      </c>
    </row>
    <row r="614" spans="1:13" x14ac:dyDescent="0.3">
      <c r="A614" s="37">
        <v>42</v>
      </c>
      <c r="B614" s="38" t="s">
        <v>340</v>
      </c>
      <c r="C614" s="51">
        <v>7896206402204</v>
      </c>
      <c r="D614" s="40" t="s">
        <v>67</v>
      </c>
      <c r="E614" s="40"/>
      <c r="F614" s="40">
        <v>369</v>
      </c>
      <c r="G614" s="38"/>
      <c r="H614" s="38" t="s">
        <v>341</v>
      </c>
      <c r="I614" s="38" t="s">
        <v>342</v>
      </c>
      <c r="J614" s="38" t="s">
        <v>336</v>
      </c>
      <c r="K614" s="38" t="s">
        <v>343</v>
      </c>
      <c r="L614" s="52" t="s">
        <v>213</v>
      </c>
      <c r="M614" s="53" t="s">
        <v>213</v>
      </c>
    </row>
    <row r="615" spans="1:13" x14ac:dyDescent="0.3">
      <c r="A615" s="37">
        <v>42</v>
      </c>
      <c r="B615" s="38" t="s">
        <v>340</v>
      </c>
      <c r="C615" s="51">
        <v>7896206402204</v>
      </c>
      <c r="D615" s="40" t="s">
        <v>67</v>
      </c>
      <c r="E615" s="40"/>
      <c r="F615" s="40">
        <v>941</v>
      </c>
      <c r="G615" s="38"/>
      <c r="H615" s="38" t="s">
        <v>344</v>
      </c>
      <c r="I615" s="38" t="s">
        <v>342</v>
      </c>
      <c r="J615" s="38" t="s">
        <v>336</v>
      </c>
      <c r="K615" s="38" t="s">
        <v>345</v>
      </c>
      <c r="L615" s="52" t="s">
        <v>213</v>
      </c>
      <c r="M615" s="53" t="s">
        <v>213</v>
      </c>
    </row>
    <row r="616" spans="1:13" x14ac:dyDescent="0.3">
      <c r="A616" s="37">
        <v>42</v>
      </c>
      <c r="B616" s="38" t="s">
        <v>346</v>
      </c>
      <c r="C616" s="51">
        <v>7896206402211</v>
      </c>
      <c r="D616" s="40" t="s">
        <v>67</v>
      </c>
      <c r="E616" s="40"/>
      <c r="F616" s="40">
        <v>369</v>
      </c>
      <c r="G616" s="38"/>
      <c r="H616" s="38" t="s">
        <v>341</v>
      </c>
      <c r="I616" s="38" t="s">
        <v>342</v>
      </c>
      <c r="J616" s="38" t="s">
        <v>336</v>
      </c>
      <c r="K616" s="38" t="s">
        <v>343</v>
      </c>
      <c r="L616" s="52" t="s">
        <v>213</v>
      </c>
      <c r="M616" s="53" t="s">
        <v>213</v>
      </c>
    </row>
    <row r="617" spans="1:13" x14ac:dyDescent="0.3">
      <c r="A617" s="37">
        <v>42</v>
      </c>
      <c r="B617" s="38" t="s">
        <v>346</v>
      </c>
      <c r="C617" s="51">
        <v>7896206402211</v>
      </c>
      <c r="D617" s="40" t="s">
        <v>67</v>
      </c>
      <c r="E617" s="40"/>
      <c r="F617" s="40">
        <v>941</v>
      </c>
      <c r="G617" s="38"/>
      <c r="H617" s="38" t="s">
        <v>344</v>
      </c>
      <c r="I617" s="38" t="s">
        <v>342</v>
      </c>
      <c r="J617" s="38" t="s">
        <v>336</v>
      </c>
      <c r="K617" s="38" t="s">
        <v>345</v>
      </c>
      <c r="L617" s="52" t="s">
        <v>213</v>
      </c>
      <c r="M617" s="53" t="s">
        <v>213</v>
      </c>
    </row>
    <row r="618" spans="1:13" x14ac:dyDescent="0.3">
      <c r="A618" s="37">
        <v>42</v>
      </c>
      <c r="B618" s="38" t="s">
        <v>347</v>
      </c>
      <c r="C618" s="51">
        <v>7896206402372</v>
      </c>
      <c r="D618" s="40" t="s">
        <v>67</v>
      </c>
      <c r="E618" s="40"/>
      <c r="F618" s="40">
        <v>363</v>
      </c>
      <c r="G618" s="38"/>
      <c r="H618" s="38" t="s">
        <v>348</v>
      </c>
      <c r="I618" s="38" t="s">
        <v>349</v>
      </c>
      <c r="J618" s="38" t="s">
        <v>336</v>
      </c>
      <c r="K618" s="38" t="s">
        <v>350</v>
      </c>
      <c r="L618" s="52" t="s">
        <v>213</v>
      </c>
      <c r="M618" s="53" t="s">
        <v>213</v>
      </c>
    </row>
    <row r="619" spans="1:13" x14ac:dyDescent="0.3">
      <c r="A619" s="37">
        <v>42</v>
      </c>
      <c r="B619" s="38" t="s">
        <v>347</v>
      </c>
      <c r="C619" s="51">
        <v>7896206402372</v>
      </c>
      <c r="D619" s="40" t="s">
        <v>67</v>
      </c>
      <c r="E619" s="40"/>
      <c r="F619" s="40">
        <v>995</v>
      </c>
      <c r="G619" s="38"/>
      <c r="H619" s="38" t="s">
        <v>348</v>
      </c>
      <c r="I619" s="38" t="s">
        <v>351</v>
      </c>
      <c r="J619" s="38" t="s">
        <v>352</v>
      </c>
      <c r="K619" s="38" t="s">
        <v>353</v>
      </c>
      <c r="L619" s="52" t="s">
        <v>213</v>
      </c>
      <c r="M619" s="53" t="s">
        <v>213</v>
      </c>
    </row>
    <row r="620" spans="1:13" x14ac:dyDescent="0.3">
      <c r="A620" s="37">
        <v>42</v>
      </c>
      <c r="B620" s="38" t="s">
        <v>354</v>
      </c>
      <c r="C620" s="51">
        <v>7896206402396</v>
      </c>
      <c r="D620" s="40" t="s">
        <v>67</v>
      </c>
      <c r="E620" s="40"/>
      <c r="F620" s="40">
        <v>363</v>
      </c>
      <c r="G620" s="38"/>
      <c r="H620" s="38" t="s">
        <v>348</v>
      </c>
      <c r="I620" s="38" t="s">
        <v>349</v>
      </c>
      <c r="J620" s="38" t="s">
        <v>336</v>
      </c>
      <c r="K620" s="38" t="s">
        <v>350</v>
      </c>
      <c r="L620" s="52" t="s">
        <v>213</v>
      </c>
      <c r="M620" s="53" t="s">
        <v>213</v>
      </c>
    </row>
    <row r="621" spans="1:13" x14ac:dyDescent="0.3">
      <c r="A621" s="37">
        <v>42</v>
      </c>
      <c r="B621" s="38" t="s">
        <v>354</v>
      </c>
      <c r="C621" s="51">
        <v>7896206402396</v>
      </c>
      <c r="D621" s="40" t="s">
        <v>67</v>
      </c>
      <c r="E621" s="40"/>
      <c r="F621" s="40">
        <v>995</v>
      </c>
      <c r="G621" s="38"/>
      <c r="H621" s="38" t="s">
        <v>348</v>
      </c>
      <c r="I621" s="38" t="s">
        <v>351</v>
      </c>
      <c r="J621" s="38" t="s">
        <v>352</v>
      </c>
      <c r="K621" s="38" t="s">
        <v>353</v>
      </c>
      <c r="L621" s="52" t="s">
        <v>213</v>
      </c>
      <c r="M621" s="53" t="s">
        <v>213</v>
      </c>
    </row>
    <row r="622" spans="1:13" x14ac:dyDescent="0.3">
      <c r="A622" s="37">
        <v>42</v>
      </c>
      <c r="B622" s="38" t="s">
        <v>355</v>
      </c>
      <c r="C622" s="51">
        <v>7896206402426</v>
      </c>
      <c r="D622" s="40" t="s">
        <v>67</v>
      </c>
      <c r="E622" s="40"/>
      <c r="F622" s="40">
        <v>360</v>
      </c>
      <c r="G622" s="38"/>
      <c r="H622" s="38" t="s">
        <v>334</v>
      </c>
      <c r="I622" s="38" t="s">
        <v>335</v>
      </c>
      <c r="J622" s="38" t="s">
        <v>336</v>
      </c>
      <c r="K622" s="38" t="s">
        <v>337</v>
      </c>
      <c r="L622" s="52" t="s">
        <v>213</v>
      </c>
      <c r="M622" s="53" t="s">
        <v>213</v>
      </c>
    </row>
    <row r="623" spans="1:13" x14ac:dyDescent="0.3">
      <c r="A623" s="37">
        <v>42</v>
      </c>
      <c r="B623" s="38" t="s">
        <v>356</v>
      </c>
      <c r="C623" s="51">
        <v>7896206402433</v>
      </c>
      <c r="D623" s="40" t="s">
        <v>67</v>
      </c>
      <c r="E623" s="40"/>
      <c r="F623" s="40">
        <v>369</v>
      </c>
      <c r="G623" s="38"/>
      <c r="H623" s="38" t="s">
        <v>341</v>
      </c>
      <c r="I623" s="38" t="s">
        <v>342</v>
      </c>
      <c r="J623" s="38" t="s">
        <v>336</v>
      </c>
      <c r="K623" s="38" t="s">
        <v>343</v>
      </c>
      <c r="L623" s="52" t="s">
        <v>213</v>
      </c>
      <c r="M623" s="53" t="s">
        <v>213</v>
      </c>
    </row>
    <row r="624" spans="1:13" x14ac:dyDescent="0.3">
      <c r="A624" s="37">
        <v>42</v>
      </c>
      <c r="B624" s="38" t="s">
        <v>356</v>
      </c>
      <c r="C624" s="51">
        <v>7896206402433</v>
      </c>
      <c r="D624" s="40" t="s">
        <v>67</v>
      </c>
      <c r="E624" s="40"/>
      <c r="F624" s="40">
        <v>941</v>
      </c>
      <c r="G624" s="38"/>
      <c r="H624" s="38" t="s">
        <v>344</v>
      </c>
      <c r="I624" s="38" t="s">
        <v>342</v>
      </c>
      <c r="J624" s="38" t="s">
        <v>336</v>
      </c>
      <c r="K624" s="38" t="s">
        <v>345</v>
      </c>
      <c r="L624" s="52" t="s">
        <v>213</v>
      </c>
      <c r="M624" s="53" t="s">
        <v>213</v>
      </c>
    </row>
    <row r="625" spans="1:13" x14ac:dyDescent="0.3">
      <c r="A625" s="37">
        <v>42</v>
      </c>
      <c r="B625" s="38" t="s">
        <v>29</v>
      </c>
      <c r="C625" s="51">
        <v>7896206402853</v>
      </c>
      <c r="D625" s="40" t="s">
        <v>67</v>
      </c>
      <c r="E625" s="40"/>
      <c r="F625" s="40">
        <v>795</v>
      </c>
      <c r="G625" s="38"/>
      <c r="H625" s="38" t="s">
        <v>357</v>
      </c>
      <c r="I625" s="38" t="s">
        <v>358</v>
      </c>
      <c r="J625" s="38" t="s">
        <v>359</v>
      </c>
      <c r="K625" s="38" t="s">
        <v>360</v>
      </c>
      <c r="L625" s="52" t="s">
        <v>213</v>
      </c>
      <c r="M625" s="53" t="s">
        <v>213</v>
      </c>
    </row>
    <row r="626" spans="1:13" x14ac:dyDescent="0.3">
      <c r="A626" s="37">
        <v>42</v>
      </c>
      <c r="B626" s="38" t="s">
        <v>361</v>
      </c>
      <c r="C626" s="51">
        <v>7896206402860</v>
      </c>
      <c r="D626" s="40" t="s">
        <v>67</v>
      </c>
      <c r="E626" s="40"/>
      <c r="F626" s="40">
        <v>795</v>
      </c>
      <c r="G626" s="38"/>
      <c r="H626" s="38" t="s">
        <v>357</v>
      </c>
      <c r="I626" s="38" t="s">
        <v>358</v>
      </c>
      <c r="J626" s="38" t="s">
        <v>359</v>
      </c>
      <c r="K626" s="38" t="s">
        <v>360</v>
      </c>
      <c r="L626" s="52" t="s">
        <v>213</v>
      </c>
      <c r="M626" s="53" t="s">
        <v>213</v>
      </c>
    </row>
    <row r="627" spans="1:13" x14ac:dyDescent="0.3">
      <c r="A627" s="37">
        <v>42</v>
      </c>
      <c r="B627" s="38" t="s">
        <v>362</v>
      </c>
      <c r="C627" s="51">
        <v>7896206402877</v>
      </c>
      <c r="D627" s="40" t="s">
        <v>67</v>
      </c>
      <c r="E627" s="40"/>
      <c r="F627" s="40">
        <v>795</v>
      </c>
      <c r="G627" s="38"/>
      <c r="H627" s="38" t="s">
        <v>357</v>
      </c>
      <c r="I627" s="38" t="s">
        <v>358</v>
      </c>
      <c r="J627" s="38" t="s">
        <v>359</v>
      </c>
      <c r="K627" s="38" t="s">
        <v>360</v>
      </c>
      <c r="L627" s="52" t="s">
        <v>213</v>
      </c>
      <c r="M627" s="53" t="s">
        <v>213</v>
      </c>
    </row>
    <row r="628" spans="1:13" x14ac:dyDescent="0.3">
      <c r="A628" s="37">
        <v>42</v>
      </c>
      <c r="B628" s="38" t="s">
        <v>363</v>
      </c>
      <c r="C628" s="51">
        <v>7896206402969</v>
      </c>
      <c r="D628" s="40" t="s">
        <v>67</v>
      </c>
      <c r="E628" s="40"/>
      <c r="F628" s="40">
        <v>366</v>
      </c>
      <c r="G628" s="38"/>
      <c r="H628" s="38" t="s">
        <v>364</v>
      </c>
      <c r="I628" s="38" t="s">
        <v>349</v>
      </c>
      <c r="J628" s="38" t="s">
        <v>336</v>
      </c>
      <c r="K628" s="38" t="s">
        <v>350</v>
      </c>
      <c r="L628" s="52" t="s">
        <v>213</v>
      </c>
      <c r="M628" s="53" t="s">
        <v>213</v>
      </c>
    </row>
    <row r="629" spans="1:13" x14ac:dyDescent="0.3">
      <c r="A629" s="37">
        <v>42</v>
      </c>
      <c r="B629" s="38" t="s">
        <v>363</v>
      </c>
      <c r="C629" s="51">
        <v>7896206402969</v>
      </c>
      <c r="D629" s="40" t="s">
        <v>67</v>
      </c>
      <c r="E629" s="40"/>
      <c r="F629" s="40">
        <v>996</v>
      </c>
      <c r="G629" s="38"/>
      <c r="H629" s="38" t="s">
        <v>364</v>
      </c>
      <c r="I629" s="38" t="s">
        <v>351</v>
      </c>
      <c r="J629" s="38" t="s">
        <v>352</v>
      </c>
      <c r="K629" s="38" t="s">
        <v>353</v>
      </c>
      <c r="L629" s="52" t="s">
        <v>213</v>
      </c>
      <c r="M629" s="53" t="s">
        <v>213</v>
      </c>
    </row>
    <row r="630" spans="1:13" x14ac:dyDescent="0.3">
      <c r="A630" s="37">
        <v>42</v>
      </c>
      <c r="B630" s="38" t="s">
        <v>365</v>
      </c>
      <c r="C630" s="51">
        <v>7896206402976</v>
      </c>
      <c r="D630" s="40" t="s">
        <v>67</v>
      </c>
      <c r="E630" s="40"/>
      <c r="F630" s="40">
        <v>366</v>
      </c>
      <c r="G630" s="38"/>
      <c r="H630" s="38" t="s">
        <v>364</v>
      </c>
      <c r="I630" s="38" t="s">
        <v>349</v>
      </c>
      <c r="J630" s="38" t="s">
        <v>336</v>
      </c>
      <c r="K630" s="38" t="s">
        <v>350</v>
      </c>
      <c r="L630" s="52" t="s">
        <v>213</v>
      </c>
      <c r="M630" s="53" t="s">
        <v>213</v>
      </c>
    </row>
    <row r="631" spans="1:13" x14ac:dyDescent="0.3">
      <c r="A631" s="37">
        <v>42</v>
      </c>
      <c r="B631" s="38" t="s">
        <v>365</v>
      </c>
      <c r="C631" s="51">
        <v>7896206402976</v>
      </c>
      <c r="D631" s="40" t="s">
        <v>67</v>
      </c>
      <c r="E631" s="40"/>
      <c r="F631" s="40">
        <v>996</v>
      </c>
      <c r="G631" s="38"/>
      <c r="H631" s="38" t="s">
        <v>364</v>
      </c>
      <c r="I631" s="38" t="s">
        <v>351</v>
      </c>
      <c r="J631" s="38" t="s">
        <v>352</v>
      </c>
      <c r="K631" s="38" t="s">
        <v>353</v>
      </c>
      <c r="L631" s="52" t="s">
        <v>213</v>
      </c>
      <c r="M631" s="53" t="s">
        <v>213</v>
      </c>
    </row>
    <row r="632" spans="1:13" x14ac:dyDescent="0.3">
      <c r="A632" s="37">
        <v>42</v>
      </c>
      <c r="B632" s="38" t="s">
        <v>366</v>
      </c>
      <c r="C632" s="51">
        <v>7896206402983</v>
      </c>
      <c r="D632" s="40" t="s">
        <v>67</v>
      </c>
      <c r="E632" s="40"/>
      <c r="F632" s="40">
        <v>363</v>
      </c>
      <c r="G632" s="38"/>
      <c r="H632" s="38" t="s">
        <v>348</v>
      </c>
      <c r="I632" s="38" t="s">
        <v>349</v>
      </c>
      <c r="J632" s="38" t="s">
        <v>336</v>
      </c>
      <c r="K632" s="38" t="s">
        <v>350</v>
      </c>
      <c r="L632" s="52" t="s">
        <v>213</v>
      </c>
      <c r="M632" s="53" t="s">
        <v>213</v>
      </c>
    </row>
    <row r="633" spans="1:13" x14ac:dyDescent="0.3">
      <c r="A633" s="37">
        <v>42</v>
      </c>
      <c r="B633" s="38" t="s">
        <v>366</v>
      </c>
      <c r="C633" s="51">
        <v>7896206402983</v>
      </c>
      <c r="D633" s="40" t="s">
        <v>67</v>
      </c>
      <c r="E633" s="40"/>
      <c r="F633" s="40">
        <v>995</v>
      </c>
      <c r="G633" s="38"/>
      <c r="H633" s="38" t="s">
        <v>348</v>
      </c>
      <c r="I633" s="38" t="s">
        <v>351</v>
      </c>
      <c r="J633" s="38" t="s">
        <v>352</v>
      </c>
      <c r="K633" s="38" t="s">
        <v>353</v>
      </c>
      <c r="L633" s="52" t="s">
        <v>213</v>
      </c>
      <c r="M633" s="53" t="s">
        <v>213</v>
      </c>
    </row>
    <row r="634" spans="1:13" x14ac:dyDescent="0.3">
      <c r="A634" s="37">
        <v>42</v>
      </c>
      <c r="B634" s="38" t="s">
        <v>367</v>
      </c>
      <c r="C634" s="51">
        <v>7896206402990</v>
      </c>
      <c r="D634" s="40" t="s">
        <v>67</v>
      </c>
      <c r="E634" s="40"/>
      <c r="F634" s="40">
        <v>368</v>
      </c>
      <c r="G634" s="38"/>
      <c r="H634" s="38" t="s">
        <v>368</v>
      </c>
      <c r="I634" s="38" t="s">
        <v>342</v>
      </c>
      <c r="J634" s="38" t="s">
        <v>369</v>
      </c>
      <c r="K634" s="38" t="s">
        <v>370</v>
      </c>
      <c r="L634" s="52" t="s">
        <v>213</v>
      </c>
      <c r="M634" s="53" t="s">
        <v>213</v>
      </c>
    </row>
    <row r="635" spans="1:13" x14ac:dyDescent="0.3">
      <c r="A635" s="37">
        <v>42</v>
      </c>
      <c r="B635" s="38" t="s">
        <v>371</v>
      </c>
      <c r="C635" s="51">
        <v>7896206403003</v>
      </c>
      <c r="D635" s="40" t="s">
        <v>67</v>
      </c>
      <c r="E635" s="40"/>
      <c r="F635" s="40">
        <v>368</v>
      </c>
      <c r="G635" s="38"/>
      <c r="H635" s="38" t="s">
        <v>368</v>
      </c>
      <c r="I635" s="38" t="s">
        <v>342</v>
      </c>
      <c r="J635" s="38" t="s">
        <v>369</v>
      </c>
      <c r="K635" s="38" t="s">
        <v>370</v>
      </c>
      <c r="L635" s="52" t="s">
        <v>213</v>
      </c>
      <c r="M635" s="53" t="s">
        <v>213</v>
      </c>
    </row>
    <row r="636" spans="1:13" x14ac:dyDescent="0.3">
      <c r="A636" s="37">
        <v>42</v>
      </c>
      <c r="B636" s="38" t="s">
        <v>372</v>
      </c>
      <c r="C636" s="51">
        <v>7896206403010</v>
      </c>
      <c r="D636" s="40" t="s">
        <v>67</v>
      </c>
      <c r="E636" s="40"/>
      <c r="F636" s="40">
        <v>368</v>
      </c>
      <c r="G636" s="38"/>
      <c r="H636" s="38" t="s">
        <v>368</v>
      </c>
      <c r="I636" s="38" t="s">
        <v>342</v>
      </c>
      <c r="J636" s="38" t="s">
        <v>369</v>
      </c>
      <c r="K636" s="38" t="s">
        <v>370</v>
      </c>
      <c r="L636" s="52" t="s">
        <v>213</v>
      </c>
      <c r="M636" s="53" t="s">
        <v>213</v>
      </c>
    </row>
    <row r="637" spans="1:13" x14ac:dyDescent="0.3">
      <c r="A637" s="37">
        <v>42</v>
      </c>
      <c r="B637" s="38" t="s">
        <v>373</v>
      </c>
      <c r="C637" s="51">
        <v>7896206403126</v>
      </c>
      <c r="D637" s="40" t="s">
        <v>67</v>
      </c>
      <c r="E637" s="40"/>
      <c r="F637" s="40">
        <v>360</v>
      </c>
      <c r="G637" s="38"/>
      <c r="H637" s="38" t="s">
        <v>334</v>
      </c>
      <c r="I637" s="38" t="s">
        <v>335</v>
      </c>
      <c r="J637" s="38" t="s">
        <v>336</v>
      </c>
      <c r="K637" s="38" t="s">
        <v>337</v>
      </c>
      <c r="L637" s="52" t="s">
        <v>213</v>
      </c>
      <c r="M637" s="53" t="s">
        <v>213</v>
      </c>
    </row>
    <row r="638" spans="1:13" x14ac:dyDescent="0.3">
      <c r="A638" s="37">
        <v>42</v>
      </c>
      <c r="B638" s="38" t="s">
        <v>374</v>
      </c>
      <c r="C638" s="51">
        <v>7896206403140</v>
      </c>
      <c r="D638" s="40" t="s">
        <v>67</v>
      </c>
      <c r="E638" s="40"/>
      <c r="F638" s="40">
        <v>360</v>
      </c>
      <c r="G638" s="38"/>
      <c r="H638" s="38" t="s">
        <v>334</v>
      </c>
      <c r="I638" s="38" t="s">
        <v>335</v>
      </c>
      <c r="J638" s="38" t="s">
        <v>336</v>
      </c>
      <c r="K638" s="38" t="s">
        <v>337</v>
      </c>
      <c r="L638" s="52" t="s">
        <v>213</v>
      </c>
      <c r="M638" s="53" t="s">
        <v>213</v>
      </c>
    </row>
    <row r="639" spans="1:13" x14ac:dyDescent="0.3">
      <c r="A639" s="37">
        <v>42</v>
      </c>
      <c r="B639" s="38" t="s">
        <v>375</v>
      </c>
      <c r="C639" s="51">
        <v>7896206403645</v>
      </c>
      <c r="D639" s="40" t="s">
        <v>67</v>
      </c>
      <c r="E639" s="40"/>
      <c r="F639" s="40">
        <v>363</v>
      </c>
      <c r="G639" s="38"/>
      <c r="H639" s="38" t="s">
        <v>348</v>
      </c>
      <c r="I639" s="38" t="s">
        <v>349</v>
      </c>
      <c r="J639" s="38" t="s">
        <v>336</v>
      </c>
      <c r="K639" s="38" t="s">
        <v>350</v>
      </c>
      <c r="L639" s="52" t="s">
        <v>213</v>
      </c>
      <c r="M639" s="53" t="s">
        <v>213</v>
      </c>
    </row>
    <row r="640" spans="1:13" x14ac:dyDescent="0.3">
      <c r="A640" s="37">
        <v>42</v>
      </c>
      <c r="B640" s="38" t="s">
        <v>375</v>
      </c>
      <c r="C640" s="51">
        <v>7896206403645</v>
      </c>
      <c r="D640" s="40" t="s">
        <v>67</v>
      </c>
      <c r="E640" s="40"/>
      <c r="F640" s="40">
        <v>995</v>
      </c>
      <c r="G640" s="38"/>
      <c r="H640" s="38" t="s">
        <v>348</v>
      </c>
      <c r="I640" s="38" t="s">
        <v>351</v>
      </c>
      <c r="J640" s="38" t="s">
        <v>352</v>
      </c>
      <c r="K640" s="38" t="s">
        <v>353</v>
      </c>
      <c r="L640" s="52" t="s">
        <v>213</v>
      </c>
      <c r="M640" s="53" t="s">
        <v>213</v>
      </c>
    </row>
    <row r="641" spans="1:13" x14ac:dyDescent="0.3">
      <c r="A641" s="37">
        <v>42</v>
      </c>
      <c r="B641" s="38" t="s">
        <v>376</v>
      </c>
      <c r="C641" s="51">
        <v>7896206403652</v>
      </c>
      <c r="D641" s="40" t="s">
        <v>67</v>
      </c>
      <c r="E641" s="40"/>
      <c r="F641" s="40">
        <v>363</v>
      </c>
      <c r="G641" s="38"/>
      <c r="H641" s="38" t="s">
        <v>348</v>
      </c>
      <c r="I641" s="38" t="s">
        <v>349</v>
      </c>
      <c r="J641" s="38" t="s">
        <v>336</v>
      </c>
      <c r="K641" s="38" t="s">
        <v>350</v>
      </c>
      <c r="L641" s="52" t="s">
        <v>213</v>
      </c>
      <c r="M641" s="53" t="s">
        <v>213</v>
      </c>
    </row>
    <row r="642" spans="1:13" x14ac:dyDescent="0.3">
      <c r="A642" s="37">
        <v>42</v>
      </c>
      <c r="B642" s="38" t="s">
        <v>376</v>
      </c>
      <c r="C642" s="51">
        <v>7896206403652</v>
      </c>
      <c r="D642" s="40" t="s">
        <v>67</v>
      </c>
      <c r="E642" s="40"/>
      <c r="F642" s="40">
        <v>995</v>
      </c>
      <c r="G642" s="38"/>
      <c r="H642" s="38" t="s">
        <v>348</v>
      </c>
      <c r="I642" s="38" t="s">
        <v>351</v>
      </c>
      <c r="J642" s="38" t="s">
        <v>352</v>
      </c>
      <c r="K642" s="38" t="s">
        <v>353</v>
      </c>
      <c r="L642" s="52" t="s">
        <v>213</v>
      </c>
      <c r="M642" s="53" t="s">
        <v>213</v>
      </c>
    </row>
    <row r="643" spans="1:13" x14ac:dyDescent="0.3">
      <c r="A643" s="37">
        <v>42</v>
      </c>
      <c r="B643" s="38" t="s">
        <v>377</v>
      </c>
      <c r="C643" s="51">
        <v>7896206406707</v>
      </c>
      <c r="D643" s="40" t="s">
        <v>67</v>
      </c>
      <c r="E643" s="40"/>
      <c r="F643" s="40">
        <v>795</v>
      </c>
      <c r="G643" s="38"/>
      <c r="H643" s="38" t="s">
        <v>357</v>
      </c>
      <c r="I643" s="38" t="s">
        <v>358</v>
      </c>
      <c r="J643" s="38" t="s">
        <v>359</v>
      </c>
      <c r="K643" s="38" t="s">
        <v>360</v>
      </c>
      <c r="L643" s="52" t="s">
        <v>213</v>
      </c>
      <c r="M643" s="53" t="s">
        <v>213</v>
      </c>
    </row>
    <row r="644" spans="1:13" x14ac:dyDescent="0.3">
      <c r="A644" s="37">
        <v>42</v>
      </c>
      <c r="B644" s="38" t="s">
        <v>378</v>
      </c>
      <c r="C644" s="51">
        <v>7896206406738</v>
      </c>
      <c r="D644" s="40" t="s">
        <v>67</v>
      </c>
      <c r="E644" s="40"/>
      <c r="F644" s="40">
        <v>795</v>
      </c>
      <c r="G644" s="38"/>
      <c r="H644" s="38" t="s">
        <v>357</v>
      </c>
      <c r="I644" s="38" t="s">
        <v>358</v>
      </c>
      <c r="J644" s="38" t="s">
        <v>359</v>
      </c>
      <c r="K644" s="38" t="s">
        <v>360</v>
      </c>
      <c r="L644" s="52" t="s">
        <v>213</v>
      </c>
      <c r="M644" s="53" t="s">
        <v>213</v>
      </c>
    </row>
    <row r="645" spans="1:13" x14ac:dyDescent="0.3">
      <c r="A645" s="37">
        <v>42</v>
      </c>
      <c r="B645" s="38" t="s">
        <v>379</v>
      </c>
      <c r="C645" s="51">
        <v>7896206406769</v>
      </c>
      <c r="D645" s="40" t="s">
        <v>67</v>
      </c>
      <c r="E645" s="40"/>
      <c r="F645" s="40">
        <v>795</v>
      </c>
      <c r="G645" s="38"/>
      <c r="H645" s="38" t="s">
        <v>357</v>
      </c>
      <c r="I645" s="38" t="s">
        <v>358</v>
      </c>
      <c r="J645" s="38" t="s">
        <v>359</v>
      </c>
      <c r="K645" s="38" t="s">
        <v>360</v>
      </c>
      <c r="L645" s="52" t="s">
        <v>213</v>
      </c>
      <c r="M645" s="53" t="s">
        <v>213</v>
      </c>
    </row>
    <row r="646" spans="1:13" x14ac:dyDescent="0.3">
      <c r="A646" s="37">
        <v>42</v>
      </c>
      <c r="B646" s="38" t="s">
        <v>380</v>
      </c>
      <c r="C646" s="51">
        <v>7896206407896</v>
      </c>
      <c r="D646" s="40" t="s">
        <v>67</v>
      </c>
      <c r="E646" s="40"/>
      <c r="F646" s="40">
        <v>369</v>
      </c>
      <c r="G646" s="38"/>
      <c r="H646" s="38" t="s">
        <v>341</v>
      </c>
      <c r="I646" s="38" t="s">
        <v>342</v>
      </c>
      <c r="J646" s="38" t="s">
        <v>336</v>
      </c>
      <c r="K646" s="38" t="s">
        <v>343</v>
      </c>
      <c r="L646" s="52" t="s">
        <v>213</v>
      </c>
      <c r="M646" s="53" t="s">
        <v>213</v>
      </c>
    </row>
    <row r="647" spans="1:13" x14ac:dyDescent="0.3">
      <c r="A647" s="37">
        <v>42</v>
      </c>
      <c r="B647" s="38" t="s">
        <v>380</v>
      </c>
      <c r="C647" s="51">
        <v>7896206407896</v>
      </c>
      <c r="D647" s="40" t="s">
        <v>67</v>
      </c>
      <c r="E647" s="40"/>
      <c r="F647" s="40">
        <v>941</v>
      </c>
      <c r="G647" s="38"/>
      <c r="H647" s="38" t="s">
        <v>344</v>
      </c>
      <c r="I647" s="38" t="s">
        <v>342</v>
      </c>
      <c r="J647" s="38" t="s">
        <v>336</v>
      </c>
      <c r="K647" s="38" t="s">
        <v>345</v>
      </c>
      <c r="L647" s="52" t="s">
        <v>213</v>
      </c>
      <c r="M647" s="53" t="s">
        <v>213</v>
      </c>
    </row>
    <row r="648" spans="1:13" x14ac:dyDescent="0.3">
      <c r="A648" s="37">
        <v>42</v>
      </c>
      <c r="B648" s="38" t="s">
        <v>381</v>
      </c>
      <c r="C648" s="51">
        <v>7896206407902</v>
      </c>
      <c r="D648" s="40" t="s">
        <v>67</v>
      </c>
      <c r="E648" s="40"/>
      <c r="F648" s="40">
        <v>369</v>
      </c>
      <c r="G648" s="38"/>
      <c r="H648" s="38" t="s">
        <v>341</v>
      </c>
      <c r="I648" s="38" t="s">
        <v>342</v>
      </c>
      <c r="J648" s="38" t="s">
        <v>336</v>
      </c>
      <c r="K648" s="38" t="s">
        <v>343</v>
      </c>
      <c r="L648" s="52" t="s">
        <v>213</v>
      </c>
      <c r="M648" s="53" t="s">
        <v>213</v>
      </c>
    </row>
    <row r="649" spans="1:13" x14ac:dyDescent="0.3">
      <c r="A649" s="37">
        <v>42</v>
      </c>
      <c r="B649" s="38" t="s">
        <v>381</v>
      </c>
      <c r="C649" s="51">
        <v>7896206407902</v>
      </c>
      <c r="D649" s="40" t="s">
        <v>67</v>
      </c>
      <c r="E649" s="40"/>
      <c r="F649" s="40">
        <v>941</v>
      </c>
      <c r="G649" s="38"/>
      <c r="H649" s="38" t="s">
        <v>344</v>
      </c>
      <c r="I649" s="38" t="s">
        <v>342</v>
      </c>
      <c r="J649" s="38" t="s">
        <v>336</v>
      </c>
      <c r="K649" s="38" t="s">
        <v>345</v>
      </c>
      <c r="L649" s="52" t="s">
        <v>213</v>
      </c>
      <c r="M649" s="53" t="s">
        <v>213</v>
      </c>
    </row>
    <row r="650" spans="1:13" x14ac:dyDescent="0.3">
      <c r="A650" s="37">
        <v>30</v>
      </c>
      <c r="B650" s="38" t="s">
        <v>382</v>
      </c>
      <c r="C650" s="51">
        <v>7891106001946</v>
      </c>
      <c r="D650" s="40" t="s">
        <v>69</v>
      </c>
      <c r="E650" s="40"/>
      <c r="F650" s="40">
        <v>977</v>
      </c>
      <c r="G650" s="38"/>
      <c r="H650" s="38" t="s">
        <v>383</v>
      </c>
      <c r="I650" s="38" t="s">
        <v>384</v>
      </c>
      <c r="J650" s="38" t="s">
        <v>385</v>
      </c>
      <c r="K650" s="38" t="s">
        <v>386</v>
      </c>
      <c r="L650" s="52" t="s">
        <v>213</v>
      </c>
      <c r="M650" s="53" t="s">
        <v>213</v>
      </c>
    </row>
    <row r="651" spans="1:13" x14ac:dyDescent="0.3">
      <c r="A651" s="37">
        <v>30</v>
      </c>
      <c r="B651" s="38" t="s">
        <v>387</v>
      </c>
      <c r="C651" s="51">
        <v>7891106001946</v>
      </c>
      <c r="D651" s="40" t="s">
        <v>69</v>
      </c>
      <c r="E651" s="40"/>
      <c r="F651" s="40">
        <v>977</v>
      </c>
      <c r="G651" s="38"/>
      <c r="H651" s="38" t="s">
        <v>383</v>
      </c>
      <c r="I651" s="38" t="s">
        <v>384</v>
      </c>
      <c r="J651" s="38" t="s">
        <v>385</v>
      </c>
      <c r="K651" s="38" t="s">
        <v>386</v>
      </c>
      <c r="L651" s="52" t="s">
        <v>213</v>
      </c>
      <c r="M651" s="53" t="s">
        <v>213</v>
      </c>
    </row>
    <row r="652" spans="1:13" x14ac:dyDescent="0.3">
      <c r="A652" s="37">
        <v>30</v>
      </c>
      <c r="B652" s="38" t="s">
        <v>33</v>
      </c>
      <c r="C652" s="51">
        <v>7891106007030</v>
      </c>
      <c r="D652" s="40" t="s">
        <v>69</v>
      </c>
      <c r="E652" s="40"/>
      <c r="F652" s="40">
        <v>215</v>
      </c>
      <c r="G652" s="38"/>
      <c r="H652" s="38" t="s">
        <v>388</v>
      </c>
      <c r="I652" s="38" t="s">
        <v>389</v>
      </c>
      <c r="J652" s="38" t="s">
        <v>390</v>
      </c>
      <c r="K652" s="38" t="s">
        <v>391</v>
      </c>
      <c r="L652" s="52" t="s">
        <v>213</v>
      </c>
      <c r="M652" s="53" t="s">
        <v>213</v>
      </c>
    </row>
    <row r="653" spans="1:13" x14ac:dyDescent="0.3">
      <c r="A653" s="37">
        <v>30</v>
      </c>
      <c r="B653" s="38" t="s">
        <v>392</v>
      </c>
      <c r="C653" s="51">
        <v>7891106007030</v>
      </c>
      <c r="D653" s="40" t="s">
        <v>69</v>
      </c>
      <c r="E653" s="40"/>
      <c r="F653" s="40">
        <v>215</v>
      </c>
      <c r="G653" s="38"/>
      <c r="H653" s="38" t="s">
        <v>388</v>
      </c>
      <c r="I653" s="38" t="s">
        <v>389</v>
      </c>
      <c r="J653" s="38" t="s">
        <v>390</v>
      </c>
      <c r="K653" s="38" t="s">
        <v>391</v>
      </c>
      <c r="L653" s="52" t="s">
        <v>213</v>
      </c>
      <c r="M653" s="53" t="s">
        <v>213</v>
      </c>
    </row>
    <row r="654" spans="1:13" x14ac:dyDescent="0.3">
      <c r="A654" s="37">
        <v>30</v>
      </c>
      <c r="B654" s="38" t="s">
        <v>33</v>
      </c>
      <c r="C654" s="51">
        <v>7891106007030</v>
      </c>
      <c r="D654" s="40" t="s">
        <v>69</v>
      </c>
      <c r="E654" s="40"/>
      <c r="F654" s="40">
        <v>349</v>
      </c>
      <c r="G654" s="38"/>
      <c r="H654" s="38" t="s">
        <v>393</v>
      </c>
      <c r="I654" s="38" t="s">
        <v>389</v>
      </c>
      <c r="J654" s="38" t="s">
        <v>390</v>
      </c>
      <c r="K654" s="38" t="s">
        <v>391</v>
      </c>
      <c r="L654" s="52" t="s">
        <v>213</v>
      </c>
      <c r="M654" s="53" t="s">
        <v>213</v>
      </c>
    </row>
    <row r="655" spans="1:13" x14ac:dyDescent="0.3">
      <c r="A655" s="37">
        <v>30</v>
      </c>
      <c r="B655" s="38" t="s">
        <v>392</v>
      </c>
      <c r="C655" s="51">
        <v>7891106007030</v>
      </c>
      <c r="D655" s="40" t="s">
        <v>69</v>
      </c>
      <c r="E655" s="40"/>
      <c r="F655" s="40">
        <v>349</v>
      </c>
      <c r="G655" s="38"/>
      <c r="H655" s="38" t="s">
        <v>393</v>
      </c>
      <c r="I655" s="38" t="s">
        <v>389</v>
      </c>
      <c r="J655" s="38" t="s">
        <v>390</v>
      </c>
      <c r="K655" s="38" t="s">
        <v>391</v>
      </c>
      <c r="L655" s="52" t="s">
        <v>213</v>
      </c>
      <c r="M655" s="53" t="s">
        <v>213</v>
      </c>
    </row>
    <row r="656" spans="1:13" x14ac:dyDescent="0.3">
      <c r="A656" s="37">
        <v>30</v>
      </c>
      <c r="B656" s="38" t="s">
        <v>33</v>
      </c>
      <c r="C656" s="51">
        <v>7891106007030</v>
      </c>
      <c r="D656" s="40" t="s">
        <v>69</v>
      </c>
      <c r="E656" s="40"/>
      <c r="F656" s="40">
        <v>350</v>
      </c>
      <c r="G656" s="38"/>
      <c r="H656" s="38" t="s">
        <v>394</v>
      </c>
      <c r="I656" s="38" t="s">
        <v>389</v>
      </c>
      <c r="J656" s="38" t="s">
        <v>390</v>
      </c>
      <c r="K656" s="38" t="s">
        <v>391</v>
      </c>
      <c r="L656" s="52" t="s">
        <v>213</v>
      </c>
      <c r="M656" s="53" t="s">
        <v>213</v>
      </c>
    </row>
    <row r="657" spans="1:13" x14ac:dyDescent="0.3">
      <c r="A657" s="37">
        <v>30</v>
      </c>
      <c r="B657" s="38" t="s">
        <v>392</v>
      </c>
      <c r="C657" s="51">
        <v>7891106007030</v>
      </c>
      <c r="D657" s="40" t="s">
        <v>69</v>
      </c>
      <c r="E657" s="40"/>
      <c r="F657" s="40">
        <v>350</v>
      </c>
      <c r="G657" s="38"/>
      <c r="H657" s="38" t="s">
        <v>394</v>
      </c>
      <c r="I657" s="38" t="s">
        <v>389</v>
      </c>
      <c r="J657" s="38" t="s">
        <v>390</v>
      </c>
      <c r="K657" s="38" t="s">
        <v>391</v>
      </c>
      <c r="L657" s="52" t="s">
        <v>213</v>
      </c>
      <c r="M657" s="53" t="s">
        <v>213</v>
      </c>
    </row>
    <row r="658" spans="1:13" x14ac:dyDescent="0.3">
      <c r="A658" s="37">
        <v>30</v>
      </c>
      <c r="B658" s="38" t="s">
        <v>33</v>
      </c>
      <c r="C658" s="51">
        <v>7891106007030</v>
      </c>
      <c r="D658" s="40" t="s">
        <v>69</v>
      </c>
      <c r="E658" s="40"/>
      <c r="F658" s="40">
        <v>351</v>
      </c>
      <c r="G658" s="38"/>
      <c r="H658" s="38" t="s">
        <v>395</v>
      </c>
      <c r="I658" s="38" t="s">
        <v>389</v>
      </c>
      <c r="J658" s="38" t="s">
        <v>390</v>
      </c>
      <c r="K658" s="38" t="s">
        <v>391</v>
      </c>
      <c r="L658" s="52" t="s">
        <v>213</v>
      </c>
      <c r="M658" s="53" t="s">
        <v>213</v>
      </c>
    </row>
    <row r="659" spans="1:13" x14ac:dyDescent="0.3">
      <c r="A659" s="37">
        <v>30</v>
      </c>
      <c r="B659" s="38" t="s">
        <v>392</v>
      </c>
      <c r="C659" s="51">
        <v>7891106007030</v>
      </c>
      <c r="D659" s="40" t="s">
        <v>69</v>
      </c>
      <c r="E659" s="40"/>
      <c r="F659" s="40">
        <v>351</v>
      </c>
      <c r="G659" s="38"/>
      <c r="H659" s="38" t="s">
        <v>395</v>
      </c>
      <c r="I659" s="38" t="s">
        <v>389</v>
      </c>
      <c r="J659" s="38" t="s">
        <v>390</v>
      </c>
      <c r="K659" s="38" t="s">
        <v>391</v>
      </c>
      <c r="L659" s="52" t="s">
        <v>213</v>
      </c>
      <c r="M659" s="53" t="s">
        <v>213</v>
      </c>
    </row>
    <row r="660" spans="1:13" x14ac:dyDescent="0.3">
      <c r="A660" s="37">
        <v>30</v>
      </c>
      <c r="B660" s="38" t="s">
        <v>33</v>
      </c>
      <c r="C660" s="51">
        <v>7891106007030</v>
      </c>
      <c r="D660" s="40" t="s">
        <v>69</v>
      </c>
      <c r="E660" s="40"/>
      <c r="F660" s="40">
        <v>352</v>
      </c>
      <c r="G660" s="38"/>
      <c r="H660" s="38" t="s">
        <v>396</v>
      </c>
      <c r="I660" s="38" t="s">
        <v>397</v>
      </c>
      <c r="J660" s="38" t="s">
        <v>390</v>
      </c>
      <c r="K660" s="38" t="s">
        <v>391</v>
      </c>
      <c r="L660" s="52" t="s">
        <v>213</v>
      </c>
      <c r="M660" s="53" t="s">
        <v>213</v>
      </c>
    </row>
    <row r="661" spans="1:13" x14ac:dyDescent="0.3">
      <c r="A661" s="37">
        <v>30</v>
      </c>
      <c r="B661" s="38" t="s">
        <v>392</v>
      </c>
      <c r="C661" s="51">
        <v>7891106007030</v>
      </c>
      <c r="D661" s="40" t="s">
        <v>69</v>
      </c>
      <c r="E661" s="40"/>
      <c r="F661" s="40">
        <v>352</v>
      </c>
      <c r="G661" s="38"/>
      <c r="H661" s="38" t="s">
        <v>396</v>
      </c>
      <c r="I661" s="38" t="s">
        <v>397</v>
      </c>
      <c r="J661" s="38" t="s">
        <v>390</v>
      </c>
      <c r="K661" s="38" t="s">
        <v>391</v>
      </c>
      <c r="L661" s="52" t="s">
        <v>213</v>
      </c>
      <c r="M661" s="53" t="s">
        <v>213</v>
      </c>
    </row>
    <row r="662" spans="1:13" x14ac:dyDescent="0.3">
      <c r="A662" s="37">
        <v>30</v>
      </c>
      <c r="B662" s="38" t="s">
        <v>33</v>
      </c>
      <c r="C662" s="51">
        <v>7891106007030</v>
      </c>
      <c r="D662" s="40" t="s">
        <v>69</v>
      </c>
      <c r="E662" s="40"/>
      <c r="F662" s="40">
        <v>353</v>
      </c>
      <c r="G662" s="38"/>
      <c r="H662" s="38" t="s">
        <v>398</v>
      </c>
      <c r="I662" s="38" t="s">
        <v>397</v>
      </c>
      <c r="J662" s="38" t="s">
        <v>390</v>
      </c>
      <c r="K662" s="38" t="s">
        <v>391</v>
      </c>
      <c r="L662" s="52" t="s">
        <v>213</v>
      </c>
      <c r="M662" s="53" t="s">
        <v>213</v>
      </c>
    </row>
    <row r="663" spans="1:13" x14ac:dyDescent="0.3">
      <c r="A663" s="37">
        <v>30</v>
      </c>
      <c r="B663" s="38" t="s">
        <v>392</v>
      </c>
      <c r="C663" s="51">
        <v>7891106007030</v>
      </c>
      <c r="D663" s="40" t="s">
        <v>69</v>
      </c>
      <c r="E663" s="40"/>
      <c r="F663" s="40">
        <v>353</v>
      </c>
      <c r="G663" s="38"/>
      <c r="H663" s="38" t="s">
        <v>398</v>
      </c>
      <c r="I663" s="38" t="s">
        <v>397</v>
      </c>
      <c r="J663" s="38" t="s">
        <v>390</v>
      </c>
      <c r="K663" s="38" t="s">
        <v>391</v>
      </c>
      <c r="L663" s="52" t="s">
        <v>213</v>
      </c>
      <c r="M663" s="53" t="s">
        <v>213</v>
      </c>
    </row>
    <row r="664" spans="1:13" x14ac:dyDescent="0.3">
      <c r="A664" s="37">
        <v>30</v>
      </c>
      <c r="B664" s="38" t="s">
        <v>33</v>
      </c>
      <c r="C664" s="51">
        <v>7891106007030</v>
      </c>
      <c r="D664" s="40" t="s">
        <v>69</v>
      </c>
      <c r="E664" s="40"/>
      <c r="F664" s="40">
        <v>960</v>
      </c>
      <c r="G664" s="38"/>
      <c r="H664" s="38" t="s">
        <v>399</v>
      </c>
      <c r="I664" s="38" t="s">
        <v>397</v>
      </c>
      <c r="J664" s="38" t="s">
        <v>390</v>
      </c>
      <c r="K664" s="38" t="s">
        <v>391</v>
      </c>
      <c r="L664" s="52" t="s">
        <v>213</v>
      </c>
      <c r="M664" s="53" t="s">
        <v>213</v>
      </c>
    </row>
    <row r="665" spans="1:13" x14ac:dyDescent="0.3">
      <c r="A665" s="37">
        <v>30</v>
      </c>
      <c r="B665" s="38" t="s">
        <v>392</v>
      </c>
      <c r="C665" s="51">
        <v>7891106007030</v>
      </c>
      <c r="D665" s="40" t="s">
        <v>69</v>
      </c>
      <c r="E665" s="40"/>
      <c r="F665" s="40">
        <v>960</v>
      </c>
      <c r="G665" s="38"/>
      <c r="H665" s="38" t="s">
        <v>399</v>
      </c>
      <c r="I665" s="38" t="s">
        <v>397</v>
      </c>
      <c r="J665" s="38" t="s">
        <v>390</v>
      </c>
      <c r="K665" s="38" t="s">
        <v>391</v>
      </c>
      <c r="L665" s="52" t="s">
        <v>213</v>
      </c>
      <c r="M665" s="53" t="s">
        <v>213</v>
      </c>
    </row>
    <row r="666" spans="1:13" x14ac:dyDescent="0.3">
      <c r="A666" s="37">
        <v>30</v>
      </c>
      <c r="B666" s="38" t="s">
        <v>400</v>
      </c>
      <c r="C666" s="51">
        <v>7891106007047</v>
      </c>
      <c r="D666" s="40" t="s">
        <v>69</v>
      </c>
      <c r="E666" s="40"/>
      <c r="F666" s="40">
        <v>215</v>
      </c>
      <c r="G666" s="38"/>
      <c r="H666" s="38" t="s">
        <v>388</v>
      </c>
      <c r="I666" s="38" t="s">
        <v>401</v>
      </c>
      <c r="J666" s="38" t="s">
        <v>402</v>
      </c>
      <c r="K666" s="38" t="s">
        <v>403</v>
      </c>
      <c r="L666" s="52" t="s">
        <v>213</v>
      </c>
      <c r="M666" s="53" t="s">
        <v>213</v>
      </c>
    </row>
    <row r="667" spans="1:13" x14ac:dyDescent="0.3">
      <c r="A667" s="37">
        <v>30</v>
      </c>
      <c r="B667" s="38" t="s">
        <v>404</v>
      </c>
      <c r="C667" s="51">
        <v>7891106007047</v>
      </c>
      <c r="D667" s="40" t="s">
        <v>69</v>
      </c>
      <c r="E667" s="40"/>
      <c r="F667" s="40">
        <v>215</v>
      </c>
      <c r="G667" s="38"/>
      <c r="H667" s="38" t="s">
        <v>388</v>
      </c>
      <c r="I667" s="38" t="s">
        <v>401</v>
      </c>
      <c r="J667" s="38" t="s">
        <v>402</v>
      </c>
      <c r="K667" s="38" t="s">
        <v>403</v>
      </c>
      <c r="L667" s="52" t="s">
        <v>213</v>
      </c>
      <c r="M667" s="53" t="s">
        <v>213</v>
      </c>
    </row>
    <row r="668" spans="1:13" x14ac:dyDescent="0.3">
      <c r="A668" s="37">
        <v>30</v>
      </c>
      <c r="B668" s="38" t="s">
        <v>400</v>
      </c>
      <c r="C668" s="51">
        <v>7891106007047</v>
      </c>
      <c r="D668" s="40" t="s">
        <v>69</v>
      </c>
      <c r="E668" s="40"/>
      <c r="F668" s="40">
        <v>349</v>
      </c>
      <c r="G668" s="38"/>
      <c r="H668" s="38" t="s">
        <v>393</v>
      </c>
      <c r="I668" s="38" t="s">
        <v>405</v>
      </c>
      <c r="J668" s="38" t="s">
        <v>402</v>
      </c>
      <c r="K668" s="38" t="s">
        <v>406</v>
      </c>
      <c r="L668" s="52" t="s">
        <v>213</v>
      </c>
      <c r="M668" s="53" t="s">
        <v>213</v>
      </c>
    </row>
    <row r="669" spans="1:13" x14ac:dyDescent="0.3">
      <c r="A669" s="37">
        <v>30</v>
      </c>
      <c r="B669" s="38" t="s">
        <v>404</v>
      </c>
      <c r="C669" s="51">
        <v>7891106007047</v>
      </c>
      <c r="D669" s="40" t="s">
        <v>69</v>
      </c>
      <c r="E669" s="40"/>
      <c r="F669" s="40">
        <v>349</v>
      </c>
      <c r="G669" s="38"/>
      <c r="H669" s="38" t="s">
        <v>393</v>
      </c>
      <c r="I669" s="38" t="s">
        <v>405</v>
      </c>
      <c r="J669" s="38" t="s">
        <v>402</v>
      </c>
      <c r="K669" s="38" t="s">
        <v>406</v>
      </c>
      <c r="L669" s="52" t="s">
        <v>213</v>
      </c>
      <c r="M669" s="53" t="s">
        <v>213</v>
      </c>
    </row>
    <row r="670" spans="1:13" x14ac:dyDescent="0.3">
      <c r="A670" s="37">
        <v>30</v>
      </c>
      <c r="B670" s="38" t="s">
        <v>400</v>
      </c>
      <c r="C670" s="51">
        <v>7891106007047</v>
      </c>
      <c r="D670" s="40" t="s">
        <v>69</v>
      </c>
      <c r="E670" s="40"/>
      <c r="F670" s="40">
        <v>350</v>
      </c>
      <c r="G670" s="38"/>
      <c r="H670" s="38" t="s">
        <v>394</v>
      </c>
      <c r="I670" s="38" t="s">
        <v>389</v>
      </c>
      <c r="J670" s="38" t="s">
        <v>402</v>
      </c>
      <c r="K670" s="38" t="s">
        <v>407</v>
      </c>
      <c r="L670" s="52" t="s">
        <v>213</v>
      </c>
      <c r="M670" s="53" t="s">
        <v>213</v>
      </c>
    </row>
    <row r="671" spans="1:13" x14ac:dyDescent="0.3">
      <c r="A671" s="37">
        <v>30</v>
      </c>
      <c r="B671" s="38" t="s">
        <v>404</v>
      </c>
      <c r="C671" s="51">
        <v>7891106007047</v>
      </c>
      <c r="D671" s="40" t="s">
        <v>69</v>
      </c>
      <c r="E671" s="40"/>
      <c r="F671" s="40">
        <v>350</v>
      </c>
      <c r="G671" s="38"/>
      <c r="H671" s="38" t="s">
        <v>394</v>
      </c>
      <c r="I671" s="38" t="s">
        <v>389</v>
      </c>
      <c r="J671" s="38" t="s">
        <v>402</v>
      </c>
      <c r="K671" s="38" t="s">
        <v>407</v>
      </c>
      <c r="L671" s="52" t="s">
        <v>213</v>
      </c>
      <c r="M671" s="53" t="s">
        <v>213</v>
      </c>
    </row>
    <row r="672" spans="1:13" x14ac:dyDescent="0.3">
      <c r="A672" s="37">
        <v>30</v>
      </c>
      <c r="B672" s="38" t="s">
        <v>400</v>
      </c>
      <c r="C672" s="51">
        <v>7891106007047</v>
      </c>
      <c r="D672" s="40" t="s">
        <v>69</v>
      </c>
      <c r="E672" s="40"/>
      <c r="F672" s="40">
        <v>351</v>
      </c>
      <c r="G672" s="38"/>
      <c r="H672" s="38" t="s">
        <v>395</v>
      </c>
      <c r="I672" s="38" t="s">
        <v>405</v>
      </c>
      <c r="J672" s="38" t="s">
        <v>402</v>
      </c>
      <c r="K672" s="38" t="s">
        <v>408</v>
      </c>
      <c r="L672" s="52" t="s">
        <v>213</v>
      </c>
      <c r="M672" s="53" t="s">
        <v>213</v>
      </c>
    </row>
    <row r="673" spans="1:13" x14ac:dyDescent="0.3">
      <c r="A673" s="37">
        <v>30</v>
      </c>
      <c r="B673" s="38" t="s">
        <v>404</v>
      </c>
      <c r="C673" s="51">
        <v>7891106007047</v>
      </c>
      <c r="D673" s="40" t="s">
        <v>69</v>
      </c>
      <c r="E673" s="40"/>
      <c r="F673" s="40">
        <v>351</v>
      </c>
      <c r="G673" s="38"/>
      <c r="H673" s="38" t="s">
        <v>395</v>
      </c>
      <c r="I673" s="38" t="s">
        <v>405</v>
      </c>
      <c r="J673" s="38" t="s">
        <v>402</v>
      </c>
      <c r="K673" s="38" t="s">
        <v>408</v>
      </c>
      <c r="L673" s="52" t="s">
        <v>213</v>
      </c>
      <c r="M673" s="53" t="s">
        <v>213</v>
      </c>
    </row>
    <row r="674" spans="1:13" x14ac:dyDescent="0.3">
      <c r="A674" s="37">
        <v>30</v>
      </c>
      <c r="B674" s="38" t="s">
        <v>400</v>
      </c>
      <c r="C674" s="51">
        <v>7891106007047</v>
      </c>
      <c r="D674" s="40" t="s">
        <v>69</v>
      </c>
      <c r="E674" s="40"/>
      <c r="F674" s="40">
        <v>352</v>
      </c>
      <c r="G674" s="38"/>
      <c r="H674" s="38" t="s">
        <v>396</v>
      </c>
      <c r="I674" s="38" t="s">
        <v>405</v>
      </c>
      <c r="J674" s="38" t="s">
        <v>402</v>
      </c>
      <c r="K674" s="38" t="s">
        <v>409</v>
      </c>
      <c r="L674" s="52" t="s">
        <v>213</v>
      </c>
      <c r="M674" s="53" t="s">
        <v>213</v>
      </c>
    </row>
    <row r="675" spans="1:13" x14ac:dyDescent="0.3">
      <c r="A675" s="37">
        <v>30</v>
      </c>
      <c r="B675" s="38" t="s">
        <v>404</v>
      </c>
      <c r="C675" s="51">
        <v>7891106007047</v>
      </c>
      <c r="D675" s="40" t="s">
        <v>69</v>
      </c>
      <c r="E675" s="40"/>
      <c r="F675" s="40">
        <v>352</v>
      </c>
      <c r="G675" s="38"/>
      <c r="H675" s="38" t="s">
        <v>396</v>
      </c>
      <c r="I675" s="38" t="s">
        <v>405</v>
      </c>
      <c r="J675" s="38" t="s">
        <v>402</v>
      </c>
      <c r="K675" s="38" t="s">
        <v>409</v>
      </c>
      <c r="L675" s="52" t="s">
        <v>213</v>
      </c>
      <c r="M675" s="53" t="s">
        <v>213</v>
      </c>
    </row>
    <row r="676" spans="1:13" x14ac:dyDescent="0.3">
      <c r="A676" s="37">
        <v>30</v>
      </c>
      <c r="B676" s="38" t="s">
        <v>400</v>
      </c>
      <c r="C676" s="51">
        <v>7891106007047</v>
      </c>
      <c r="D676" s="40" t="s">
        <v>69</v>
      </c>
      <c r="E676" s="40"/>
      <c r="F676" s="40">
        <v>353</v>
      </c>
      <c r="G676" s="38"/>
      <c r="H676" s="38" t="s">
        <v>398</v>
      </c>
      <c r="I676" s="38" t="s">
        <v>405</v>
      </c>
      <c r="J676" s="38" t="s">
        <v>402</v>
      </c>
      <c r="K676" s="38" t="s">
        <v>409</v>
      </c>
      <c r="L676" s="52" t="s">
        <v>213</v>
      </c>
      <c r="M676" s="53" t="s">
        <v>213</v>
      </c>
    </row>
    <row r="677" spans="1:13" x14ac:dyDescent="0.3">
      <c r="A677" s="37">
        <v>30</v>
      </c>
      <c r="B677" s="38" t="s">
        <v>404</v>
      </c>
      <c r="C677" s="51">
        <v>7891106007047</v>
      </c>
      <c r="D677" s="40" t="s">
        <v>69</v>
      </c>
      <c r="E677" s="40"/>
      <c r="F677" s="40">
        <v>353</v>
      </c>
      <c r="G677" s="38"/>
      <c r="H677" s="38" t="s">
        <v>398</v>
      </c>
      <c r="I677" s="38" t="s">
        <v>405</v>
      </c>
      <c r="J677" s="38" t="s">
        <v>402</v>
      </c>
      <c r="K677" s="38" t="s">
        <v>409</v>
      </c>
      <c r="L677" s="52" t="s">
        <v>213</v>
      </c>
      <c r="M677" s="53" t="s">
        <v>213</v>
      </c>
    </row>
    <row r="678" spans="1:13" x14ac:dyDescent="0.3">
      <c r="A678" s="37">
        <v>30</v>
      </c>
      <c r="B678" s="38" t="s">
        <v>400</v>
      </c>
      <c r="C678" s="51">
        <v>7891106007047</v>
      </c>
      <c r="D678" s="40" t="s">
        <v>69</v>
      </c>
      <c r="E678" s="40"/>
      <c r="F678" s="40">
        <v>960</v>
      </c>
      <c r="G678" s="38"/>
      <c r="H678" s="38" t="s">
        <v>399</v>
      </c>
      <c r="I678" s="38" t="s">
        <v>405</v>
      </c>
      <c r="J678" s="38" t="s">
        <v>402</v>
      </c>
      <c r="K678" s="38" t="s">
        <v>410</v>
      </c>
      <c r="L678" s="52" t="s">
        <v>213</v>
      </c>
      <c r="M678" s="53" t="s">
        <v>213</v>
      </c>
    </row>
    <row r="679" spans="1:13" x14ac:dyDescent="0.3">
      <c r="A679" s="37">
        <v>30</v>
      </c>
      <c r="B679" s="38" t="s">
        <v>404</v>
      </c>
      <c r="C679" s="51">
        <v>7891106007047</v>
      </c>
      <c r="D679" s="40" t="s">
        <v>69</v>
      </c>
      <c r="E679" s="40"/>
      <c r="F679" s="40">
        <v>960</v>
      </c>
      <c r="G679" s="38"/>
      <c r="H679" s="38" t="s">
        <v>399</v>
      </c>
      <c r="I679" s="38" t="s">
        <v>405</v>
      </c>
      <c r="J679" s="38" t="s">
        <v>402</v>
      </c>
      <c r="K679" s="38" t="s">
        <v>410</v>
      </c>
      <c r="L679" s="52" t="s">
        <v>213</v>
      </c>
      <c r="M679" s="53" t="s">
        <v>213</v>
      </c>
    </row>
    <row r="680" spans="1:13" x14ac:dyDescent="0.3">
      <c r="A680" s="37">
        <v>30</v>
      </c>
      <c r="B680" s="38" t="s">
        <v>400</v>
      </c>
      <c r="C680" s="51">
        <v>7891106007047</v>
      </c>
      <c r="D680" s="40" t="s">
        <v>69</v>
      </c>
      <c r="E680" s="40"/>
      <c r="F680" s="40">
        <v>993</v>
      </c>
      <c r="G680" s="38"/>
      <c r="H680" s="38" t="s">
        <v>411</v>
      </c>
      <c r="I680" s="38" t="s">
        <v>389</v>
      </c>
      <c r="J680" s="38" t="s">
        <v>412</v>
      </c>
      <c r="K680" s="38" t="s">
        <v>413</v>
      </c>
      <c r="L680" s="52" t="s">
        <v>213</v>
      </c>
      <c r="M680" s="53" t="s">
        <v>213</v>
      </c>
    </row>
    <row r="681" spans="1:13" x14ac:dyDescent="0.3">
      <c r="A681" s="37">
        <v>30</v>
      </c>
      <c r="B681" s="38" t="s">
        <v>404</v>
      </c>
      <c r="C681" s="51">
        <v>7891106007047</v>
      </c>
      <c r="D681" s="40" t="s">
        <v>69</v>
      </c>
      <c r="E681" s="40"/>
      <c r="F681" s="40">
        <v>993</v>
      </c>
      <c r="G681" s="38"/>
      <c r="H681" s="38" t="s">
        <v>411</v>
      </c>
      <c r="I681" s="38" t="s">
        <v>389</v>
      </c>
      <c r="J681" s="38" t="s">
        <v>412</v>
      </c>
      <c r="K681" s="38" t="s">
        <v>413</v>
      </c>
      <c r="L681" s="52" t="s">
        <v>213</v>
      </c>
      <c r="M681" s="53" t="s">
        <v>213</v>
      </c>
    </row>
    <row r="682" spans="1:13" x14ac:dyDescent="0.3">
      <c r="A682" s="37">
        <v>30</v>
      </c>
      <c r="B682" s="38" t="s">
        <v>414</v>
      </c>
      <c r="C682" s="51">
        <v>7891106906074</v>
      </c>
      <c r="D682" s="40" t="s">
        <v>69</v>
      </c>
      <c r="E682" s="40"/>
      <c r="F682" s="40">
        <v>197</v>
      </c>
      <c r="G682" s="38"/>
      <c r="H682" s="38" t="s">
        <v>415</v>
      </c>
      <c r="I682" s="38" t="s">
        <v>335</v>
      </c>
      <c r="J682" s="38" t="s">
        <v>416</v>
      </c>
      <c r="K682" s="38" t="s">
        <v>417</v>
      </c>
      <c r="L682" s="52" t="s">
        <v>213</v>
      </c>
      <c r="M682" s="53" t="s">
        <v>213</v>
      </c>
    </row>
    <row r="683" spans="1:13" x14ac:dyDescent="0.3">
      <c r="A683" s="37">
        <v>30</v>
      </c>
      <c r="B683" s="38" t="s">
        <v>418</v>
      </c>
      <c r="C683" s="51">
        <v>7891106906074</v>
      </c>
      <c r="D683" s="40" t="s">
        <v>69</v>
      </c>
      <c r="E683" s="40"/>
      <c r="F683" s="40">
        <v>197</v>
      </c>
      <c r="G683" s="38"/>
      <c r="H683" s="38" t="s">
        <v>415</v>
      </c>
      <c r="I683" s="38" t="s">
        <v>335</v>
      </c>
      <c r="J683" s="38" t="s">
        <v>416</v>
      </c>
      <c r="K683" s="38" t="s">
        <v>417</v>
      </c>
      <c r="L683" s="52" t="s">
        <v>213</v>
      </c>
      <c r="M683" s="53" t="s">
        <v>213</v>
      </c>
    </row>
    <row r="684" spans="1:13" x14ac:dyDescent="0.3">
      <c r="A684" s="37">
        <v>30</v>
      </c>
      <c r="B684" s="38" t="s">
        <v>414</v>
      </c>
      <c r="C684" s="51">
        <v>7891106906074</v>
      </c>
      <c r="D684" s="40" t="s">
        <v>69</v>
      </c>
      <c r="E684" s="40"/>
      <c r="F684" s="40">
        <v>204</v>
      </c>
      <c r="G684" s="38"/>
      <c r="H684" s="38" t="s">
        <v>419</v>
      </c>
      <c r="I684" s="38" t="s">
        <v>420</v>
      </c>
      <c r="J684" s="38" t="s">
        <v>421</v>
      </c>
      <c r="K684" s="38" t="s">
        <v>422</v>
      </c>
      <c r="L684" s="52" t="s">
        <v>213</v>
      </c>
      <c r="M684" s="53" t="s">
        <v>213</v>
      </c>
    </row>
    <row r="685" spans="1:13" x14ac:dyDescent="0.3">
      <c r="A685" s="37">
        <v>30</v>
      </c>
      <c r="B685" s="38" t="s">
        <v>418</v>
      </c>
      <c r="C685" s="51">
        <v>7891106906074</v>
      </c>
      <c r="D685" s="40" t="s">
        <v>69</v>
      </c>
      <c r="E685" s="40"/>
      <c r="F685" s="40">
        <v>204</v>
      </c>
      <c r="G685" s="38"/>
      <c r="H685" s="38" t="s">
        <v>419</v>
      </c>
      <c r="I685" s="38" t="s">
        <v>420</v>
      </c>
      <c r="J685" s="38" t="s">
        <v>421</v>
      </c>
      <c r="K685" s="38" t="s">
        <v>422</v>
      </c>
      <c r="L685" s="52" t="s">
        <v>213</v>
      </c>
      <c r="M685" s="53" t="s">
        <v>213</v>
      </c>
    </row>
    <row r="686" spans="1:13" x14ac:dyDescent="0.3">
      <c r="A686" s="37">
        <v>30</v>
      </c>
      <c r="B686" s="38" t="s">
        <v>414</v>
      </c>
      <c r="C686" s="51">
        <v>7891106906074</v>
      </c>
      <c r="D686" s="40" t="s">
        <v>69</v>
      </c>
      <c r="E686" s="40"/>
      <c r="F686" s="40">
        <v>207</v>
      </c>
      <c r="G686" s="38"/>
      <c r="H686" s="38" t="s">
        <v>423</v>
      </c>
      <c r="I686" s="38" t="s">
        <v>424</v>
      </c>
      <c r="J686" s="38" t="s">
        <v>416</v>
      </c>
      <c r="K686" s="38" t="s">
        <v>425</v>
      </c>
      <c r="L686" s="52" t="s">
        <v>213</v>
      </c>
      <c r="M686" s="53" t="s">
        <v>213</v>
      </c>
    </row>
    <row r="687" spans="1:13" x14ac:dyDescent="0.3">
      <c r="A687" s="37">
        <v>30</v>
      </c>
      <c r="B687" s="38" t="s">
        <v>418</v>
      </c>
      <c r="C687" s="51">
        <v>7891106906074</v>
      </c>
      <c r="D687" s="40" t="s">
        <v>69</v>
      </c>
      <c r="E687" s="40"/>
      <c r="F687" s="40">
        <v>207</v>
      </c>
      <c r="G687" s="38"/>
      <c r="H687" s="38" t="s">
        <v>423</v>
      </c>
      <c r="I687" s="38" t="s">
        <v>424</v>
      </c>
      <c r="J687" s="38" t="s">
        <v>416</v>
      </c>
      <c r="K687" s="38" t="s">
        <v>425</v>
      </c>
      <c r="L687" s="52" t="s">
        <v>213</v>
      </c>
      <c r="M687" s="53" t="s">
        <v>213</v>
      </c>
    </row>
    <row r="688" spans="1:13" x14ac:dyDescent="0.3">
      <c r="A688" s="37">
        <v>30</v>
      </c>
      <c r="B688" s="38" t="s">
        <v>414</v>
      </c>
      <c r="C688" s="51">
        <v>7891106906074</v>
      </c>
      <c r="D688" s="40" t="s">
        <v>69</v>
      </c>
      <c r="E688" s="40"/>
      <c r="F688" s="40">
        <v>271</v>
      </c>
      <c r="G688" s="38"/>
      <c r="H688" s="38" t="s">
        <v>426</v>
      </c>
      <c r="I688" s="38" t="s">
        <v>427</v>
      </c>
      <c r="J688" s="38" t="s">
        <v>416</v>
      </c>
      <c r="K688" s="38" t="s">
        <v>428</v>
      </c>
      <c r="L688" s="52" t="s">
        <v>213</v>
      </c>
      <c r="M688" s="53" t="s">
        <v>213</v>
      </c>
    </row>
    <row r="689" spans="1:13" x14ac:dyDescent="0.3">
      <c r="A689" s="37">
        <v>30</v>
      </c>
      <c r="B689" s="38" t="s">
        <v>418</v>
      </c>
      <c r="C689" s="51">
        <v>7891106906074</v>
      </c>
      <c r="D689" s="40" t="s">
        <v>69</v>
      </c>
      <c r="E689" s="40"/>
      <c r="F689" s="40">
        <v>271</v>
      </c>
      <c r="G689" s="38"/>
      <c r="H689" s="38" t="s">
        <v>426</v>
      </c>
      <c r="I689" s="38" t="s">
        <v>427</v>
      </c>
      <c r="J689" s="38" t="s">
        <v>416</v>
      </c>
      <c r="K689" s="38" t="s">
        <v>428</v>
      </c>
      <c r="L689" s="52" t="s">
        <v>213</v>
      </c>
      <c r="M689" s="53" t="s">
        <v>213</v>
      </c>
    </row>
    <row r="690" spans="1:13" x14ac:dyDescent="0.3">
      <c r="A690" s="37">
        <v>30</v>
      </c>
      <c r="B690" s="38" t="s">
        <v>414</v>
      </c>
      <c r="C690" s="51">
        <v>7891106906074</v>
      </c>
      <c r="D690" s="40" t="s">
        <v>69</v>
      </c>
      <c r="E690" s="40"/>
      <c r="F690" s="40">
        <v>895</v>
      </c>
      <c r="G690" s="38"/>
      <c r="H690" s="38" t="s">
        <v>429</v>
      </c>
      <c r="I690" s="38" t="s">
        <v>405</v>
      </c>
      <c r="J690" s="38" t="s">
        <v>390</v>
      </c>
      <c r="K690" s="38" t="s">
        <v>430</v>
      </c>
      <c r="L690" s="52" t="s">
        <v>213</v>
      </c>
      <c r="M690" s="53" t="s">
        <v>213</v>
      </c>
    </row>
    <row r="691" spans="1:13" x14ac:dyDescent="0.3">
      <c r="A691" s="37">
        <v>30</v>
      </c>
      <c r="B691" s="38" t="s">
        <v>418</v>
      </c>
      <c r="C691" s="51">
        <v>7891106906074</v>
      </c>
      <c r="D691" s="40" t="s">
        <v>69</v>
      </c>
      <c r="E691" s="40"/>
      <c r="F691" s="40">
        <v>895</v>
      </c>
      <c r="G691" s="38"/>
      <c r="H691" s="38" t="s">
        <v>429</v>
      </c>
      <c r="I691" s="38" t="s">
        <v>405</v>
      </c>
      <c r="J691" s="38" t="s">
        <v>390</v>
      </c>
      <c r="K691" s="38" t="s">
        <v>430</v>
      </c>
      <c r="L691" s="52" t="s">
        <v>213</v>
      </c>
      <c r="M691" s="53" t="s">
        <v>213</v>
      </c>
    </row>
    <row r="692" spans="1:13" x14ac:dyDescent="0.3">
      <c r="A692" s="37">
        <v>30</v>
      </c>
      <c r="B692" s="38" t="s">
        <v>414</v>
      </c>
      <c r="C692" s="51">
        <v>7891106906074</v>
      </c>
      <c r="D692" s="40" t="s">
        <v>69</v>
      </c>
      <c r="E692" s="40"/>
      <c r="F692" s="40">
        <v>909</v>
      </c>
      <c r="G692" s="38"/>
      <c r="H692" s="38" t="s">
        <v>431</v>
      </c>
      <c r="I692" s="38" t="s">
        <v>432</v>
      </c>
      <c r="J692" s="38" t="s">
        <v>416</v>
      </c>
      <c r="K692" s="38" t="s">
        <v>433</v>
      </c>
      <c r="L692" s="52" t="s">
        <v>213</v>
      </c>
      <c r="M692" s="53" t="s">
        <v>213</v>
      </c>
    </row>
    <row r="693" spans="1:13" x14ac:dyDescent="0.3">
      <c r="A693" s="37">
        <v>30</v>
      </c>
      <c r="B693" s="38" t="s">
        <v>418</v>
      </c>
      <c r="C693" s="51">
        <v>7891106906074</v>
      </c>
      <c r="D693" s="40" t="s">
        <v>69</v>
      </c>
      <c r="E693" s="40"/>
      <c r="F693" s="40">
        <v>909</v>
      </c>
      <c r="G693" s="38"/>
      <c r="H693" s="38" t="s">
        <v>431</v>
      </c>
      <c r="I693" s="38" t="s">
        <v>432</v>
      </c>
      <c r="J693" s="38" t="s">
        <v>416</v>
      </c>
      <c r="K693" s="38" t="s">
        <v>433</v>
      </c>
      <c r="L693" s="52" t="s">
        <v>213</v>
      </c>
      <c r="M693" s="53" t="s">
        <v>213</v>
      </c>
    </row>
    <row r="694" spans="1:13" x14ac:dyDescent="0.3">
      <c r="A694" s="37">
        <v>30</v>
      </c>
      <c r="B694" s="38" t="s">
        <v>434</v>
      </c>
      <c r="C694" s="51">
        <v>7891106906296</v>
      </c>
      <c r="D694" s="40" t="s">
        <v>69</v>
      </c>
      <c r="E694" s="40"/>
      <c r="F694" s="40">
        <v>426</v>
      </c>
      <c r="G694" s="38"/>
      <c r="H694" s="38" t="s">
        <v>435</v>
      </c>
      <c r="I694" s="38" t="s">
        <v>405</v>
      </c>
      <c r="J694" s="38" t="s">
        <v>436</v>
      </c>
      <c r="K694" s="38" t="s">
        <v>437</v>
      </c>
      <c r="L694" s="52" t="s">
        <v>213</v>
      </c>
      <c r="M694" s="53" t="s">
        <v>213</v>
      </c>
    </row>
    <row r="695" spans="1:13" x14ac:dyDescent="0.3">
      <c r="A695" s="37">
        <v>30</v>
      </c>
      <c r="B695" s="38" t="s">
        <v>438</v>
      </c>
      <c r="C695" s="51">
        <v>7891106906296</v>
      </c>
      <c r="D695" s="40" t="s">
        <v>69</v>
      </c>
      <c r="E695" s="40"/>
      <c r="F695" s="40">
        <v>426</v>
      </c>
      <c r="G695" s="38"/>
      <c r="H695" s="38" t="s">
        <v>435</v>
      </c>
      <c r="I695" s="38" t="s">
        <v>405</v>
      </c>
      <c r="J695" s="38" t="s">
        <v>436</v>
      </c>
      <c r="K695" s="38" t="s">
        <v>437</v>
      </c>
      <c r="L695" s="52" t="s">
        <v>213</v>
      </c>
      <c r="M695" s="53" t="s">
        <v>213</v>
      </c>
    </row>
    <row r="696" spans="1:13" x14ac:dyDescent="0.3">
      <c r="A696" s="37">
        <v>30</v>
      </c>
      <c r="B696" s="38" t="s">
        <v>434</v>
      </c>
      <c r="C696" s="51">
        <v>7891106906296</v>
      </c>
      <c r="D696" s="40" t="s">
        <v>69</v>
      </c>
      <c r="E696" s="40"/>
      <c r="F696" s="40">
        <v>569</v>
      </c>
      <c r="G696" s="38"/>
      <c r="H696" s="38" t="s">
        <v>439</v>
      </c>
      <c r="I696" s="38" t="s">
        <v>405</v>
      </c>
      <c r="J696" s="38" t="s">
        <v>436</v>
      </c>
      <c r="K696" s="38" t="s">
        <v>440</v>
      </c>
      <c r="L696" s="52" t="s">
        <v>213</v>
      </c>
      <c r="M696" s="53" t="s">
        <v>213</v>
      </c>
    </row>
    <row r="697" spans="1:13" x14ac:dyDescent="0.3">
      <c r="A697" s="37">
        <v>30</v>
      </c>
      <c r="B697" s="38" t="s">
        <v>438</v>
      </c>
      <c r="C697" s="51">
        <v>7891106906296</v>
      </c>
      <c r="D697" s="40" t="s">
        <v>69</v>
      </c>
      <c r="E697" s="40"/>
      <c r="F697" s="40">
        <v>569</v>
      </c>
      <c r="G697" s="38"/>
      <c r="H697" s="38" t="s">
        <v>439</v>
      </c>
      <c r="I697" s="38" t="s">
        <v>405</v>
      </c>
      <c r="J697" s="38" t="s">
        <v>436</v>
      </c>
      <c r="K697" s="38" t="s">
        <v>440</v>
      </c>
      <c r="L697" s="52" t="s">
        <v>213</v>
      </c>
      <c r="M697" s="53" t="s">
        <v>213</v>
      </c>
    </row>
    <row r="698" spans="1:13" x14ac:dyDescent="0.3">
      <c r="A698" s="37">
        <v>30</v>
      </c>
      <c r="B698" s="38" t="s">
        <v>434</v>
      </c>
      <c r="C698" s="51">
        <v>7891106906296</v>
      </c>
      <c r="D698" s="40" t="s">
        <v>69</v>
      </c>
      <c r="E698" s="40"/>
      <c r="F698" s="40">
        <v>570</v>
      </c>
      <c r="G698" s="38"/>
      <c r="H698" s="38" t="s">
        <v>441</v>
      </c>
      <c r="I698" s="38" t="s">
        <v>405</v>
      </c>
      <c r="J698" s="38" t="s">
        <v>436</v>
      </c>
      <c r="K698" s="38" t="s">
        <v>442</v>
      </c>
      <c r="L698" s="52" t="s">
        <v>213</v>
      </c>
      <c r="M698" s="53" t="s">
        <v>213</v>
      </c>
    </row>
    <row r="699" spans="1:13" x14ac:dyDescent="0.3">
      <c r="A699" s="37">
        <v>30</v>
      </c>
      <c r="B699" s="38" t="s">
        <v>438</v>
      </c>
      <c r="C699" s="51">
        <v>7891106906296</v>
      </c>
      <c r="D699" s="40" t="s">
        <v>69</v>
      </c>
      <c r="E699" s="40"/>
      <c r="F699" s="40">
        <v>570</v>
      </c>
      <c r="G699" s="38"/>
      <c r="H699" s="38" t="s">
        <v>441</v>
      </c>
      <c r="I699" s="38" t="s">
        <v>405</v>
      </c>
      <c r="J699" s="38" t="s">
        <v>436</v>
      </c>
      <c r="K699" s="38" t="s">
        <v>442</v>
      </c>
      <c r="L699" s="52" t="s">
        <v>213</v>
      </c>
      <c r="M699" s="53" t="s">
        <v>213</v>
      </c>
    </row>
    <row r="700" spans="1:13" x14ac:dyDescent="0.3">
      <c r="A700" s="37">
        <v>30</v>
      </c>
      <c r="B700" s="38" t="s">
        <v>434</v>
      </c>
      <c r="C700" s="51">
        <v>7891106906296</v>
      </c>
      <c r="D700" s="40" t="s">
        <v>69</v>
      </c>
      <c r="E700" s="40"/>
      <c r="F700" s="40">
        <v>571</v>
      </c>
      <c r="G700" s="38"/>
      <c r="H700" s="38" t="s">
        <v>443</v>
      </c>
      <c r="I700" s="38" t="s">
        <v>405</v>
      </c>
      <c r="J700" s="38" t="s">
        <v>444</v>
      </c>
      <c r="K700" s="38" t="s">
        <v>445</v>
      </c>
      <c r="L700" s="52" t="s">
        <v>213</v>
      </c>
      <c r="M700" s="53" t="s">
        <v>213</v>
      </c>
    </row>
    <row r="701" spans="1:13" x14ac:dyDescent="0.3">
      <c r="A701" s="37">
        <v>30</v>
      </c>
      <c r="B701" s="38" t="s">
        <v>438</v>
      </c>
      <c r="C701" s="51">
        <v>7891106906296</v>
      </c>
      <c r="D701" s="40" t="s">
        <v>69</v>
      </c>
      <c r="E701" s="40"/>
      <c r="F701" s="40">
        <v>571</v>
      </c>
      <c r="G701" s="38"/>
      <c r="H701" s="38" t="s">
        <v>443</v>
      </c>
      <c r="I701" s="38" t="s">
        <v>405</v>
      </c>
      <c r="J701" s="38" t="s">
        <v>444</v>
      </c>
      <c r="K701" s="38" t="s">
        <v>445</v>
      </c>
      <c r="L701" s="52" t="s">
        <v>213</v>
      </c>
      <c r="M701" s="53" t="s">
        <v>213</v>
      </c>
    </row>
    <row r="702" spans="1:13" x14ac:dyDescent="0.3">
      <c r="A702" s="37">
        <v>30</v>
      </c>
      <c r="B702" s="38" t="s">
        <v>434</v>
      </c>
      <c r="C702" s="51">
        <v>7891106906296</v>
      </c>
      <c r="D702" s="40" t="s">
        <v>69</v>
      </c>
      <c r="E702" s="40"/>
      <c r="F702" s="40">
        <v>731</v>
      </c>
      <c r="G702" s="38"/>
      <c r="H702" s="38" t="s">
        <v>446</v>
      </c>
      <c r="I702" s="38" t="s">
        <v>405</v>
      </c>
      <c r="J702" s="38" t="s">
        <v>436</v>
      </c>
      <c r="K702" s="38" t="s">
        <v>447</v>
      </c>
      <c r="L702" s="52" t="s">
        <v>213</v>
      </c>
      <c r="M702" s="53" t="s">
        <v>213</v>
      </c>
    </row>
    <row r="703" spans="1:13" x14ac:dyDescent="0.3">
      <c r="A703" s="37">
        <v>30</v>
      </c>
      <c r="B703" s="38" t="s">
        <v>438</v>
      </c>
      <c r="C703" s="51">
        <v>7891106906296</v>
      </c>
      <c r="D703" s="40" t="s">
        <v>69</v>
      </c>
      <c r="E703" s="40"/>
      <c r="F703" s="40">
        <v>731</v>
      </c>
      <c r="G703" s="38"/>
      <c r="H703" s="38" t="s">
        <v>446</v>
      </c>
      <c r="I703" s="38" t="s">
        <v>405</v>
      </c>
      <c r="J703" s="38" t="s">
        <v>436</v>
      </c>
      <c r="K703" s="38" t="s">
        <v>447</v>
      </c>
      <c r="L703" s="52" t="s">
        <v>213</v>
      </c>
      <c r="M703" s="53" t="s">
        <v>213</v>
      </c>
    </row>
    <row r="704" spans="1:13" x14ac:dyDescent="0.3">
      <c r="A704" s="37">
        <v>30</v>
      </c>
      <c r="B704" s="38" t="s">
        <v>448</v>
      </c>
      <c r="C704" s="51">
        <v>7891106907002</v>
      </c>
      <c r="D704" s="40" t="s">
        <v>69</v>
      </c>
      <c r="E704" s="40"/>
      <c r="F704" s="40">
        <v>215</v>
      </c>
      <c r="G704" s="38"/>
      <c r="H704" s="38" t="s">
        <v>388</v>
      </c>
      <c r="I704" s="38" t="s">
        <v>389</v>
      </c>
      <c r="J704" s="38" t="s">
        <v>402</v>
      </c>
      <c r="K704" s="38" t="s">
        <v>391</v>
      </c>
      <c r="L704" s="52" t="s">
        <v>213</v>
      </c>
      <c r="M704" s="53" t="s">
        <v>213</v>
      </c>
    </row>
    <row r="705" spans="1:13" x14ac:dyDescent="0.3">
      <c r="A705" s="37">
        <v>30</v>
      </c>
      <c r="B705" s="38" t="s">
        <v>449</v>
      </c>
      <c r="C705" s="51">
        <v>7891106907002</v>
      </c>
      <c r="D705" s="40" t="s">
        <v>69</v>
      </c>
      <c r="E705" s="40"/>
      <c r="F705" s="40">
        <v>215</v>
      </c>
      <c r="G705" s="38"/>
      <c r="H705" s="38" t="s">
        <v>388</v>
      </c>
      <c r="I705" s="38" t="s">
        <v>389</v>
      </c>
      <c r="J705" s="38" t="s">
        <v>402</v>
      </c>
      <c r="K705" s="38" t="s">
        <v>391</v>
      </c>
      <c r="L705" s="52" t="s">
        <v>213</v>
      </c>
      <c r="M705" s="53" t="s">
        <v>213</v>
      </c>
    </row>
    <row r="706" spans="1:13" x14ac:dyDescent="0.3">
      <c r="A706" s="37">
        <v>30</v>
      </c>
      <c r="B706" s="38" t="s">
        <v>448</v>
      </c>
      <c r="C706" s="51">
        <v>7891106907002</v>
      </c>
      <c r="D706" s="40" t="s">
        <v>69</v>
      </c>
      <c r="E706" s="40"/>
      <c r="F706" s="40">
        <v>349</v>
      </c>
      <c r="G706" s="38"/>
      <c r="H706" s="38" t="s">
        <v>393</v>
      </c>
      <c r="I706" s="38" t="s">
        <v>389</v>
      </c>
      <c r="J706" s="38" t="s">
        <v>402</v>
      </c>
      <c r="K706" s="38" t="s">
        <v>391</v>
      </c>
      <c r="L706" s="52" t="s">
        <v>213</v>
      </c>
      <c r="M706" s="53" t="s">
        <v>213</v>
      </c>
    </row>
    <row r="707" spans="1:13" x14ac:dyDescent="0.3">
      <c r="A707" s="37">
        <v>30</v>
      </c>
      <c r="B707" s="38" t="s">
        <v>449</v>
      </c>
      <c r="C707" s="51">
        <v>7891106907002</v>
      </c>
      <c r="D707" s="40" t="s">
        <v>69</v>
      </c>
      <c r="E707" s="40"/>
      <c r="F707" s="40">
        <v>349</v>
      </c>
      <c r="G707" s="38"/>
      <c r="H707" s="38" t="s">
        <v>393</v>
      </c>
      <c r="I707" s="38" t="s">
        <v>389</v>
      </c>
      <c r="J707" s="38" t="s">
        <v>402</v>
      </c>
      <c r="K707" s="38" t="s">
        <v>391</v>
      </c>
      <c r="L707" s="52" t="s">
        <v>213</v>
      </c>
      <c r="M707" s="53" t="s">
        <v>213</v>
      </c>
    </row>
    <row r="708" spans="1:13" x14ac:dyDescent="0.3">
      <c r="A708" s="37">
        <v>30</v>
      </c>
      <c r="B708" s="38" t="s">
        <v>448</v>
      </c>
      <c r="C708" s="51">
        <v>7891106907002</v>
      </c>
      <c r="D708" s="40" t="s">
        <v>69</v>
      </c>
      <c r="E708" s="40"/>
      <c r="F708" s="40">
        <v>350</v>
      </c>
      <c r="G708" s="38"/>
      <c r="H708" s="38" t="s">
        <v>394</v>
      </c>
      <c r="I708" s="38" t="s">
        <v>389</v>
      </c>
      <c r="J708" s="38" t="s">
        <v>402</v>
      </c>
      <c r="K708" s="38" t="s">
        <v>391</v>
      </c>
      <c r="L708" s="52" t="s">
        <v>213</v>
      </c>
      <c r="M708" s="53" t="s">
        <v>213</v>
      </c>
    </row>
    <row r="709" spans="1:13" x14ac:dyDescent="0.3">
      <c r="A709" s="37">
        <v>30</v>
      </c>
      <c r="B709" s="38" t="s">
        <v>449</v>
      </c>
      <c r="C709" s="51">
        <v>7891106907002</v>
      </c>
      <c r="D709" s="40" t="s">
        <v>69</v>
      </c>
      <c r="E709" s="40"/>
      <c r="F709" s="40">
        <v>350</v>
      </c>
      <c r="G709" s="38"/>
      <c r="H709" s="38" t="s">
        <v>394</v>
      </c>
      <c r="I709" s="38" t="s">
        <v>389</v>
      </c>
      <c r="J709" s="38" t="s">
        <v>402</v>
      </c>
      <c r="K709" s="38" t="s">
        <v>391</v>
      </c>
      <c r="L709" s="52" t="s">
        <v>213</v>
      </c>
      <c r="M709" s="53" t="s">
        <v>213</v>
      </c>
    </row>
    <row r="710" spans="1:13" x14ac:dyDescent="0.3">
      <c r="A710" s="37">
        <v>30</v>
      </c>
      <c r="B710" s="38" t="s">
        <v>448</v>
      </c>
      <c r="C710" s="51">
        <v>7891106907002</v>
      </c>
      <c r="D710" s="40" t="s">
        <v>69</v>
      </c>
      <c r="E710" s="40"/>
      <c r="F710" s="40">
        <v>351</v>
      </c>
      <c r="G710" s="38"/>
      <c r="H710" s="38" t="s">
        <v>395</v>
      </c>
      <c r="I710" s="38" t="s">
        <v>389</v>
      </c>
      <c r="J710" s="38" t="s">
        <v>402</v>
      </c>
      <c r="K710" s="38" t="s">
        <v>391</v>
      </c>
      <c r="L710" s="52" t="s">
        <v>213</v>
      </c>
      <c r="M710" s="53" t="s">
        <v>213</v>
      </c>
    </row>
    <row r="711" spans="1:13" x14ac:dyDescent="0.3">
      <c r="A711" s="37">
        <v>30</v>
      </c>
      <c r="B711" s="38" t="s">
        <v>449</v>
      </c>
      <c r="C711" s="51">
        <v>7891106907002</v>
      </c>
      <c r="D711" s="40" t="s">
        <v>69</v>
      </c>
      <c r="E711" s="40"/>
      <c r="F711" s="40">
        <v>351</v>
      </c>
      <c r="G711" s="38"/>
      <c r="H711" s="38" t="s">
        <v>395</v>
      </c>
      <c r="I711" s="38" t="s">
        <v>389</v>
      </c>
      <c r="J711" s="38" t="s">
        <v>402</v>
      </c>
      <c r="K711" s="38" t="s">
        <v>391</v>
      </c>
      <c r="L711" s="52" t="s">
        <v>213</v>
      </c>
      <c r="M711" s="53" t="s">
        <v>213</v>
      </c>
    </row>
    <row r="712" spans="1:13" x14ac:dyDescent="0.3">
      <c r="A712" s="37">
        <v>30</v>
      </c>
      <c r="B712" s="38" t="s">
        <v>448</v>
      </c>
      <c r="C712" s="51">
        <v>7891106907002</v>
      </c>
      <c r="D712" s="40" t="s">
        <v>69</v>
      </c>
      <c r="E712" s="40"/>
      <c r="F712" s="40">
        <v>352</v>
      </c>
      <c r="G712" s="38"/>
      <c r="H712" s="38" t="s">
        <v>396</v>
      </c>
      <c r="I712" s="38" t="s">
        <v>397</v>
      </c>
      <c r="J712" s="38" t="s">
        <v>402</v>
      </c>
      <c r="K712" s="38" t="s">
        <v>391</v>
      </c>
      <c r="L712" s="52" t="s">
        <v>213</v>
      </c>
      <c r="M712" s="53" t="s">
        <v>213</v>
      </c>
    </row>
    <row r="713" spans="1:13" x14ac:dyDescent="0.3">
      <c r="A713" s="37">
        <v>30</v>
      </c>
      <c r="B713" s="38" t="s">
        <v>449</v>
      </c>
      <c r="C713" s="51">
        <v>7891106907002</v>
      </c>
      <c r="D713" s="40" t="s">
        <v>69</v>
      </c>
      <c r="E713" s="40"/>
      <c r="F713" s="40">
        <v>352</v>
      </c>
      <c r="G713" s="38"/>
      <c r="H713" s="38" t="s">
        <v>396</v>
      </c>
      <c r="I713" s="38" t="s">
        <v>397</v>
      </c>
      <c r="J713" s="38" t="s">
        <v>402</v>
      </c>
      <c r="K713" s="38" t="s">
        <v>391</v>
      </c>
      <c r="L713" s="52" t="s">
        <v>213</v>
      </c>
      <c r="M713" s="53" t="s">
        <v>213</v>
      </c>
    </row>
    <row r="714" spans="1:13" x14ac:dyDescent="0.3">
      <c r="A714" s="37">
        <v>30</v>
      </c>
      <c r="B714" s="38" t="s">
        <v>448</v>
      </c>
      <c r="C714" s="51">
        <v>7891106907002</v>
      </c>
      <c r="D714" s="40" t="s">
        <v>69</v>
      </c>
      <c r="E714" s="40"/>
      <c r="F714" s="40">
        <v>353</v>
      </c>
      <c r="G714" s="38"/>
      <c r="H714" s="38" t="s">
        <v>398</v>
      </c>
      <c r="I714" s="38" t="s">
        <v>397</v>
      </c>
      <c r="J714" s="38" t="s">
        <v>402</v>
      </c>
      <c r="K714" s="38" t="s">
        <v>391</v>
      </c>
      <c r="L714" s="52" t="s">
        <v>213</v>
      </c>
      <c r="M714" s="53" t="s">
        <v>213</v>
      </c>
    </row>
    <row r="715" spans="1:13" x14ac:dyDescent="0.3">
      <c r="A715" s="37">
        <v>30</v>
      </c>
      <c r="B715" s="38" t="s">
        <v>449</v>
      </c>
      <c r="C715" s="51">
        <v>7891106907002</v>
      </c>
      <c r="D715" s="40" t="s">
        <v>69</v>
      </c>
      <c r="E715" s="40"/>
      <c r="F715" s="40">
        <v>353</v>
      </c>
      <c r="G715" s="38"/>
      <c r="H715" s="38" t="s">
        <v>398</v>
      </c>
      <c r="I715" s="38" t="s">
        <v>397</v>
      </c>
      <c r="J715" s="38" t="s">
        <v>402</v>
      </c>
      <c r="K715" s="38" t="s">
        <v>391</v>
      </c>
      <c r="L715" s="52" t="s">
        <v>213</v>
      </c>
      <c r="M715" s="53" t="s">
        <v>213</v>
      </c>
    </row>
    <row r="716" spans="1:13" x14ac:dyDescent="0.3">
      <c r="A716" s="37">
        <v>30</v>
      </c>
      <c r="B716" s="38" t="s">
        <v>448</v>
      </c>
      <c r="C716" s="51">
        <v>7891106907002</v>
      </c>
      <c r="D716" s="40" t="s">
        <v>69</v>
      </c>
      <c r="E716" s="40"/>
      <c r="F716" s="40">
        <v>960</v>
      </c>
      <c r="G716" s="38"/>
      <c r="H716" s="38" t="s">
        <v>399</v>
      </c>
      <c r="I716" s="38" t="s">
        <v>397</v>
      </c>
      <c r="J716" s="38" t="s">
        <v>402</v>
      </c>
      <c r="K716" s="38" t="s">
        <v>391</v>
      </c>
      <c r="L716" s="52" t="s">
        <v>213</v>
      </c>
      <c r="M716" s="53" t="s">
        <v>213</v>
      </c>
    </row>
    <row r="717" spans="1:13" x14ac:dyDescent="0.3">
      <c r="A717" s="37">
        <v>30</v>
      </c>
      <c r="B717" s="38" t="s">
        <v>449</v>
      </c>
      <c r="C717" s="51">
        <v>7891106907002</v>
      </c>
      <c r="D717" s="40" t="s">
        <v>69</v>
      </c>
      <c r="E717" s="40"/>
      <c r="F717" s="40">
        <v>960</v>
      </c>
      <c r="G717" s="38"/>
      <c r="H717" s="38" t="s">
        <v>399</v>
      </c>
      <c r="I717" s="38" t="s">
        <v>397</v>
      </c>
      <c r="J717" s="38" t="s">
        <v>402</v>
      </c>
      <c r="K717" s="38" t="s">
        <v>391</v>
      </c>
      <c r="L717" s="52" t="s">
        <v>213</v>
      </c>
      <c r="M717" s="53" t="s">
        <v>213</v>
      </c>
    </row>
    <row r="718" spans="1:13" x14ac:dyDescent="0.3">
      <c r="A718" s="37">
        <v>30</v>
      </c>
      <c r="B718" s="38" t="s">
        <v>450</v>
      </c>
      <c r="C718" s="51">
        <v>7891106907019</v>
      </c>
      <c r="D718" s="40" t="s">
        <v>69</v>
      </c>
      <c r="E718" s="40"/>
      <c r="F718" s="40">
        <v>215</v>
      </c>
      <c r="G718" s="38"/>
      <c r="H718" s="38" t="s">
        <v>388</v>
      </c>
      <c r="I718" s="38" t="s">
        <v>401</v>
      </c>
      <c r="J718" s="38" t="s">
        <v>402</v>
      </c>
      <c r="K718" s="38" t="s">
        <v>403</v>
      </c>
      <c r="L718" s="52" t="s">
        <v>213</v>
      </c>
      <c r="M718" s="53" t="s">
        <v>213</v>
      </c>
    </row>
    <row r="719" spans="1:13" x14ac:dyDescent="0.3">
      <c r="A719" s="37">
        <v>30</v>
      </c>
      <c r="B719" s="38" t="s">
        <v>451</v>
      </c>
      <c r="C719" s="51">
        <v>7891106907019</v>
      </c>
      <c r="D719" s="40" t="s">
        <v>69</v>
      </c>
      <c r="E719" s="40"/>
      <c r="F719" s="40">
        <v>215</v>
      </c>
      <c r="G719" s="38"/>
      <c r="H719" s="38" t="s">
        <v>388</v>
      </c>
      <c r="I719" s="38" t="s">
        <v>401</v>
      </c>
      <c r="J719" s="38" t="s">
        <v>402</v>
      </c>
      <c r="K719" s="38" t="s">
        <v>403</v>
      </c>
      <c r="L719" s="52" t="s">
        <v>213</v>
      </c>
      <c r="M719" s="53" t="s">
        <v>213</v>
      </c>
    </row>
    <row r="720" spans="1:13" x14ac:dyDescent="0.3">
      <c r="A720" s="37">
        <v>30</v>
      </c>
      <c r="B720" s="38" t="s">
        <v>450</v>
      </c>
      <c r="C720" s="51">
        <v>7891106907019</v>
      </c>
      <c r="D720" s="40" t="s">
        <v>69</v>
      </c>
      <c r="E720" s="40"/>
      <c r="F720" s="40">
        <v>349</v>
      </c>
      <c r="G720" s="38"/>
      <c r="H720" s="38" t="s">
        <v>393</v>
      </c>
      <c r="I720" s="38" t="s">
        <v>405</v>
      </c>
      <c r="J720" s="38" t="s">
        <v>402</v>
      </c>
      <c r="K720" s="38" t="s">
        <v>406</v>
      </c>
      <c r="L720" s="52" t="s">
        <v>213</v>
      </c>
      <c r="M720" s="53" t="s">
        <v>213</v>
      </c>
    </row>
    <row r="721" spans="1:13" x14ac:dyDescent="0.3">
      <c r="A721" s="37">
        <v>30</v>
      </c>
      <c r="B721" s="38" t="s">
        <v>451</v>
      </c>
      <c r="C721" s="51">
        <v>7891106907019</v>
      </c>
      <c r="D721" s="40" t="s">
        <v>69</v>
      </c>
      <c r="E721" s="40"/>
      <c r="F721" s="40">
        <v>349</v>
      </c>
      <c r="G721" s="38"/>
      <c r="H721" s="38" t="s">
        <v>393</v>
      </c>
      <c r="I721" s="38" t="s">
        <v>405</v>
      </c>
      <c r="J721" s="38" t="s">
        <v>402</v>
      </c>
      <c r="K721" s="38" t="s">
        <v>406</v>
      </c>
      <c r="L721" s="52" t="s">
        <v>213</v>
      </c>
      <c r="M721" s="53" t="s">
        <v>213</v>
      </c>
    </row>
    <row r="722" spans="1:13" x14ac:dyDescent="0.3">
      <c r="A722" s="37">
        <v>30</v>
      </c>
      <c r="B722" s="38" t="s">
        <v>450</v>
      </c>
      <c r="C722" s="51">
        <v>7891106907019</v>
      </c>
      <c r="D722" s="40" t="s">
        <v>69</v>
      </c>
      <c r="E722" s="40"/>
      <c r="F722" s="40">
        <v>350</v>
      </c>
      <c r="G722" s="38"/>
      <c r="H722" s="38" t="s">
        <v>394</v>
      </c>
      <c r="I722" s="38" t="s">
        <v>389</v>
      </c>
      <c r="J722" s="38" t="s">
        <v>402</v>
      </c>
      <c r="K722" s="38" t="s">
        <v>407</v>
      </c>
      <c r="L722" s="52" t="s">
        <v>213</v>
      </c>
      <c r="M722" s="53" t="s">
        <v>213</v>
      </c>
    </row>
    <row r="723" spans="1:13" x14ac:dyDescent="0.3">
      <c r="A723" s="37">
        <v>30</v>
      </c>
      <c r="B723" s="38" t="s">
        <v>451</v>
      </c>
      <c r="C723" s="51">
        <v>7891106907019</v>
      </c>
      <c r="D723" s="40" t="s">
        <v>69</v>
      </c>
      <c r="E723" s="40"/>
      <c r="F723" s="40">
        <v>350</v>
      </c>
      <c r="G723" s="38"/>
      <c r="H723" s="38" t="s">
        <v>394</v>
      </c>
      <c r="I723" s="38" t="s">
        <v>389</v>
      </c>
      <c r="J723" s="38" t="s">
        <v>402</v>
      </c>
      <c r="K723" s="38" t="s">
        <v>407</v>
      </c>
      <c r="L723" s="52" t="s">
        <v>213</v>
      </c>
      <c r="M723" s="53" t="s">
        <v>213</v>
      </c>
    </row>
    <row r="724" spans="1:13" x14ac:dyDescent="0.3">
      <c r="A724" s="37">
        <v>30</v>
      </c>
      <c r="B724" s="38" t="s">
        <v>450</v>
      </c>
      <c r="C724" s="51">
        <v>7891106907019</v>
      </c>
      <c r="D724" s="40" t="s">
        <v>69</v>
      </c>
      <c r="E724" s="40"/>
      <c r="F724" s="40">
        <v>351</v>
      </c>
      <c r="G724" s="38"/>
      <c r="H724" s="38" t="s">
        <v>395</v>
      </c>
      <c r="I724" s="38" t="s">
        <v>405</v>
      </c>
      <c r="J724" s="38" t="s">
        <v>402</v>
      </c>
      <c r="K724" s="38" t="s">
        <v>408</v>
      </c>
      <c r="L724" s="52" t="s">
        <v>213</v>
      </c>
      <c r="M724" s="53" t="s">
        <v>213</v>
      </c>
    </row>
    <row r="725" spans="1:13" x14ac:dyDescent="0.3">
      <c r="A725" s="37">
        <v>30</v>
      </c>
      <c r="B725" s="38" t="s">
        <v>451</v>
      </c>
      <c r="C725" s="51">
        <v>7891106907019</v>
      </c>
      <c r="D725" s="40" t="s">
        <v>69</v>
      </c>
      <c r="E725" s="40"/>
      <c r="F725" s="40">
        <v>351</v>
      </c>
      <c r="G725" s="38"/>
      <c r="H725" s="38" t="s">
        <v>395</v>
      </c>
      <c r="I725" s="38" t="s">
        <v>405</v>
      </c>
      <c r="J725" s="38" t="s">
        <v>402</v>
      </c>
      <c r="K725" s="38" t="s">
        <v>408</v>
      </c>
      <c r="L725" s="52" t="s">
        <v>213</v>
      </c>
      <c r="M725" s="53" t="s">
        <v>213</v>
      </c>
    </row>
    <row r="726" spans="1:13" x14ac:dyDescent="0.3">
      <c r="A726" s="37">
        <v>30</v>
      </c>
      <c r="B726" s="38" t="s">
        <v>450</v>
      </c>
      <c r="C726" s="51">
        <v>7891106907019</v>
      </c>
      <c r="D726" s="40" t="s">
        <v>69</v>
      </c>
      <c r="E726" s="40"/>
      <c r="F726" s="40">
        <v>352</v>
      </c>
      <c r="G726" s="38"/>
      <c r="H726" s="38" t="s">
        <v>396</v>
      </c>
      <c r="I726" s="38" t="s">
        <v>405</v>
      </c>
      <c r="J726" s="38" t="s">
        <v>402</v>
      </c>
      <c r="K726" s="38" t="s">
        <v>409</v>
      </c>
      <c r="L726" s="52" t="s">
        <v>213</v>
      </c>
      <c r="M726" s="53" t="s">
        <v>213</v>
      </c>
    </row>
    <row r="727" spans="1:13" x14ac:dyDescent="0.3">
      <c r="A727" s="37">
        <v>30</v>
      </c>
      <c r="B727" s="38" t="s">
        <v>451</v>
      </c>
      <c r="C727" s="51">
        <v>7891106907019</v>
      </c>
      <c r="D727" s="40" t="s">
        <v>69</v>
      </c>
      <c r="E727" s="40"/>
      <c r="F727" s="40">
        <v>352</v>
      </c>
      <c r="G727" s="38"/>
      <c r="H727" s="38" t="s">
        <v>396</v>
      </c>
      <c r="I727" s="38" t="s">
        <v>405</v>
      </c>
      <c r="J727" s="38" t="s">
        <v>402</v>
      </c>
      <c r="K727" s="38" t="s">
        <v>409</v>
      </c>
      <c r="L727" s="52" t="s">
        <v>213</v>
      </c>
      <c r="M727" s="53" t="s">
        <v>213</v>
      </c>
    </row>
    <row r="728" spans="1:13" x14ac:dyDescent="0.3">
      <c r="A728" s="37">
        <v>30</v>
      </c>
      <c r="B728" s="38" t="s">
        <v>450</v>
      </c>
      <c r="C728" s="51">
        <v>7891106907019</v>
      </c>
      <c r="D728" s="40" t="s">
        <v>69</v>
      </c>
      <c r="E728" s="40"/>
      <c r="F728" s="40">
        <v>353</v>
      </c>
      <c r="G728" s="38"/>
      <c r="H728" s="38" t="s">
        <v>398</v>
      </c>
      <c r="I728" s="38" t="s">
        <v>405</v>
      </c>
      <c r="J728" s="38" t="s">
        <v>402</v>
      </c>
      <c r="K728" s="38" t="s">
        <v>409</v>
      </c>
      <c r="L728" s="52" t="s">
        <v>213</v>
      </c>
      <c r="M728" s="53" t="s">
        <v>213</v>
      </c>
    </row>
    <row r="729" spans="1:13" x14ac:dyDescent="0.3">
      <c r="A729" s="37">
        <v>30</v>
      </c>
      <c r="B729" s="38" t="s">
        <v>451</v>
      </c>
      <c r="C729" s="51">
        <v>7891106907019</v>
      </c>
      <c r="D729" s="40" t="s">
        <v>69</v>
      </c>
      <c r="E729" s="40"/>
      <c r="F729" s="40">
        <v>353</v>
      </c>
      <c r="G729" s="38"/>
      <c r="H729" s="38" t="s">
        <v>398</v>
      </c>
      <c r="I729" s="38" t="s">
        <v>405</v>
      </c>
      <c r="J729" s="38" t="s">
        <v>402</v>
      </c>
      <c r="K729" s="38" t="s">
        <v>409</v>
      </c>
      <c r="L729" s="52" t="s">
        <v>213</v>
      </c>
      <c r="M729" s="53" t="s">
        <v>213</v>
      </c>
    </row>
    <row r="730" spans="1:13" x14ac:dyDescent="0.3">
      <c r="A730" s="37">
        <v>30</v>
      </c>
      <c r="B730" s="38" t="s">
        <v>450</v>
      </c>
      <c r="C730" s="51">
        <v>7891106907019</v>
      </c>
      <c r="D730" s="40" t="s">
        <v>69</v>
      </c>
      <c r="E730" s="40"/>
      <c r="F730" s="40">
        <v>960</v>
      </c>
      <c r="G730" s="38"/>
      <c r="H730" s="38" t="s">
        <v>399</v>
      </c>
      <c r="I730" s="38" t="s">
        <v>405</v>
      </c>
      <c r="J730" s="38" t="s">
        <v>402</v>
      </c>
      <c r="K730" s="38" t="s">
        <v>410</v>
      </c>
      <c r="L730" s="52" t="s">
        <v>213</v>
      </c>
      <c r="M730" s="53" t="s">
        <v>213</v>
      </c>
    </row>
    <row r="731" spans="1:13" x14ac:dyDescent="0.3">
      <c r="A731" s="37">
        <v>30</v>
      </c>
      <c r="B731" s="38" t="s">
        <v>451</v>
      </c>
      <c r="C731" s="51">
        <v>7891106907019</v>
      </c>
      <c r="D731" s="40" t="s">
        <v>69</v>
      </c>
      <c r="E731" s="40"/>
      <c r="F731" s="40">
        <v>960</v>
      </c>
      <c r="G731" s="38"/>
      <c r="H731" s="38" t="s">
        <v>399</v>
      </c>
      <c r="I731" s="38" t="s">
        <v>405</v>
      </c>
      <c r="J731" s="38" t="s">
        <v>402</v>
      </c>
      <c r="K731" s="38" t="s">
        <v>410</v>
      </c>
      <c r="L731" s="52" t="s">
        <v>213</v>
      </c>
      <c r="M731" s="53" t="s">
        <v>213</v>
      </c>
    </row>
    <row r="732" spans="1:13" x14ac:dyDescent="0.3">
      <c r="A732" s="37">
        <v>30</v>
      </c>
      <c r="B732" s="38" t="s">
        <v>450</v>
      </c>
      <c r="C732" s="51">
        <v>7891106907019</v>
      </c>
      <c r="D732" s="40" t="s">
        <v>69</v>
      </c>
      <c r="E732" s="40"/>
      <c r="F732" s="40">
        <v>993</v>
      </c>
      <c r="G732" s="38"/>
      <c r="H732" s="38" t="s">
        <v>411</v>
      </c>
      <c r="I732" s="38" t="s">
        <v>389</v>
      </c>
      <c r="J732" s="38" t="s">
        <v>412</v>
      </c>
      <c r="K732" s="38" t="s">
        <v>413</v>
      </c>
      <c r="L732" s="52" t="s">
        <v>213</v>
      </c>
      <c r="M732" s="53" t="s">
        <v>213</v>
      </c>
    </row>
    <row r="733" spans="1:13" x14ac:dyDescent="0.3">
      <c r="A733" s="37">
        <v>30</v>
      </c>
      <c r="B733" s="38" t="s">
        <v>451</v>
      </c>
      <c r="C733" s="51">
        <v>7891106907019</v>
      </c>
      <c r="D733" s="40" t="s">
        <v>69</v>
      </c>
      <c r="E733" s="40"/>
      <c r="F733" s="40">
        <v>993</v>
      </c>
      <c r="G733" s="38"/>
      <c r="H733" s="38" t="s">
        <v>411</v>
      </c>
      <c r="I733" s="38" t="s">
        <v>389</v>
      </c>
      <c r="J733" s="38" t="s">
        <v>412</v>
      </c>
      <c r="K733" s="38" t="s">
        <v>413</v>
      </c>
      <c r="L733" s="52" t="s">
        <v>213</v>
      </c>
      <c r="M733" s="53" t="s">
        <v>213</v>
      </c>
    </row>
    <row r="734" spans="1:13" x14ac:dyDescent="0.3">
      <c r="A734" s="37">
        <v>30</v>
      </c>
      <c r="B734" s="38" t="s">
        <v>452</v>
      </c>
      <c r="C734" s="51">
        <v>7891106907057</v>
      </c>
      <c r="D734" s="40" t="s">
        <v>69</v>
      </c>
      <c r="E734" s="40"/>
      <c r="F734" s="40">
        <v>215</v>
      </c>
      <c r="G734" s="38"/>
      <c r="H734" s="38" t="s">
        <v>388</v>
      </c>
      <c r="I734" s="38" t="s">
        <v>389</v>
      </c>
      <c r="J734" s="38" t="s">
        <v>390</v>
      </c>
      <c r="K734" s="38" t="s">
        <v>391</v>
      </c>
      <c r="L734" s="52" t="s">
        <v>213</v>
      </c>
      <c r="M734" s="53" t="s">
        <v>213</v>
      </c>
    </row>
    <row r="735" spans="1:13" x14ac:dyDescent="0.3">
      <c r="A735" s="37">
        <v>30</v>
      </c>
      <c r="B735" s="38" t="s">
        <v>453</v>
      </c>
      <c r="C735" s="51">
        <v>7891106907057</v>
      </c>
      <c r="D735" s="40" t="s">
        <v>69</v>
      </c>
      <c r="E735" s="40"/>
      <c r="F735" s="40">
        <v>215</v>
      </c>
      <c r="G735" s="38"/>
      <c r="H735" s="38" t="s">
        <v>388</v>
      </c>
      <c r="I735" s="38" t="s">
        <v>389</v>
      </c>
      <c r="J735" s="38" t="s">
        <v>390</v>
      </c>
      <c r="K735" s="38" t="s">
        <v>391</v>
      </c>
      <c r="L735" s="52" t="s">
        <v>213</v>
      </c>
      <c r="M735" s="53" t="s">
        <v>213</v>
      </c>
    </row>
    <row r="736" spans="1:13" x14ac:dyDescent="0.3">
      <c r="A736" s="37">
        <v>30</v>
      </c>
      <c r="B736" s="38" t="s">
        <v>452</v>
      </c>
      <c r="C736" s="51">
        <v>7891106907057</v>
      </c>
      <c r="D736" s="40" t="s">
        <v>69</v>
      </c>
      <c r="E736" s="40"/>
      <c r="F736" s="40">
        <v>349</v>
      </c>
      <c r="G736" s="38"/>
      <c r="H736" s="38" t="s">
        <v>393</v>
      </c>
      <c r="I736" s="38" t="s">
        <v>389</v>
      </c>
      <c r="J736" s="38" t="s">
        <v>390</v>
      </c>
      <c r="K736" s="38" t="s">
        <v>391</v>
      </c>
      <c r="L736" s="52" t="s">
        <v>213</v>
      </c>
      <c r="M736" s="53" t="s">
        <v>213</v>
      </c>
    </row>
    <row r="737" spans="1:13" x14ac:dyDescent="0.3">
      <c r="A737" s="37">
        <v>30</v>
      </c>
      <c r="B737" s="38" t="s">
        <v>453</v>
      </c>
      <c r="C737" s="51">
        <v>7891106907057</v>
      </c>
      <c r="D737" s="40" t="s">
        <v>69</v>
      </c>
      <c r="E737" s="40"/>
      <c r="F737" s="40">
        <v>349</v>
      </c>
      <c r="G737" s="38"/>
      <c r="H737" s="38" t="s">
        <v>393</v>
      </c>
      <c r="I737" s="38" t="s">
        <v>389</v>
      </c>
      <c r="J737" s="38" t="s">
        <v>390</v>
      </c>
      <c r="K737" s="38" t="s">
        <v>391</v>
      </c>
      <c r="L737" s="52" t="s">
        <v>213</v>
      </c>
      <c r="M737" s="53" t="s">
        <v>213</v>
      </c>
    </row>
    <row r="738" spans="1:13" x14ac:dyDescent="0.3">
      <c r="A738" s="37">
        <v>30</v>
      </c>
      <c r="B738" s="38" t="s">
        <v>452</v>
      </c>
      <c r="C738" s="51">
        <v>7891106907057</v>
      </c>
      <c r="D738" s="40" t="s">
        <v>69</v>
      </c>
      <c r="E738" s="40"/>
      <c r="F738" s="40">
        <v>350</v>
      </c>
      <c r="G738" s="38"/>
      <c r="H738" s="38" t="s">
        <v>394</v>
      </c>
      <c r="I738" s="38" t="s">
        <v>389</v>
      </c>
      <c r="J738" s="38" t="s">
        <v>390</v>
      </c>
      <c r="K738" s="38" t="s">
        <v>391</v>
      </c>
      <c r="L738" s="52" t="s">
        <v>213</v>
      </c>
      <c r="M738" s="53" t="s">
        <v>213</v>
      </c>
    </row>
    <row r="739" spans="1:13" x14ac:dyDescent="0.3">
      <c r="A739" s="37">
        <v>30</v>
      </c>
      <c r="B739" s="38" t="s">
        <v>453</v>
      </c>
      <c r="C739" s="51">
        <v>7891106907057</v>
      </c>
      <c r="D739" s="40" t="s">
        <v>69</v>
      </c>
      <c r="E739" s="40"/>
      <c r="F739" s="40">
        <v>350</v>
      </c>
      <c r="G739" s="38"/>
      <c r="H739" s="38" t="s">
        <v>394</v>
      </c>
      <c r="I739" s="38" t="s">
        <v>389</v>
      </c>
      <c r="J739" s="38" t="s">
        <v>390</v>
      </c>
      <c r="K739" s="38" t="s">
        <v>391</v>
      </c>
      <c r="L739" s="52" t="s">
        <v>213</v>
      </c>
      <c r="M739" s="53" t="s">
        <v>213</v>
      </c>
    </row>
    <row r="740" spans="1:13" x14ac:dyDescent="0.3">
      <c r="A740" s="37">
        <v>30</v>
      </c>
      <c r="B740" s="38" t="s">
        <v>452</v>
      </c>
      <c r="C740" s="51">
        <v>7891106907057</v>
      </c>
      <c r="D740" s="40" t="s">
        <v>69</v>
      </c>
      <c r="E740" s="40"/>
      <c r="F740" s="40">
        <v>351</v>
      </c>
      <c r="G740" s="38"/>
      <c r="H740" s="38" t="s">
        <v>395</v>
      </c>
      <c r="I740" s="38" t="s">
        <v>389</v>
      </c>
      <c r="J740" s="38" t="s">
        <v>390</v>
      </c>
      <c r="K740" s="38" t="s">
        <v>391</v>
      </c>
      <c r="L740" s="52" t="s">
        <v>213</v>
      </c>
      <c r="M740" s="53" t="s">
        <v>213</v>
      </c>
    </row>
    <row r="741" spans="1:13" x14ac:dyDescent="0.3">
      <c r="A741" s="37">
        <v>30</v>
      </c>
      <c r="B741" s="38" t="s">
        <v>453</v>
      </c>
      <c r="C741" s="51">
        <v>7891106907057</v>
      </c>
      <c r="D741" s="40" t="s">
        <v>69</v>
      </c>
      <c r="E741" s="40"/>
      <c r="F741" s="40">
        <v>351</v>
      </c>
      <c r="G741" s="38"/>
      <c r="H741" s="38" t="s">
        <v>395</v>
      </c>
      <c r="I741" s="38" t="s">
        <v>389</v>
      </c>
      <c r="J741" s="38" t="s">
        <v>390</v>
      </c>
      <c r="K741" s="38" t="s">
        <v>391</v>
      </c>
      <c r="L741" s="52" t="s">
        <v>213</v>
      </c>
      <c r="M741" s="53" t="s">
        <v>213</v>
      </c>
    </row>
    <row r="742" spans="1:13" x14ac:dyDescent="0.3">
      <c r="A742" s="37">
        <v>30</v>
      </c>
      <c r="B742" s="38" t="s">
        <v>452</v>
      </c>
      <c r="C742" s="51">
        <v>7891106907057</v>
      </c>
      <c r="D742" s="40" t="s">
        <v>69</v>
      </c>
      <c r="E742" s="40"/>
      <c r="F742" s="40">
        <v>352</v>
      </c>
      <c r="G742" s="38"/>
      <c r="H742" s="38" t="s">
        <v>396</v>
      </c>
      <c r="I742" s="38" t="s">
        <v>397</v>
      </c>
      <c r="J742" s="38" t="s">
        <v>390</v>
      </c>
      <c r="K742" s="38" t="s">
        <v>391</v>
      </c>
      <c r="L742" s="52" t="s">
        <v>213</v>
      </c>
      <c r="M742" s="53" t="s">
        <v>213</v>
      </c>
    </row>
    <row r="743" spans="1:13" x14ac:dyDescent="0.3">
      <c r="A743" s="37">
        <v>30</v>
      </c>
      <c r="B743" s="38" t="s">
        <v>453</v>
      </c>
      <c r="C743" s="51">
        <v>7891106907057</v>
      </c>
      <c r="D743" s="40" t="s">
        <v>69</v>
      </c>
      <c r="E743" s="40"/>
      <c r="F743" s="40">
        <v>352</v>
      </c>
      <c r="G743" s="38"/>
      <c r="H743" s="38" t="s">
        <v>396</v>
      </c>
      <c r="I743" s="38" t="s">
        <v>397</v>
      </c>
      <c r="J743" s="38" t="s">
        <v>390</v>
      </c>
      <c r="K743" s="38" t="s">
        <v>391</v>
      </c>
      <c r="L743" s="52" t="s">
        <v>213</v>
      </c>
      <c r="M743" s="53" t="s">
        <v>213</v>
      </c>
    </row>
    <row r="744" spans="1:13" x14ac:dyDescent="0.3">
      <c r="A744" s="37">
        <v>30</v>
      </c>
      <c r="B744" s="38" t="s">
        <v>452</v>
      </c>
      <c r="C744" s="51">
        <v>7891106907057</v>
      </c>
      <c r="D744" s="40" t="s">
        <v>69</v>
      </c>
      <c r="E744" s="40"/>
      <c r="F744" s="40">
        <v>353</v>
      </c>
      <c r="G744" s="38"/>
      <c r="H744" s="38" t="s">
        <v>398</v>
      </c>
      <c r="I744" s="38" t="s">
        <v>397</v>
      </c>
      <c r="J744" s="38" t="s">
        <v>390</v>
      </c>
      <c r="K744" s="38" t="s">
        <v>391</v>
      </c>
      <c r="L744" s="52" t="s">
        <v>213</v>
      </c>
      <c r="M744" s="53" t="s">
        <v>213</v>
      </c>
    </row>
    <row r="745" spans="1:13" x14ac:dyDescent="0.3">
      <c r="A745" s="37">
        <v>30</v>
      </c>
      <c r="B745" s="38" t="s">
        <v>453</v>
      </c>
      <c r="C745" s="51">
        <v>7891106907057</v>
      </c>
      <c r="D745" s="40" t="s">
        <v>69</v>
      </c>
      <c r="E745" s="40"/>
      <c r="F745" s="40">
        <v>353</v>
      </c>
      <c r="G745" s="38"/>
      <c r="H745" s="38" t="s">
        <v>398</v>
      </c>
      <c r="I745" s="38" t="s">
        <v>397</v>
      </c>
      <c r="J745" s="38" t="s">
        <v>390</v>
      </c>
      <c r="K745" s="38" t="s">
        <v>391</v>
      </c>
      <c r="L745" s="52" t="s">
        <v>213</v>
      </c>
      <c r="M745" s="53" t="s">
        <v>213</v>
      </c>
    </row>
    <row r="746" spans="1:13" x14ac:dyDescent="0.3">
      <c r="A746" s="37">
        <v>30</v>
      </c>
      <c r="B746" s="38" t="s">
        <v>452</v>
      </c>
      <c r="C746" s="51">
        <v>7891106907057</v>
      </c>
      <c r="D746" s="40" t="s">
        <v>69</v>
      </c>
      <c r="E746" s="40"/>
      <c r="F746" s="40">
        <v>960</v>
      </c>
      <c r="G746" s="38"/>
      <c r="H746" s="38" t="s">
        <v>399</v>
      </c>
      <c r="I746" s="38" t="s">
        <v>397</v>
      </c>
      <c r="J746" s="38" t="s">
        <v>390</v>
      </c>
      <c r="K746" s="38" t="s">
        <v>391</v>
      </c>
      <c r="L746" s="52" t="s">
        <v>213</v>
      </c>
      <c r="M746" s="53" t="s">
        <v>213</v>
      </c>
    </row>
    <row r="747" spans="1:13" x14ac:dyDescent="0.3">
      <c r="A747" s="37">
        <v>30</v>
      </c>
      <c r="B747" s="38" t="s">
        <v>453</v>
      </c>
      <c r="C747" s="51">
        <v>7891106907057</v>
      </c>
      <c r="D747" s="40" t="s">
        <v>69</v>
      </c>
      <c r="E747" s="40"/>
      <c r="F747" s="40">
        <v>960</v>
      </c>
      <c r="G747" s="38"/>
      <c r="H747" s="38" t="s">
        <v>399</v>
      </c>
      <c r="I747" s="38" t="s">
        <v>397</v>
      </c>
      <c r="J747" s="38" t="s">
        <v>390</v>
      </c>
      <c r="K747" s="38" t="s">
        <v>391</v>
      </c>
      <c r="L747" s="52" t="s">
        <v>213</v>
      </c>
      <c r="M747" s="53" t="s">
        <v>213</v>
      </c>
    </row>
    <row r="748" spans="1:13" x14ac:dyDescent="0.3">
      <c r="A748" s="37">
        <v>30</v>
      </c>
      <c r="B748" s="38" t="s">
        <v>454</v>
      </c>
      <c r="C748" s="51">
        <v>7891106907064</v>
      </c>
      <c r="D748" s="40" t="s">
        <v>69</v>
      </c>
      <c r="E748" s="40"/>
      <c r="F748" s="40">
        <v>215</v>
      </c>
      <c r="G748" s="38"/>
      <c r="H748" s="38" t="s">
        <v>388</v>
      </c>
      <c r="I748" s="38" t="s">
        <v>401</v>
      </c>
      <c r="J748" s="38" t="s">
        <v>402</v>
      </c>
      <c r="K748" s="38" t="s">
        <v>403</v>
      </c>
      <c r="L748" s="52" t="s">
        <v>213</v>
      </c>
      <c r="M748" s="53" t="s">
        <v>213</v>
      </c>
    </row>
    <row r="749" spans="1:13" x14ac:dyDescent="0.3">
      <c r="A749" s="37">
        <v>30</v>
      </c>
      <c r="B749" s="38" t="s">
        <v>455</v>
      </c>
      <c r="C749" s="51">
        <v>7891106907064</v>
      </c>
      <c r="D749" s="40" t="s">
        <v>69</v>
      </c>
      <c r="E749" s="40"/>
      <c r="F749" s="40">
        <v>215</v>
      </c>
      <c r="G749" s="38"/>
      <c r="H749" s="38" t="s">
        <v>388</v>
      </c>
      <c r="I749" s="38" t="s">
        <v>401</v>
      </c>
      <c r="J749" s="38" t="s">
        <v>402</v>
      </c>
      <c r="K749" s="38" t="s">
        <v>403</v>
      </c>
      <c r="L749" s="52" t="s">
        <v>213</v>
      </c>
      <c r="M749" s="53" t="s">
        <v>213</v>
      </c>
    </row>
    <row r="750" spans="1:13" x14ac:dyDescent="0.3">
      <c r="A750" s="37">
        <v>30</v>
      </c>
      <c r="B750" s="38" t="s">
        <v>454</v>
      </c>
      <c r="C750" s="51">
        <v>7891106907064</v>
      </c>
      <c r="D750" s="40" t="s">
        <v>69</v>
      </c>
      <c r="E750" s="40"/>
      <c r="F750" s="40">
        <v>349</v>
      </c>
      <c r="G750" s="38"/>
      <c r="H750" s="38" t="s">
        <v>393</v>
      </c>
      <c r="I750" s="38" t="s">
        <v>405</v>
      </c>
      <c r="J750" s="38" t="s">
        <v>402</v>
      </c>
      <c r="K750" s="38" t="s">
        <v>406</v>
      </c>
      <c r="L750" s="52" t="s">
        <v>213</v>
      </c>
      <c r="M750" s="53" t="s">
        <v>213</v>
      </c>
    </row>
    <row r="751" spans="1:13" x14ac:dyDescent="0.3">
      <c r="A751" s="37">
        <v>30</v>
      </c>
      <c r="B751" s="38" t="s">
        <v>455</v>
      </c>
      <c r="C751" s="51">
        <v>7891106907064</v>
      </c>
      <c r="D751" s="40" t="s">
        <v>69</v>
      </c>
      <c r="E751" s="40"/>
      <c r="F751" s="40">
        <v>349</v>
      </c>
      <c r="G751" s="38"/>
      <c r="H751" s="38" t="s">
        <v>393</v>
      </c>
      <c r="I751" s="38" t="s">
        <v>405</v>
      </c>
      <c r="J751" s="38" t="s">
        <v>402</v>
      </c>
      <c r="K751" s="38" t="s">
        <v>406</v>
      </c>
      <c r="L751" s="52" t="s">
        <v>213</v>
      </c>
      <c r="M751" s="53" t="s">
        <v>213</v>
      </c>
    </row>
    <row r="752" spans="1:13" x14ac:dyDescent="0.3">
      <c r="A752" s="37">
        <v>30</v>
      </c>
      <c r="B752" s="38" t="s">
        <v>454</v>
      </c>
      <c r="C752" s="51">
        <v>7891106907064</v>
      </c>
      <c r="D752" s="40" t="s">
        <v>69</v>
      </c>
      <c r="E752" s="40"/>
      <c r="F752" s="40">
        <v>350</v>
      </c>
      <c r="G752" s="38"/>
      <c r="H752" s="38" t="s">
        <v>394</v>
      </c>
      <c r="I752" s="38" t="s">
        <v>389</v>
      </c>
      <c r="J752" s="38" t="s">
        <v>402</v>
      </c>
      <c r="K752" s="38" t="s">
        <v>407</v>
      </c>
      <c r="L752" s="52" t="s">
        <v>213</v>
      </c>
      <c r="M752" s="53" t="s">
        <v>213</v>
      </c>
    </row>
    <row r="753" spans="1:13" x14ac:dyDescent="0.3">
      <c r="A753" s="37">
        <v>30</v>
      </c>
      <c r="B753" s="38" t="s">
        <v>455</v>
      </c>
      <c r="C753" s="51">
        <v>7891106907064</v>
      </c>
      <c r="D753" s="40" t="s">
        <v>69</v>
      </c>
      <c r="E753" s="40"/>
      <c r="F753" s="40">
        <v>350</v>
      </c>
      <c r="G753" s="38"/>
      <c r="H753" s="38" t="s">
        <v>394</v>
      </c>
      <c r="I753" s="38" t="s">
        <v>389</v>
      </c>
      <c r="J753" s="38" t="s">
        <v>402</v>
      </c>
      <c r="K753" s="38" t="s">
        <v>407</v>
      </c>
      <c r="L753" s="52" t="s">
        <v>213</v>
      </c>
      <c r="M753" s="53" t="s">
        <v>213</v>
      </c>
    </row>
    <row r="754" spans="1:13" x14ac:dyDescent="0.3">
      <c r="A754" s="37">
        <v>30</v>
      </c>
      <c r="B754" s="38" t="s">
        <v>454</v>
      </c>
      <c r="C754" s="51">
        <v>7891106907064</v>
      </c>
      <c r="D754" s="40" t="s">
        <v>69</v>
      </c>
      <c r="E754" s="40"/>
      <c r="F754" s="40">
        <v>351</v>
      </c>
      <c r="G754" s="38"/>
      <c r="H754" s="38" t="s">
        <v>395</v>
      </c>
      <c r="I754" s="38" t="s">
        <v>405</v>
      </c>
      <c r="J754" s="38" t="s">
        <v>402</v>
      </c>
      <c r="K754" s="38" t="s">
        <v>408</v>
      </c>
      <c r="L754" s="52" t="s">
        <v>213</v>
      </c>
      <c r="M754" s="53" t="s">
        <v>213</v>
      </c>
    </row>
    <row r="755" spans="1:13" x14ac:dyDescent="0.3">
      <c r="A755" s="37">
        <v>30</v>
      </c>
      <c r="B755" s="38" t="s">
        <v>455</v>
      </c>
      <c r="C755" s="51">
        <v>7891106907064</v>
      </c>
      <c r="D755" s="40" t="s">
        <v>69</v>
      </c>
      <c r="E755" s="40"/>
      <c r="F755" s="40">
        <v>351</v>
      </c>
      <c r="G755" s="38"/>
      <c r="H755" s="38" t="s">
        <v>395</v>
      </c>
      <c r="I755" s="38" t="s">
        <v>405</v>
      </c>
      <c r="J755" s="38" t="s">
        <v>402</v>
      </c>
      <c r="K755" s="38" t="s">
        <v>408</v>
      </c>
      <c r="L755" s="52" t="s">
        <v>213</v>
      </c>
      <c r="M755" s="53" t="s">
        <v>213</v>
      </c>
    </row>
    <row r="756" spans="1:13" x14ac:dyDescent="0.3">
      <c r="A756" s="37">
        <v>30</v>
      </c>
      <c r="B756" s="38" t="s">
        <v>454</v>
      </c>
      <c r="C756" s="51">
        <v>7891106907064</v>
      </c>
      <c r="D756" s="40" t="s">
        <v>69</v>
      </c>
      <c r="E756" s="40"/>
      <c r="F756" s="40">
        <v>352</v>
      </c>
      <c r="G756" s="38"/>
      <c r="H756" s="38" t="s">
        <v>396</v>
      </c>
      <c r="I756" s="38" t="s">
        <v>405</v>
      </c>
      <c r="J756" s="38" t="s">
        <v>402</v>
      </c>
      <c r="K756" s="38" t="s">
        <v>409</v>
      </c>
      <c r="L756" s="52" t="s">
        <v>213</v>
      </c>
      <c r="M756" s="53" t="s">
        <v>213</v>
      </c>
    </row>
    <row r="757" spans="1:13" x14ac:dyDescent="0.3">
      <c r="A757" s="37">
        <v>30</v>
      </c>
      <c r="B757" s="38" t="s">
        <v>455</v>
      </c>
      <c r="C757" s="51">
        <v>7891106907064</v>
      </c>
      <c r="D757" s="40" t="s">
        <v>69</v>
      </c>
      <c r="E757" s="40"/>
      <c r="F757" s="40">
        <v>352</v>
      </c>
      <c r="G757" s="38"/>
      <c r="H757" s="38" t="s">
        <v>396</v>
      </c>
      <c r="I757" s="38" t="s">
        <v>405</v>
      </c>
      <c r="J757" s="38" t="s">
        <v>402</v>
      </c>
      <c r="K757" s="38" t="s">
        <v>409</v>
      </c>
      <c r="L757" s="52" t="s">
        <v>213</v>
      </c>
      <c r="M757" s="53" t="s">
        <v>213</v>
      </c>
    </row>
    <row r="758" spans="1:13" x14ac:dyDescent="0.3">
      <c r="A758" s="37">
        <v>30</v>
      </c>
      <c r="B758" s="38" t="s">
        <v>454</v>
      </c>
      <c r="C758" s="51">
        <v>7891106907064</v>
      </c>
      <c r="D758" s="40" t="s">
        <v>69</v>
      </c>
      <c r="E758" s="40"/>
      <c r="F758" s="40">
        <v>353</v>
      </c>
      <c r="G758" s="38"/>
      <c r="H758" s="38" t="s">
        <v>398</v>
      </c>
      <c r="I758" s="38" t="s">
        <v>405</v>
      </c>
      <c r="J758" s="38" t="s">
        <v>402</v>
      </c>
      <c r="K758" s="38" t="s">
        <v>409</v>
      </c>
      <c r="L758" s="52" t="s">
        <v>213</v>
      </c>
      <c r="M758" s="53" t="s">
        <v>213</v>
      </c>
    </row>
    <row r="759" spans="1:13" x14ac:dyDescent="0.3">
      <c r="A759" s="37">
        <v>30</v>
      </c>
      <c r="B759" s="38" t="s">
        <v>455</v>
      </c>
      <c r="C759" s="51">
        <v>7891106907064</v>
      </c>
      <c r="D759" s="40" t="s">
        <v>69</v>
      </c>
      <c r="E759" s="40"/>
      <c r="F759" s="40">
        <v>353</v>
      </c>
      <c r="G759" s="38"/>
      <c r="H759" s="38" t="s">
        <v>398</v>
      </c>
      <c r="I759" s="38" t="s">
        <v>405</v>
      </c>
      <c r="J759" s="38" t="s">
        <v>402</v>
      </c>
      <c r="K759" s="38" t="s">
        <v>409</v>
      </c>
      <c r="L759" s="52" t="s">
        <v>213</v>
      </c>
      <c r="M759" s="53" t="s">
        <v>213</v>
      </c>
    </row>
    <row r="760" spans="1:13" x14ac:dyDescent="0.3">
      <c r="A760" s="37">
        <v>30</v>
      </c>
      <c r="B760" s="38" t="s">
        <v>454</v>
      </c>
      <c r="C760" s="51">
        <v>7891106907064</v>
      </c>
      <c r="D760" s="40" t="s">
        <v>69</v>
      </c>
      <c r="E760" s="40"/>
      <c r="F760" s="40">
        <v>960</v>
      </c>
      <c r="G760" s="38"/>
      <c r="H760" s="38" t="s">
        <v>399</v>
      </c>
      <c r="I760" s="38" t="s">
        <v>405</v>
      </c>
      <c r="J760" s="38" t="s">
        <v>402</v>
      </c>
      <c r="K760" s="38" t="s">
        <v>410</v>
      </c>
      <c r="L760" s="52" t="s">
        <v>213</v>
      </c>
      <c r="M760" s="53" t="s">
        <v>213</v>
      </c>
    </row>
    <row r="761" spans="1:13" x14ac:dyDescent="0.3">
      <c r="A761" s="37">
        <v>30</v>
      </c>
      <c r="B761" s="38" t="s">
        <v>455</v>
      </c>
      <c r="C761" s="51">
        <v>7891106907064</v>
      </c>
      <c r="D761" s="40" t="s">
        <v>69</v>
      </c>
      <c r="E761" s="40"/>
      <c r="F761" s="40">
        <v>960</v>
      </c>
      <c r="G761" s="38"/>
      <c r="H761" s="38" t="s">
        <v>399</v>
      </c>
      <c r="I761" s="38" t="s">
        <v>405</v>
      </c>
      <c r="J761" s="38" t="s">
        <v>402</v>
      </c>
      <c r="K761" s="38" t="s">
        <v>410</v>
      </c>
      <c r="L761" s="52" t="s">
        <v>213</v>
      </c>
      <c r="M761" s="53" t="s">
        <v>213</v>
      </c>
    </row>
    <row r="762" spans="1:13" x14ac:dyDescent="0.3">
      <c r="A762" s="37">
        <v>30</v>
      </c>
      <c r="B762" s="38" t="s">
        <v>454</v>
      </c>
      <c r="C762" s="51">
        <v>7891106907064</v>
      </c>
      <c r="D762" s="40" t="s">
        <v>69</v>
      </c>
      <c r="E762" s="40"/>
      <c r="F762" s="40">
        <v>993</v>
      </c>
      <c r="G762" s="38"/>
      <c r="H762" s="38" t="s">
        <v>411</v>
      </c>
      <c r="I762" s="38" t="s">
        <v>389</v>
      </c>
      <c r="J762" s="38" t="s">
        <v>412</v>
      </c>
      <c r="K762" s="38" t="s">
        <v>413</v>
      </c>
      <c r="L762" s="52" t="s">
        <v>213</v>
      </c>
      <c r="M762" s="53" t="s">
        <v>213</v>
      </c>
    </row>
    <row r="763" spans="1:13" x14ac:dyDescent="0.3">
      <c r="A763" s="37">
        <v>30</v>
      </c>
      <c r="B763" s="38" t="s">
        <v>455</v>
      </c>
      <c r="C763" s="51">
        <v>7891106907064</v>
      </c>
      <c r="D763" s="40" t="s">
        <v>69</v>
      </c>
      <c r="E763" s="40"/>
      <c r="F763" s="40">
        <v>993</v>
      </c>
      <c r="G763" s="38"/>
      <c r="H763" s="38" t="s">
        <v>411</v>
      </c>
      <c r="I763" s="38" t="s">
        <v>389</v>
      </c>
      <c r="J763" s="38" t="s">
        <v>412</v>
      </c>
      <c r="K763" s="38" t="s">
        <v>413</v>
      </c>
      <c r="L763" s="52" t="s">
        <v>213</v>
      </c>
      <c r="M763" s="53" t="s">
        <v>213</v>
      </c>
    </row>
    <row r="764" spans="1:13" x14ac:dyDescent="0.3">
      <c r="A764" s="37">
        <v>30</v>
      </c>
      <c r="B764" s="38" t="s">
        <v>456</v>
      </c>
      <c r="C764" s="51">
        <v>7891106907507</v>
      </c>
      <c r="D764" s="40" t="s">
        <v>69</v>
      </c>
      <c r="E764" s="40"/>
      <c r="F764" s="40">
        <v>143</v>
      </c>
      <c r="G764" s="38"/>
      <c r="H764" s="38" t="s">
        <v>457</v>
      </c>
      <c r="I764" s="38" t="s">
        <v>424</v>
      </c>
      <c r="J764" s="38" t="s">
        <v>458</v>
      </c>
      <c r="K764" s="38" t="s">
        <v>459</v>
      </c>
      <c r="L764" s="52" t="s">
        <v>213</v>
      </c>
      <c r="M764" s="53" t="s">
        <v>213</v>
      </c>
    </row>
    <row r="765" spans="1:13" x14ac:dyDescent="0.3">
      <c r="A765" s="37">
        <v>30</v>
      </c>
      <c r="B765" s="38" t="s">
        <v>460</v>
      </c>
      <c r="C765" s="51">
        <v>7891106908184</v>
      </c>
      <c r="D765" s="40" t="s">
        <v>69</v>
      </c>
      <c r="E765" s="40"/>
      <c r="F765" s="40">
        <v>974</v>
      </c>
      <c r="G765" s="38"/>
      <c r="H765" s="38" t="s">
        <v>461</v>
      </c>
      <c r="I765" s="38" t="s">
        <v>389</v>
      </c>
      <c r="J765" s="38" t="s">
        <v>390</v>
      </c>
      <c r="K765" s="38" t="s">
        <v>391</v>
      </c>
      <c r="L765" s="52" t="s">
        <v>213</v>
      </c>
      <c r="M765" s="53" t="s">
        <v>213</v>
      </c>
    </row>
    <row r="766" spans="1:13" x14ac:dyDescent="0.3">
      <c r="A766" s="37">
        <v>30</v>
      </c>
      <c r="B766" s="38" t="s">
        <v>460</v>
      </c>
      <c r="C766" s="51">
        <v>7891106908184</v>
      </c>
      <c r="D766" s="40" t="s">
        <v>69</v>
      </c>
      <c r="E766" s="40"/>
      <c r="F766" s="40">
        <v>975</v>
      </c>
      <c r="G766" s="38"/>
      <c r="H766" s="38" t="s">
        <v>462</v>
      </c>
      <c r="I766" s="38" t="s">
        <v>389</v>
      </c>
      <c r="J766" s="38" t="s">
        <v>390</v>
      </c>
      <c r="K766" s="38" t="s">
        <v>391</v>
      </c>
      <c r="L766" s="52" t="s">
        <v>213</v>
      </c>
      <c r="M766" s="53" t="s">
        <v>213</v>
      </c>
    </row>
    <row r="767" spans="1:13" x14ac:dyDescent="0.3">
      <c r="A767" s="37">
        <v>30</v>
      </c>
      <c r="B767" s="38" t="s">
        <v>460</v>
      </c>
      <c r="C767" s="51">
        <v>7891106908184</v>
      </c>
      <c r="D767" s="40" t="s">
        <v>69</v>
      </c>
      <c r="E767" s="40"/>
      <c r="F767" s="40">
        <v>976</v>
      </c>
      <c r="G767" s="38"/>
      <c r="H767" s="38" t="s">
        <v>463</v>
      </c>
      <c r="I767" s="38" t="s">
        <v>389</v>
      </c>
      <c r="J767" s="38" t="s">
        <v>390</v>
      </c>
      <c r="K767" s="38" t="s">
        <v>391</v>
      </c>
      <c r="L767" s="52" t="s">
        <v>213</v>
      </c>
      <c r="M767" s="53" t="s">
        <v>213</v>
      </c>
    </row>
    <row r="768" spans="1:13" x14ac:dyDescent="0.3">
      <c r="A768" s="37">
        <v>30</v>
      </c>
      <c r="B768" s="38" t="s">
        <v>464</v>
      </c>
      <c r="C768" s="51">
        <v>7891106908191</v>
      </c>
      <c r="D768" s="40" t="s">
        <v>69</v>
      </c>
      <c r="E768" s="40"/>
      <c r="F768" s="40">
        <v>974</v>
      </c>
      <c r="G768" s="38"/>
      <c r="H768" s="38" t="s">
        <v>461</v>
      </c>
      <c r="I768" s="38" t="s">
        <v>405</v>
      </c>
      <c r="J768" s="38" t="s">
        <v>402</v>
      </c>
      <c r="K768" s="38" t="s">
        <v>465</v>
      </c>
      <c r="L768" s="52" t="s">
        <v>213</v>
      </c>
      <c r="M768" s="53" t="s">
        <v>213</v>
      </c>
    </row>
    <row r="769" spans="1:13" x14ac:dyDescent="0.3">
      <c r="A769" s="37">
        <v>30</v>
      </c>
      <c r="B769" s="38" t="s">
        <v>464</v>
      </c>
      <c r="C769" s="51">
        <v>7891106908191</v>
      </c>
      <c r="D769" s="40" t="s">
        <v>69</v>
      </c>
      <c r="E769" s="40"/>
      <c r="F769" s="40">
        <v>975</v>
      </c>
      <c r="G769" s="38"/>
      <c r="H769" s="38" t="s">
        <v>462</v>
      </c>
      <c r="I769" s="38" t="s">
        <v>405</v>
      </c>
      <c r="J769" s="38" t="s">
        <v>402</v>
      </c>
      <c r="K769" s="38" t="s">
        <v>465</v>
      </c>
      <c r="L769" s="52" t="s">
        <v>213</v>
      </c>
      <c r="M769" s="53" t="s">
        <v>213</v>
      </c>
    </row>
    <row r="770" spans="1:13" x14ac:dyDescent="0.3">
      <c r="A770" s="37">
        <v>30</v>
      </c>
      <c r="B770" s="38" t="s">
        <v>464</v>
      </c>
      <c r="C770" s="51">
        <v>7891106908191</v>
      </c>
      <c r="D770" s="40" t="s">
        <v>69</v>
      </c>
      <c r="E770" s="40"/>
      <c r="F770" s="40">
        <v>976</v>
      </c>
      <c r="G770" s="38"/>
      <c r="H770" s="38" t="s">
        <v>463</v>
      </c>
      <c r="I770" s="38" t="s">
        <v>405</v>
      </c>
      <c r="J770" s="38" t="s">
        <v>402</v>
      </c>
      <c r="K770" s="38" t="s">
        <v>465</v>
      </c>
      <c r="L770" s="52" t="s">
        <v>213</v>
      </c>
      <c r="M770" s="53" t="s">
        <v>213</v>
      </c>
    </row>
    <row r="771" spans="1:13" x14ac:dyDescent="0.3">
      <c r="A771" s="37">
        <v>30</v>
      </c>
      <c r="B771" s="38" t="s">
        <v>464</v>
      </c>
      <c r="C771" s="51">
        <v>7891106908191</v>
      </c>
      <c r="D771" s="40" t="s">
        <v>69</v>
      </c>
      <c r="E771" s="40"/>
      <c r="F771" s="40">
        <v>993</v>
      </c>
      <c r="G771" s="38"/>
      <c r="H771" s="38" t="s">
        <v>411</v>
      </c>
      <c r="I771" s="38" t="s">
        <v>389</v>
      </c>
      <c r="J771" s="38" t="s">
        <v>412</v>
      </c>
      <c r="K771" s="38" t="s">
        <v>413</v>
      </c>
      <c r="L771" s="52" t="s">
        <v>213</v>
      </c>
      <c r="M771" s="53" t="s">
        <v>213</v>
      </c>
    </row>
    <row r="772" spans="1:13" x14ac:dyDescent="0.3">
      <c r="A772" s="37">
        <v>30</v>
      </c>
      <c r="B772" s="38" t="s">
        <v>466</v>
      </c>
      <c r="C772" s="51">
        <v>7891106908498</v>
      </c>
      <c r="D772" s="40" t="s">
        <v>69</v>
      </c>
      <c r="E772" s="40"/>
      <c r="F772" s="40">
        <v>197</v>
      </c>
      <c r="G772" s="38"/>
      <c r="H772" s="38" t="s">
        <v>415</v>
      </c>
      <c r="I772" s="38" t="s">
        <v>335</v>
      </c>
      <c r="J772" s="38" t="s">
        <v>467</v>
      </c>
      <c r="K772" s="38" t="s">
        <v>468</v>
      </c>
      <c r="L772" s="52" t="s">
        <v>213</v>
      </c>
      <c r="M772" s="53" t="s">
        <v>213</v>
      </c>
    </row>
    <row r="773" spans="1:13" x14ac:dyDescent="0.3">
      <c r="A773" s="37">
        <v>30</v>
      </c>
      <c r="B773" s="38" t="s">
        <v>469</v>
      </c>
      <c r="C773" s="51">
        <v>7891106908498</v>
      </c>
      <c r="D773" s="40" t="s">
        <v>69</v>
      </c>
      <c r="E773" s="40"/>
      <c r="F773" s="40">
        <v>197</v>
      </c>
      <c r="G773" s="38"/>
      <c r="H773" s="38" t="s">
        <v>415</v>
      </c>
      <c r="I773" s="38" t="s">
        <v>335</v>
      </c>
      <c r="J773" s="38" t="s">
        <v>467</v>
      </c>
      <c r="K773" s="38" t="s">
        <v>468</v>
      </c>
      <c r="L773" s="52" t="s">
        <v>213</v>
      </c>
      <c r="M773" s="53" t="s">
        <v>213</v>
      </c>
    </row>
    <row r="774" spans="1:13" x14ac:dyDescent="0.3">
      <c r="A774" s="37">
        <v>30</v>
      </c>
      <c r="B774" s="38" t="s">
        <v>466</v>
      </c>
      <c r="C774" s="51">
        <v>7891106908498</v>
      </c>
      <c r="D774" s="40" t="s">
        <v>69</v>
      </c>
      <c r="E774" s="40"/>
      <c r="F774" s="40">
        <v>207</v>
      </c>
      <c r="G774" s="38"/>
      <c r="H774" s="38" t="s">
        <v>423</v>
      </c>
      <c r="I774" s="38" t="s">
        <v>424</v>
      </c>
      <c r="J774" s="38" t="s">
        <v>467</v>
      </c>
      <c r="K774" s="38" t="s">
        <v>425</v>
      </c>
      <c r="L774" s="52" t="s">
        <v>213</v>
      </c>
      <c r="M774" s="53" t="s">
        <v>213</v>
      </c>
    </row>
    <row r="775" spans="1:13" x14ac:dyDescent="0.3">
      <c r="A775" s="37">
        <v>30</v>
      </c>
      <c r="B775" s="38" t="s">
        <v>469</v>
      </c>
      <c r="C775" s="51">
        <v>7891106908498</v>
      </c>
      <c r="D775" s="40" t="s">
        <v>69</v>
      </c>
      <c r="E775" s="40"/>
      <c r="F775" s="40">
        <v>207</v>
      </c>
      <c r="G775" s="38"/>
      <c r="H775" s="38" t="s">
        <v>423</v>
      </c>
      <c r="I775" s="38" t="s">
        <v>424</v>
      </c>
      <c r="J775" s="38" t="s">
        <v>467</v>
      </c>
      <c r="K775" s="38" t="s">
        <v>425</v>
      </c>
      <c r="L775" s="52" t="s">
        <v>213</v>
      </c>
      <c r="M775" s="53" t="s">
        <v>213</v>
      </c>
    </row>
    <row r="776" spans="1:13" x14ac:dyDescent="0.3">
      <c r="A776" s="37">
        <v>30</v>
      </c>
      <c r="B776" s="38" t="s">
        <v>466</v>
      </c>
      <c r="C776" s="51">
        <v>7891106908498</v>
      </c>
      <c r="D776" s="40" t="s">
        <v>69</v>
      </c>
      <c r="E776" s="40"/>
      <c r="F776" s="40">
        <v>260</v>
      </c>
      <c r="G776" s="38"/>
      <c r="H776" s="38" t="s">
        <v>470</v>
      </c>
      <c r="I776" s="38" t="s">
        <v>471</v>
      </c>
      <c r="J776" s="38" t="s">
        <v>467</v>
      </c>
      <c r="K776" s="38" t="s">
        <v>472</v>
      </c>
      <c r="L776" s="52" t="s">
        <v>213</v>
      </c>
      <c r="M776" s="53" t="s">
        <v>213</v>
      </c>
    </row>
    <row r="777" spans="1:13" x14ac:dyDescent="0.3">
      <c r="A777" s="37">
        <v>30</v>
      </c>
      <c r="B777" s="38" t="s">
        <v>469</v>
      </c>
      <c r="C777" s="51">
        <v>7891106908498</v>
      </c>
      <c r="D777" s="40" t="s">
        <v>69</v>
      </c>
      <c r="E777" s="40"/>
      <c r="F777" s="40">
        <v>260</v>
      </c>
      <c r="G777" s="38"/>
      <c r="H777" s="38" t="s">
        <v>470</v>
      </c>
      <c r="I777" s="38" t="s">
        <v>471</v>
      </c>
      <c r="J777" s="38" t="s">
        <v>467</v>
      </c>
      <c r="K777" s="38" t="s">
        <v>472</v>
      </c>
      <c r="L777" s="52" t="s">
        <v>213</v>
      </c>
      <c r="M777" s="53" t="s">
        <v>213</v>
      </c>
    </row>
    <row r="778" spans="1:13" x14ac:dyDescent="0.3">
      <c r="A778" s="37">
        <v>30</v>
      </c>
      <c r="B778" s="38" t="s">
        <v>466</v>
      </c>
      <c r="C778" s="51">
        <v>7891106908498</v>
      </c>
      <c r="D778" s="40" t="s">
        <v>69</v>
      </c>
      <c r="E778" s="40"/>
      <c r="F778" s="40">
        <v>271</v>
      </c>
      <c r="G778" s="38"/>
      <c r="H778" s="38" t="s">
        <v>426</v>
      </c>
      <c r="I778" s="38" t="s">
        <v>427</v>
      </c>
      <c r="J778" s="38" t="s">
        <v>467</v>
      </c>
      <c r="K778" s="38" t="s">
        <v>473</v>
      </c>
      <c r="L778" s="52" t="s">
        <v>213</v>
      </c>
      <c r="M778" s="53" t="s">
        <v>213</v>
      </c>
    </row>
    <row r="779" spans="1:13" x14ac:dyDescent="0.3">
      <c r="A779" s="37">
        <v>30</v>
      </c>
      <c r="B779" s="38" t="s">
        <v>469</v>
      </c>
      <c r="C779" s="51">
        <v>7891106908498</v>
      </c>
      <c r="D779" s="40" t="s">
        <v>69</v>
      </c>
      <c r="E779" s="40"/>
      <c r="F779" s="40">
        <v>271</v>
      </c>
      <c r="G779" s="38"/>
      <c r="H779" s="38" t="s">
        <v>426</v>
      </c>
      <c r="I779" s="38" t="s">
        <v>427</v>
      </c>
      <c r="J779" s="38" t="s">
        <v>467</v>
      </c>
      <c r="K779" s="38" t="s">
        <v>473</v>
      </c>
      <c r="L779" s="52" t="s">
        <v>213</v>
      </c>
      <c r="M779" s="53" t="s">
        <v>213</v>
      </c>
    </row>
    <row r="780" spans="1:13" x14ac:dyDescent="0.3">
      <c r="A780" s="37">
        <v>30</v>
      </c>
      <c r="B780" s="38" t="s">
        <v>466</v>
      </c>
      <c r="C780" s="51">
        <v>7891106908498</v>
      </c>
      <c r="D780" s="40" t="s">
        <v>69</v>
      </c>
      <c r="E780" s="40"/>
      <c r="F780" s="40">
        <v>895</v>
      </c>
      <c r="G780" s="38"/>
      <c r="H780" s="38" t="s">
        <v>429</v>
      </c>
      <c r="I780" s="38" t="s">
        <v>405</v>
      </c>
      <c r="J780" s="38" t="s">
        <v>402</v>
      </c>
      <c r="K780" s="38" t="s">
        <v>430</v>
      </c>
      <c r="L780" s="52" t="s">
        <v>213</v>
      </c>
      <c r="M780" s="53" t="s">
        <v>213</v>
      </c>
    </row>
    <row r="781" spans="1:13" x14ac:dyDescent="0.3">
      <c r="A781" s="37">
        <v>30</v>
      </c>
      <c r="B781" s="38" t="s">
        <v>469</v>
      </c>
      <c r="C781" s="51">
        <v>7891106908498</v>
      </c>
      <c r="D781" s="40" t="s">
        <v>69</v>
      </c>
      <c r="E781" s="40"/>
      <c r="F781" s="40">
        <v>895</v>
      </c>
      <c r="G781" s="38"/>
      <c r="H781" s="38" t="s">
        <v>429</v>
      </c>
      <c r="I781" s="38" t="s">
        <v>405</v>
      </c>
      <c r="J781" s="38" t="s">
        <v>402</v>
      </c>
      <c r="K781" s="38" t="s">
        <v>430</v>
      </c>
      <c r="L781" s="52" t="s">
        <v>213</v>
      </c>
      <c r="M781" s="53" t="s">
        <v>213</v>
      </c>
    </row>
    <row r="782" spans="1:13" x14ac:dyDescent="0.3">
      <c r="A782" s="37">
        <v>30</v>
      </c>
      <c r="B782" s="38" t="s">
        <v>466</v>
      </c>
      <c r="C782" s="51">
        <v>7891106908498</v>
      </c>
      <c r="D782" s="40" t="s">
        <v>69</v>
      </c>
      <c r="E782" s="40"/>
      <c r="F782" s="40">
        <v>909</v>
      </c>
      <c r="G782" s="38"/>
      <c r="H782" s="38" t="s">
        <v>431</v>
      </c>
      <c r="I782" s="38" t="s">
        <v>432</v>
      </c>
      <c r="J782" s="38" t="s">
        <v>416</v>
      </c>
      <c r="K782" s="38" t="s">
        <v>474</v>
      </c>
      <c r="L782" s="52" t="s">
        <v>213</v>
      </c>
      <c r="M782" s="53" t="s">
        <v>213</v>
      </c>
    </row>
    <row r="783" spans="1:13" x14ac:dyDescent="0.3">
      <c r="A783" s="37">
        <v>30</v>
      </c>
      <c r="B783" s="38" t="s">
        <v>469</v>
      </c>
      <c r="C783" s="51">
        <v>7891106908498</v>
      </c>
      <c r="D783" s="40" t="s">
        <v>69</v>
      </c>
      <c r="E783" s="40"/>
      <c r="F783" s="40">
        <v>909</v>
      </c>
      <c r="G783" s="38"/>
      <c r="H783" s="38" t="s">
        <v>431</v>
      </c>
      <c r="I783" s="38" t="s">
        <v>432</v>
      </c>
      <c r="J783" s="38" t="s">
        <v>416</v>
      </c>
      <c r="K783" s="38" t="s">
        <v>474</v>
      </c>
      <c r="L783" s="52" t="s">
        <v>213</v>
      </c>
      <c r="M783" s="53" t="s">
        <v>213</v>
      </c>
    </row>
    <row r="784" spans="1:13" x14ac:dyDescent="0.3">
      <c r="A784" s="37">
        <v>30</v>
      </c>
      <c r="B784" s="38" t="s">
        <v>475</v>
      </c>
      <c r="C784" s="51">
        <v>7891106908894</v>
      </c>
      <c r="D784" s="40" t="s">
        <v>69</v>
      </c>
      <c r="E784" s="40"/>
      <c r="F784" s="40">
        <v>197</v>
      </c>
      <c r="G784" s="38"/>
      <c r="H784" s="38" t="s">
        <v>415</v>
      </c>
      <c r="I784" s="38" t="s">
        <v>335</v>
      </c>
      <c r="J784" s="38" t="s">
        <v>467</v>
      </c>
      <c r="K784" s="38" t="s">
        <v>468</v>
      </c>
      <c r="L784" s="52" t="s">
        <v>213</v>
      </c>
      <c r="M784" s="53" t="s">
        <v>213</v>
      </c>
    </row>
    <row r="785" spans="1:13" x14ac:dyDescent="0.3">
      <c r="A785" s="37">
        <v>30</v>
      </c>
      <c r="B785" s="38" t="s">
        <v>476</v>
      </c>
      <c r="C785" s="51">
        <v>7891106908894</v>
      </c>
      <c r="D785" s="40" t="s">
        <v>69</v>
      </c>
      <c r="E785" s="40"/>
      <c r="F785" s="40">
        <v>197</v>
      </c>
      <c r="G785" s="38"/>
      <c r="H785" s="38" t="s">
        <v>415</v>
      </c>
      <c r="I785" s="38" t="s">
        <v>335</v>
      </c>
      <c r="J785" s="38" t="s">
        <v>467</v>
      </c>
      <c r="K785" s="38" t="s">
        <v>468</v>
      </c>
      <c r="L785" s="52" t="s">
        <v>213</v>
      </c>
      <c r="M785" s="53" t="s">
        <v>213</v>
      </c>
    </row>
    <row r="786" spans="1:13" x14ac:dyDescent="0.3">
      <c r="A786" s="37">
        <v>30</v>
      </c>
      <c r="B786" s="38" t="s">
        <v>475</v>
      </c>
      <c r="C786" s="51">
        <v>7891106908894</v>
      </c>
      <c r="D786" s="40" t="s">
        <v>69</v>
      </c>
      <c r="E786" s="40"/>
      <c r="F786" s="40">
        <v>207</v>
      </c>
      <c r="G786" s="38"/>
      <c r="H786" s="38" t="s">
        <v>423</v>
      </c>
      <c r="I786" s="38" t="s">
        <v>424</v>
      </c>
      <c r="J786" s="38" t="s">
        <v>467</v>
      </c>
      <c r="K786" s="38" t="s">
        <v>425</v>
      </c>
      <c r="L786" s="52" t="s">
        <v>213</v>
      </c>
      <c r="M786" s="53" t="s">
        <v>213</v>
      </c>
    </row>
    <row r="787" spans="1:13" x14ac:dyDescent="0.3">
      <c r="A787" s="37">
        <v>30</v>
      </c>
      <c r="B787" s="38" t="s">
        <v>476</v>
      </c>
      <c r="C787" s="51">
        <v>7891106908894</v>
      </c>
      <c r="D787" s="40" t="s">
        <v>69</v>
      </c>
      <c r="E787" s="40"/>
      <c r="F787" s="40">
        <v>207</v>
      </c>
      <c r="G787" s="38"/>
      <c r="H787" s="38" t="s">
        <v>423</v>
      </c>
      <c r="I787" s="38" t="s">
        <v>424</v>
      </c>
      <c r="J787" s="38" t="s">
        <v>467</v>
      </c>
      <c r="K787" s="38" t="s">
        <v>425</v>
      </c>
      <c r="L787" s="52" t="s">
        <v>213</v>
      </c>
      <c r="M787" s="53" t="s">
        <v>213</v>
      </c>
    </row>
    <row r="788" spans="1:13" x14ac:dyDescent="0.3">
      <c r="A788" s="37">
        <v>30</v>
      </c>
      <c r="B788" s="38" t="s">
        <v>475</v>
      </c>
      <c r="C788" s="51">
        <v>7891106908894</v>
      </c>
      <c r="D788" s="40" t="s">
        <v>69</v>
      </c>
      <c r="E788" s="40"/>
      <c r="F788" s="40">
        <v>271</v>
      </c>
      <c r="G788" s="38"/>
      <c r="H788" s="38" t="s">
        <v>426</v>
      </c>
      <c r="I788" s="38" t="s">
        <v>427</v>
      </c>
      <c r="J788" s="38" t="s">
        <v>467</v>
      </c>
      <c r="K788" s="38" t="s">
        <v>473</v>
      </c>
      <c r="L788" s="52" t="s">
        <v>213</v>
      </c>
      <c r="M788" s="53" t="s">
        <v>213</v>
      </c>
    </row>
    <row r="789" spans="1:13" x14ac:dyDescent="0.3">
      <c r="A789" s="37">
        <v>30</v>
      </c>
      <c r="B789" s="38" t="s">
        <v>476</v>
      </c>
      <c r="C789" s="51">
        <v>7891106908894</v>
      </c>
      <c r="D789" s="40" t="s">
        <v>69</v>
      </c>
      <c r="E789" s="40"/>
      <c r="F789" s="40">
        <v>271</v>
      </c>
      <c r="G789" s="38"/>
      <c r="H789" s="38" t="s">
        <v>426</v>
      </c>
      <c r="I789" s="38" t="s">
        <v>427</v>
      </c>
      <c r="J789" s="38" t="s">
        <v>467</v>
      </c>
      <c r="K789" s="38" t="s">
        <v>473</v>
      </c>
      <c r="L789" s="52" t="s">
        <v>213</v>
      </c>
      <c r="M789" s="53" t="s">
        <v>213</v>
      </c>
    </row>
    <row r="790" spans="1:13" x14ac:dyDescent="0.3">
      <c r="A790" s="37">
        <v>30</v>
      </c>
      <c r="B790" s="38" t="s">
        <v>475</v>
      </c>
      <c r="C790" s="51">
        <v>7891106908894</v>
      </c>
      <c r="D790" s="40" t="s">
        <v>69</v>
      </c>
      <c r="E790" s="40"/>
      <c r="F790" s="40">
        <v>896</v>
      </c>
      <c r="G790" s="38"/>
      <c r="H790" s="38" t="s">
        <v>477</v>
      </c>
      <c r="I790" s="38" t="s">
        <v>405</v>
      </c>
      <c r="J790" s="38" t="s">
        <v>402</v>
      </c>
      <c r="K790" s="38" t="s">
        <v>478</v>
      </c>
      <c r="L790" s="52" t="s">
        <v>213</v>
      </c>
      <c r="M790" s="53" t="s">
        <v>213</v>
      </c>
    </row>
    <row r="791" spans="1:13" x14ac:dyDescent="0.3">
      <c r="A791" s="37">
        <v>30</v>
      </c>
      <c r="B791" s="38" t="s">
        <v>476</v>
      </c>
      <c r="C791" s="51">
        <v>7891106908894</v>
      </c>
      <c r="D791" s="40" t="s">
        <v>69</v>
      </c>
      <c r="E791" s="40"/>
      <c r="F791" s="40">
        <v>896</v>
      </c>
      <c r="G791" s="38"/>
      <c r="H791" s="38" t="s">
        <v>477</v>
      </c>
      <c r="I791" s="38" t="s">
        <v>405</v>
      </c>
      <c r="J791" s="38" t="s">
        <v>402</v>
      </c>
      <c r="K791" s="38" t="s">
        <v>478</v>
      </c>
      <c r="L791" s="52" t="s">
        <v>213</v>
      </c>
      <c r="M791" s="53" t="s">
        <v>213</v>
      </c>
    </row>
    <row r="792" spans="1:13" x14ac:dyDescent="0.3">
      <c r="A792" s="37">
        <v>30</v>
      </c>
      <c r="B792" s="38" t="s">
        <v>475</v>
      </c>
      <c r="C792" s="51">
        <v>7891106908894</v>
      </c>
      <c r="D792" s="40" t="s">
        <v>69</v>
      </c>
      <c r="E792" s="40"/>
      <c r="F792" s="40">
        <v>909</v>
      </c>
      <c r="G792" s="38"/>
      <c r="H792" s="38" t="s">
        <v>431</v>
      </c>
      <c r="I792" s="38" t="s">
        <v>432</v>
      </c>
      <c r="J792" s="38" t="s">
        <v>416</v>
      </c>
      <c r="K792" s="38" t="s">
        <v>474</v>
      </c>
      <c r="L792" s="52" t="s">
        <v>213</v>
      </c>
      <c r="M792" s="53" t="s">
        <v>213</v>
      </c>
    </row>
    <row r="793" spans="1:13" x14ac:dyDescent="0.3">
      <c r="A793" s="37">
        <v>30</v>
      </c>
      <c r="B793" s="38" t="s">
        <v>476</v>
      </c>
      <c r="C793" s="51">
        <v>7891106908894</v>
      </c>
      <c r="D793" s="40" t="s">
        <v>69</v>
      </c>
      <c r="E793" s="40"/>
      <c r="F793" s="40">
        <v>909</v>
      </c>
      <c r="G793" s="38"/>
      <c r="H793" s="38" t="s">
        <v>431</v>
      </c>
      <c r="I793" s="38" t="s">
        <v>432</v>
      </c>
      <c r="J793" s="38" t="s">
        <v>416</v>
      </c>
      <c r="K793" s="38" t="s">
        <v>474</v>
      </c>
      <c r="L793" s="52" t="s">
        <v>213</v>
      </c>
      <c r="M793" s="53" t="s">
        <v>213</v>
      </c>
    </row>
    <row r="794" spans="1:13" x14ac:dyDescent="0.3">
      <c r="A794" s="37">
        <v>30</v>
      </c>
      <c r="B794" s="38" t="s">
        <v>479</v>
      </c>
      <c r="C794" s="51">
        <v>7891106911344</v>
      </c>
      <c r="D794" s="40" t="s">
        <v>69</v>
      </c>
      <c r="E794" s="40"/>
      <c r="F794" s="40">
        <v>143</v>
      </c>
      <c r="G794" s="38"/>
      <c r="H794" s="38" t="s">
        <v>457</v>
      </c>
      <c r="I794" s="38" t="s">
        <v>424</v>
      </c>
      <c r="J794" s="38" t="s">
        <v>458</v>
      </c>
      <c r="K794" s="38" t="s">
        <v>459</v>
      </c>
      <c r="L794" s="52" t="s">
        <v>213</v>
      </c>
      <c r="M794" s="53" t="s">
        <v>213</v>
      </c>
    </row>
    <row r="795" spans="1:13" x14ac:dyDescent="0.3">
      <c r="A795" s="37">
        <v>30</v>
      </c>
      <c r="B795" s="38" t="s">
        <v>479</v>
      </c>
      <c r="C795" s="51">
        <v>7891106911344</v>
      </c>
      <c r="D795" s="40" t="s">
        <v>69</v>
      </c>
      <c r="E795" s="40"/>
      <c r="F795" s="40">
        <v>149</v>
      </c>
      <c r="G795" s="38"/>
      <c r="H795" s="38" t="s">
        <v>457</v>
      </c>
      <c r="I795" s="38" t="s">
        <v>480</v>
      </c>
      <c r="J795" s="49" t="s">
        <v>213</v>
      </c>
      <c r="K795" s="38" t="s">
        <v>480</v>
      </c>
      <c r="L795" s="49" t="s">
        <v>213</v>
      </c>
      <c r="M795" s="54" t="s">
        <v>213</v>
      </c>
    </row>
    <row r="796" spans="1:13" x14ac:dyDescent="0.3">
      <c r="A796" s="37">
        <v>30</v>
      </c>
      <c r="B796" s="38" t="s">
        <v>481</v>
      </c>
      <c r="C796" s="51">
        <v>7891106912716</v>
      </c>
      <c r="D796" s="40" t="s">
        <v>69</v>
      </c>
      <c r="E796" s="40"/>
      <c r="F796" s="40">
        <v>912</v>
      </c>
      <c r="G796" s="38"/>
      <c r="H796" s="38" t="s">
        <v>482</v>
      </c>
      <c r="I796" s="38" t="s">
        <v>405</v>
      </c>
      <c r="J796" s="38" t="s">
        <v>483</v>
      </c>
      <c r="K796" s="38" t="s">
        <v>484</v>
      </c>
      <c r="L796" s="52" t="s">
        <v>213</v>
      </c>
      <c r="M796" s="53" t="s">
        <v>213</v>
      </c>
    </row>
    <row r="797" spans="1:13" x14ac:dyDescent="0.3">
      <c r="A797" s="37">
        <v>30</v>
      </c>
      <c r="B797" s="38" t="s">
        <v>414</v>
      </c>
      <c r="C797" s="51">
        <v>7891106914147</v>
      </c>
      <c r="D797" s="40" t="s">
        <v>69</v>
      </c>
      <c r="E797" s="40"/>
      <c r="F797" s="40">
        <v>197</v>
      </c>
      <c r="G797" s="38"/>
      <c r="H797" s="38" t="s">
        <v>415</v>
      </c>
      <c r="I797" s="38" t="s">
        <v>335</v>
      </c>
      <c r="J797" s="38" t="s">
        <v>416</v>
      </c>
      <c r="K797" s="38" t="s">
        <v>417</v>
      </c>
      <c r="L797" s="52" t="s">
        <v>213</v>
      </c>
      <c r="M797" s="53" t="s">
        <v>213</v>
      </c>
    </row>
    <row r="798" spans="1:13" x14ac:dyDescent="0.3">
      <c r="A798" s="37">
        <v>30</v>
      </c>
      <c r="B798" s="38" t="s">
        <v>414</v>
      </c>
      <c r="C798" s="51">
        <v>7891106914147</v>
      </c>
      <c r="D798" s="40" t="s">
        <v>69</v>
      </c>
      <c r="E798" s="40"/>
      <c r="F798" s="40">
        <v>204</v>
      </c>
      <c r="G798" s="38"/>
      <c r="H798" s="38" t="s">
        <v>419</v>
      </c>
      <c r="I798" s="38" t="s">
        <v>420</v>
      </c>
      <c r="J798" s="38" t="s">
        <v>421</v>
      </c>
      <c r="K798" s="38" t="s">
        <v>422</v>
      </c>
      <c r="L798" s="52" t="s">
        <v>213</v>
      </c>
      <c r="M798" s="53" t="s">
        <v>213</v>
      </c>
    </row>
    <row r="799" spans="1:13" x14ac:dyDescent="0.3">
      <c r="A799" s="37">
        <v>30</v>
      </c>
      <c r="B799" s="38" t="s">
        <v>414</v>
      </c>
      <c r="C799" s="51">
        <v>7891106914147</v>
      </c>
      <c r="D799" s="40" t="s">
        <v>69</v>
      </c>
      <c r="E799" s="40"/>
      <c r="F799" s="40">
        <v>207</v>
      </c>
      <c r="G799" s="38"/>
      <c r="H799" s="38" t="s">
        <v>423</v>
      </c>
      <c r="I799" s="38" t="s">
        <v>424</v>
      </c>
      <c r="J799" s="38" t="s">
        <v>416</v>
      </c>
      <c r="K799" s="38" t="s">
        <v>425</v>
      </c>
      <c r="L799" s="52" t="s">
        <v>213</v>
      </c>
      <c r="M799" s="53" t="s">
        <v>213</v>
      </c>
    </row>
    <row r="800" spans="1:13" x14ac:dyDescent="0.3">
      <c r="A800" s="37">
        <v>30</v>
      </c>
      <c r="B800" s="38" t="s">
        <v>414</v>
      </c>
      <c r="C800" s="51">
        <v>7891106914147</v>
      </c>
      <c r="D800" s="40" t="s">
        <v>69</v>
      </c>
      <c r="E800" s="40"/>
      <c r="F800" s="40">
        <v>271</v>
      </c>
      <c r="G800" s="38"/>
      <c r="H800" s="38" t="s">
        <v>426</v>
      </c>
      <c r="I800" s="38" t="s">
        <v>427</v>
      </c>
      <c r="J800" s="38" t="s">
        <v>416</v>
      </c>
      <c r="K800" s="38" t="s">
        <v>428</v>
      </c>
      <c r="L800" s="52" t="s">
        <v>213</v>
      </c>
      <c r="M800" s="53" t="s">
        <v>213</v>
      </c>
    </row>
    <row r="801" spans="1:13" x14ac:dyDescent="0.3">
      <c r="A801" s="37">
        <v>30</v>
      </c>
      <c r="B801" s="38" t="s">
        <v>414</v>
      </c>
      <c r="C801" s="51">
        <v>7891106914147</v>
      </c>
      <c r="D801" s="40" t="s">
        <v>69</v>
      </c>
      <c r="E801" s="40"/>
      <c r="F801" s="40">
        <v>895</v>
      </c>
      <c r="G801" s="38"/>
      <c r="H801" s="38" t="s">
        <v>429</v>
      </c>
      <c r="I801" s="38" t="s">
        <v>405</v>
      </c>
      <c r="J801" s="38" t="s">
        <v>390</v>
      </c>
      <c r="K801" s="38" t="s">
        <v>430</v>
      </c>
      <c r="L801" s="52" t="s">
        <v>213</v>
      </c>
      <c r="M801" s="53" t="s">
        <v>213</v>
      </c>
    </row>
    <row r="802" spans="1:13" x14ac:dyDescent="0.3">
      <c r="A802" s="37">
        <v>30</v>
      </c>
      <c r="B802" s="38" t="s">
        <v>414</v>
      </c>
      <c r="C802" s="51">
        <v>7891106914147</v>
      </c>
      <c r="D802" s="40" t="s">
        <v>69</v>
      </c>
      <c r="E802" s="40"/>
      <c r="F802" s="40">
        <v>909</v>
      </c>
      <c r="G802" s="38"/>
      <c r="H802" s="38" t="s">
        <v>431</v>
      </c>
      <c r="I802" s="38" t="s">
        <v>432</v>
      </c>
      <c r="J802" s="38" t="s">
        <v>416</v>
      </c>
      <c r="K802" s="38" t="s">
        <v>433</v>
      </c>
      <c r="L802" s="52" t="s">
        <v>213</v>
      </c>
      <c r="M802" s="53" t="s">
        <v>213</v>
      </c>
    </row>
    <row r="803" spans="1:13" x14ac:dyDescent="0.3">
      <c r="A803" s="37">
        <v>30</v>
      </c>
      <c r="B803" s="38" t="s">
        <v>475</v>
      </c>
      <c r="C803" s="51">
        <v>7891106914154</v>
      </c>
      <c r="D803" s="40" t="s">
        <v>69</v>
      </c>
      <c r="E803" s="40"/>
      <c r="F803" s="40">
        <v>197</v>
      </c>
      <c r="G803" s="38"/>
      <c r="H803" s="38" t="s">
        <v>415</v>
      </c>
      <c r="I803" s="38" t="s">
        <v>335</v>
      </c>
      <c r="J803" s="38" t="s">
        <v>467</v>
      </c>
      <c r="K803" s="38" t="s">
        <v>468</v>
      </c>
      <c r="L803" s="52" t="s">
        <v>213</v>
      </c>
      <c r="M803" s="53" t="s">
        <v>213</v>
      </c>
    </row>
    <row r="804" spans="1:13" x14ac:dyDescent="0.3">
      <c r="A804" s="37">
        <v>30</v>
      </c>
      <c r="B804" s="38" t="s">
        <v>475</v>
      </c>
      <c r="C804" s="51">
        <v>7891106914154</v>
      </c>
      <c r="D804" s="40" t="s">
        <v>69</v>
      </c>
      <c r="E804" s="40"/>
      <c r="F804" s="40">
        <v>204</v>
      </c>
      <c r="G804" s="38"/>
      <c r="H804" s="38" t="s">
        <v>419</v>
      </c>
      <c r="I804" s="38" t="s">
        <v>420</v>
      </c>
      <c r="J804" s="38" t="s">
        <v>421</v>
      </c>
      <c r="K804" s="38" t="s">
        <v>422</v>
      </c>
      <c r="L804" s="52" t="s">
        <v>213</v>
      </c>
      <c r="M804" s="53" t="s">
        <v>213</v>
      </c>
    </row>
    <row r="805" spans="1:13" x14ac:dyDescent="0.3">
      <c r="A805" s="37">
        <v>30</v>
      </c>
      <c r="B805" s="38" t="s">
        <v>475</v>
      </c>
      <c r="C805" s="51">
        <v>7891106914154</v>
      </c>
      <c r="D805" s="40" t="s">
        <v>69</v>
      </c>
      <c r="E805" s="40"/>
      <c r="F805" s="40">
        <v>207</v>
      </c>
      <c r="G805" s="38"/>
      <c r="H805" s="38" t="s">
        <v>423</v>
      </c>
      <c r="I805" s="38" t="s">
        <v>424</v>
      </c>
      <c r="J805" s="38" t="s">
        <v>467</v>
      </c>
      <c r="K805" s="38" t="s">
        <v>425</v>
      </c>
      <c r="L805" s="52" t="s">
        <v>213</v>
      </c>
      <c r="M805" s="53" t="s">
        <v>213</v>
      </c>
    </row>
    <row r="806" spans="1:13" x14ac:dyDescent="0.3">
      <c r="A806" s="37">
        <v>30</v>
      </c>
      <c r="B806" s="38" t="s">
        <v>475</v>
      </c>
      <c r="C806" s="51">
        <v>7891106914154</v>
      </c>
      <c r="D806" s="40" t="s">
        <v>69</v>
      </c>
      <c r="E806" s="40"/>
      <c r="F806" s="40">
        <v>271</v>
      </c>
      <c r="G806" s="38"/>
      <c r="H806" s="38" t="s">
        <v>426</v>
      </c>
      <c r="I806" s="38" t="s">
        <v>427</v>
      </c>
      <c r="J806" s="38" t="s">
        <v>467</v>
      </c>
      <c r="K806" s="38" t="s">
        <v>473</v>
      </c>
      <c r="L806" s="52" t="s">
        <v>213</v>
      </c>
      <c r="M806" s="53" t="s">
        <v>213</v>
      </c>
    </row>
    <row r="807" spans="1:13" x14ac:dyDescent="0.3">
      <c r="A807" s="37">
        <v>30</v>
      </c>
      <c r="B807" s="38" t="s">
        <v>475</v>
      </c>
      <c r="C807" s="51">
        <v>7891106914154</v>
      </c>
      <c r="D807" s="40" t="s">
        <v>69</v>
      </c>
      <c r="E807" s="40"/>
      <c r="F807" s="40">
        <v>896</v>
      </c>
      <c r="G807" s="38"/>
      <c r="H807" s="38" t="s">
        <v>477</v>
      </c>
      <c r="I807" s="38" t="s">
        <v>405</v>
      </c>
      <c r="J807" s="38" t="s">
        <v>402</v>
      </c>
      <c r="K807" s="38" t="s">
        <v>478</v>
      </c>
      <c r="L807" s="52" t="s">
        <v>213</v>
      </c>
      <c r="M807" s="53" t="s">
        <v>213</v>
      </c>
    </row>
    <row r="808" spans="1:13" x14ac:dyDescent="0.3">
      <c r="A808" s="37">
        <v>30</v>
      </c>
      <c r="B808" s="38" t="s">
        <v>475</v>
      </c>
      <c r="C808" s="51">
        <v>7891106914154</v>
      </c>
      <c r="D808" s="40" t="s">
        <v>69</v>
      </c>
      <c r="E808" s="40"/>
      <c r="F808" s="40">
        <v>909</v>
      </c>
      <c r="G808" s="38"/>
      <c r="H808" s="38" t="s">
        <v>431</v>
      </c>
      <c r="I808" s="38" t="s">
        <v>432</v>
      </c>
      <c r="J808" s="38" t="s">
        <v>416</v>
      </c>
      <c r="K808" s="38" t="s">
        <v>474</v>
      </c>
      <c r="L808" s="52" t="s">
        <v>213</v>
      </c>
      <c r="M808" s="53" t="s">
        <v>213</v>
      </c>
    </row>
    <row r="809" spans="1:13" x14ac:dyDescent="0.3">
      <c r="A809" s="37">
        <v>30</v>
      </c>
      <c r="B809" s="38" t="s">
        <v>466</v>
      </c>
      <c r="C809" s="51">
        <v>7891106914178</v>
      </c>
      <c r="D809" s="40" t="s">
        <v>69</v>
      </c>
      <c r="E809" s="40"/>
      <c r="F809" s="40">
        <v>197</v>
      </c>
      <c r="G809" s="38"/>
      <c r="H809" s="38" t="s">
        <v>415</v>
      </c>
      <c r="I809" s="38" t="s">
        <v>335</v>
      </c>
      <c r="J809" s="38" t="s">
        <v>467</v>
      </c>
      <c r="K809" s="38" t="s">
        <v>468</v>
      </c>
      <c r="L809" s="52" t="s">
        <v>213</v>
      </c>
      <c r="M809" s="53" t="s">
        <v>213</v>
      </c>
    </row>
    <row r="810" spans="1:13" x14ac:dyDescent="0.3">
      <c r="A810" s="37">
        <v>30</v>
      </c>
      <c r="B810" s="38" t="s">
        <v>466</v>
      </c>
      <c r="C810" s="51">
        <v>7891106914178</v>
      </c>
      <c r="D810" s="40" t="s">
        <v>69</v>
      </c>
      <c r="E810" s="40"/>
      <c r="F810" s="40">
        <v>207</v>
      </c>
      <c r="G810" s="38"/>
      <c r="H810" s="38" t="s">
        <v>423</v>
      </c>
      <c r="I810" s="38" t="s">
        <v>424</v>
      </c>
      <c r="J810" s="38" t="s">
        <v>467</v>
      </c>
      <c r="K810" s="38" t="s">
        <v>425</v>
      </c>
      <c r="L810" s="52" t="s">
        <v>213</v>
      </c>
      <c r="M810" s="53" t="s">
        <v>213</v>
      </c>
    </row>
    <row r="811" spans="1:13" x14ac:dyDescent="0.3">
      <c r="A811" s="37">
        <v>30</v>
      </c>
      <c r="B811" s="38" t="s">
        <v>466</v>
      </c>
      <c r="C811" s="51">
        <v>7891106914178</v>
      </c>
      <c r="D811" s="40" t="s">
        <v>69</v>
      </c>
      <c r="E811" s="40"/>
      <c r="F811" s="40">
        <v>271</v>
      </c>
      <c r="G811" s="38"/>
      <c r="H811" s="38" t="s">
        <v>426</v>
      </c>
      <c r="I811" s="38" t="s">
        <v>427</v>
      </c>
      <c r="J811" s="38" t="s">
        <v>467</v>
      </c>
      <c r="K811" s="38" t="s">
        <v>473</v>
      </c>
      <c r="L811" s="52" t="s">
        <v>213</v>
      </c>
      <c r="M811" s="53" t="s">
        <v>213</v>
      </c>
    </row>
    <row r="812" spans="1:13" x14ac:dyDescent="0.3">
      <c r="A812" s="37">
        <v>30</v>
      </c>
      <c r="B812" s="38" t="s">
        <v>466</v>
      </c>
      <c r="C812" s="51">
        <v>7891106914178</v>
      </c>
      <c r="D812" s="40" t="s">
        <v>69</v>
      </c>
      <c r="E812" s="40"/>
      <c r="F812" s="40">
        <v>895</v>
      </c>
      <c r="G812" s="38"/>
      <c r="H812" s="38" t="s">
        <v>429</v>
      </c>
      <c r="I812" s="38" t="s">
        <v>405</v>
      </c>
      <c r="J812" s="38" t="s">
        <v>402</v>
      </c>
      <c r="K812" s="38" t="s">
        <v>430</v>
      </c>
      <c r="L812" s="52" t="s">
        <v>213</v>
      </c>
      <c r="M812" s="53" t="s">
        <v>213</v>
      </c>
    </row>
    <row r="813" spans="1:13" x14ac:dyDescent="0.3">
      <c r="A813" s="37">
        <v>30</v>
      </c>
      <c r="B813" s="38" t="s">
        <v>466</v>
      </c>
      <c r="C813" s="51">
        <v>7891106914178</v>
      </c>
      <c r="D813" s="40" t="s">
        <v>69</v>
      </c>
      <c r="E813" s="40"/>
      <c r="F813" s="40">
        <v>909</v>
      </c>
      <c r="G813" s="38"/>
      <c r="H813" s="38" t="s">
        <v>431</v>
      </c>
      <c r="I813" s="38" t="s">
        <v>432</v>
      </c>
      <c r="J813" s="38" t="s">
        <v>416</v>
      </c>
      <c r="K813" s="38" t="s">
        <v>474</v>
      </c>
      <c r="L813" s="52" t="s">
        <v>213</v>
      </c>
      <c r="M813" s="53" t="s">
        <v>213</v>
      </c>
    </row>
    <row r="814" spans="1:13" x14ac:dyDescent="0.3">
      <c r="A814" s="37">
        <v>56</v>
      </c>
      <c r="B814" s="38" t="s">
        <v>485</v>
      </c>
      <c r="C814" s="51">
        <v>7896112400431</v>
      </c>
      <c r="D814" s="40" t="s">
        <v>66</v>
      </c>
      <c r="E814" s="40"/>
      <c r="F814" s="40">
        <v>829</v>
      </c>
      <c r="G814" s="38"/>
      <c r="H814" s="38" t="s">
        <v>486</v>
      </c>
      <c r="I814" s="38" t="s">
        <v>487</v>
      </c>
      <c r="J814" s="38" t="s">
        <v>488</v>
      </c>
      <c r="K814" s="38" t="s">
        <v>489</v>
      </c>
      <c r="L814" s="52" t="s">
        <v>213</v>
      </c>
      <c r="M814" s="53" t="s">
        <v>213</v>
      </c>
    </row>
    <row r="815" spans="1:13" x14ac:dyDescent="0.3">
      <c r="A815" s="37">
        <v>56</v>
      </c>
      <c r="B815" s="38" t="s">
        <v>27</v>
      </c>
      <c r="C815" s="51">
        <v>7896112400585</v>
      </c>
      <c r="D815" s="40" t="s">
        <v>66</v>
      </c>
      <c r="E815" s="40"/>
      <c r="F815" s="40">
        <v>830</v>
      </c>
      <c r="G815" s="38"/>
      <c r="H815" s="38" t="s">
        <v>490</v>
      </c>
      <c r="I815" s="38" t="s">
        <v>487</v>
      </c>
      <c r="J815" s="38" t="s">
        <v>488</v>
      </c>
      <c r="K815" s="38" t="s">
        <v>491</v>
      </c>
      <c r="L815" s="52" t="s">
        <v>213</v>
      </c>
      <c r="M815" s="53" t="s">
        <v>213</v>
      </c>
    </row>
    <row r="816" spans="1:13" x14ac:dyDescent="0.3">
      <c r="A816" s="37">
        <v>56</v>
      </c>
      <c r="B816" s="38" t="s">
        <v>37</v>
      </c>
      <c r="C816" s="51">
        <v>7896112400592</v>
      </c>
      <c r="D816" s="40" t="s">
        <v>66</v>
      </c>
      <c r="E816" s="40"/>
      <c r="F816" s="40">
        <v>830</v>
      </c>
      <c r="G816" s="38"/>
      <c r="H816" s="38" t="s">
        <v>490</v>
      </c>
      <c r="I816" s="38" t="s">
        <v>487</v>
      </c>
      <c r="J816" s="38" t="s">
        <v>488</v>
      </c>
      <c r="K816" s="38" t="s">
        <v>491</v>
      </c>
      <c r="L816" s="52" t="s">
        <v>213</v>
      </c>
      <c r="M816" s="53" t="s">
        <v>213</v>
      </c>
    </row>
    <row r="817" spans="1:13" x14ac:dyDescent="0.3">
      <c r="A817" s="37">
        <v>56</v>
      </c>
      <c r="B817" s="38" t="s">
        <v>492</v>
      </c>
      <c r="C817" s="51">
        <v>7896112400684</v>
      </c>
      <c r="D817" s="40" t="s">
        <v>66</v>
      </c>
      <c r="E817" s="40"/>
      <c r="F817" s="40">
        <v>567</v>
      </c>
      <c r="G817" s="38"/>
      <c r="H817" s="38" t="s">
        <v>493</v>
      </c>
      <c r="I817" s="38" t="s">
        <v>487</v>
      </c>
      <c r="J817" s="38" t="s">
        <v>488</v>
      </c>
      <c r="K817" s="38" t="s">
        <v>491</v>
      </c>
      <c r="L817" s="52" t="s">
        <v>213</v>
      </c>
      <c r="M817" s="53" t="s">
        <v>213</v>
      </c>
    </row>
    <row r="818" spans="1:13" x14ac:dyDescent="0.3">
      <c r="A818" s="37">
        <v>56</v>
      </c>
      <c r="B818" s="38" t="s">
        <v>494</v>
      </c>
      <c r="C818" s="51">
        <v>7896112400691</v>
      </c>
      <c r="D818" s="40" t="s">
        <v>66</v>
      </c>
      <c r="E818" s="40"/>
      <c r="F818" s="40">
        <v>567</v>
      </c>
      <c r="G818" s="38"/>
      <c r="H818" s="38" t="s">
        <v>493</v>
      </c>
      <c r="I818" s="38" t="s">
        <v>487</v>
      </c>
      <c r="J818" s="38" t="s">
        <v>488</v>
      </c>
      <c r="K818" s="38" t="s">
        <v>491</v>
      </c>
      <c r="L818" s="52" t="s">
        <v>213</v>
      </c>
      <c r="M818" s="53" t="s">
        <v>213</v>
      </c>
    </row>
    <row r="819" spans="1:13" x14ac:dyDescent="0.3">
      <c r="A819" s="37">
        <v>56</v>
      </c>
      <c r="B819" s="38" t="s">
        <v>495</v>
      </c>
      <c r="C819" s="51">
        <v>7896112400707</v>
      </c>
      <c r="D819" s="40" t="s">
        <v>66</v>
      </c>
      <c r="E819" s="40"/>
      <c r="F819" s="40">
        <v>567</v>
      </c>
      <c r="G819" s="38"/>
      <c r="H819" s="38" t="s">
        <v>493</v>
      </c>
      <c r="I819" s="38" t="s">
        <v>487</v>
      </c>
      <c r="J819" s="38" t="s">
        <v>488</v>
      </c>
      <c r="K819" s="38" t="s">
        <v>491</v>
      </c>
      <c r="L819" s="52" t="s">
        <v>213</v>
      </c>
      <c r="M819" s="53" t="s">
        <v>213</v>
      </c>
    </row>
    <row r="820" spans="1:13" x14ac:dyDescent="0.3">
      <c r="A820" s="37">
        <v>56</v>
      </c>
      <c r="B820" s="38" t="s">
        <v>496</v>
      </c>
      <c r="C820" s="51">
        <v>7896112402442</v>
      </c>
      <c r="D820" s="40" t="s">
        <v>66</v>
      </c>
      <c r="E820" s="40"/>
      <c r="F820" s="40">
        <v>810</v>
      </c>
      <c r="G820" s="38"/>
      <c r="H820" s="38" t="s">
        <v>497</v>
      </c>
      <c r="I820" s="38" t="s">
        <v>498</v>
      </c>
      <c r="J820" s="38" t="s">
        <v>499</v>
      </c>
      <c r="K820" s="38" t="s">
        <v>500</v>
      </c>
      <c r="L820" s="52" t="s">
        <v>213</v>
      </c>
      <c r="M820" s="53" t="s">
        <v>213</v>
      </c>
    </row>
    <row r="821" spans="1:13" x14ac:dyDescent="0.3">
      <c r="A821" s="37">
        <v>56</v>
      </c>
      <c r="B821" s="38" t="s">
        <v>501</v>
      </c>
      <c r="C821" s="51">
        <v>7896112412175</v>
      </c>
      <c r="D821" s="40" t="s">
        <v>66</v>
      </c>
      <c r="E821" s="40"/>
      <c r="F821" s="40">
        <v>567</v>
      </c>
      <c r="G821" s="38"/>
      <c r="H821" s="38" t="s">
        <v>493</v>
      </c>
      <c r="I821" s="38" t="s">
        <v>480</v>
      </c>
      <c r="J821" s="49" t="s">
        <v>213</v>
      </c>
      <c r="K821" s="38" t="s">
        <v>480</v>
      </c>
      <c r="L821" s="49" t="s">
        <v>213</v>
      </c>
      <c r="M821" s="54" t="s">
        <v>213</v>
      </c>
    </row>
    <row r="822" spans="1:13" x14ac:dyDescent="0.3">
      <c r="A822" s="37">
        <v>56</v>
      </c>
      <c r="B822" s="38" t="s">
        <v>502</v>
      </c>
      <c r="C822" s="51">
        <v>7896112412335</v>
      </c>
      <c r="D822" s="40" t="s">
        <v>66</v>
      </c>
      <c r="E822" s="40"/>
      <c r="F822" s="40">
        <v>567</v>
      </c>
      <c r="G822" s="38"/>
      <c r="H822" s="38" t="s">
        <v>493</v>
      </c>
      <c r="I822" s="38" t="s">
        <v>480</v>
      </c>
      <c r="J822" s="49" t="s">
        <v>213</v>
      </c>
      <c r="K822" s="38" t="s">
        <v>480</v>
      </c>
      <c r="L822" s="49" t="s">
        <v>213</v>
      </c>
      <c r="M822" s="54" t="s">
        <v>213</v>
      </c>
    </row>
    <row r="823" spans="1:13" x14ac:dyDescent="0.3">
      <c r="A823" s="37">
        <v>56</v>
      </c>
      <c r="B823" s="38" t="s">
        <v>503</v>
      </c>
      <c r="C823" s="51">
        <v>7896112416135</v>
      </c>
      <c r="D823" s="40" t="s">
        <v>66</v>
      </c>
      <c r="E823" s="40"/>
      <c r="F823" s="40">
        <v>566</v>
      </c>
      <c r="G823" s="38"/>
      <c r="H823" s="38" t="s">
        <v>504</v>
      </c>
      <c r="I823" s="38" t="s">
        <v>487</v>
      </c>
      <c r="J823" s="38" t="s">
        <v>488</v>
      </c>
      <c r="K823" s="38" t="s">
        <v>491</v>
      </c>
      <c r="L823" s="52" t="s">
        <v>213</v>
      </c>
      <c r="M823" s="53" t="s">
        <v>213</v>
      </c>
    </row>
    <row r="824" spans="1:13" x14ac:dyDescent="0.3">
      <c r="A824" s="37">
        <v>56</v>
      </c>
      <c r="B824" s="38" t="s">
        <v>505</v>
      </c>
      <c r="C824" s="51">
        <v>7896112416142</v>
      </c>
      <c r="D824" s="40" t="s">
        <v>66</v>
      </c>
      <c r="E824" s="40"/>
      <c r="F824" s="40">
        <v>566</v>
      </c>
      <c r="G824" s="38"/>
      <c r="H824" s="38" t="s">
        <v>504</v>
      </c>
      <c r="I824" s="38" t="s">
        <v>487</v>
      </c>
      <c r="J824" s="38" t="s">
        <v>488</v>
      </c>
      <c r="K824" s="38" t="s">
        <v>491</v>
      </c>
      <c r="L824" s="52" t="s">
        <v>213</v>
      </c>
      <c r="M824" s="53" t="s">
        <v>213</v>
      </c>
    </row>
    <row r="825" spans="1:13" x14ac:dyDescent="0.3">
      <c r="A825" s="37">
        <v>56</v>
      </c>
      <c r="B825" s="38" t="s">
        <v>506</v>
      </c>
      <c r="C825" s="51">
        <v>7896112422525</v>
      </c>
      <c r="D825" s="40" t="s">
        <v>66</v>
      </c>
      <c r="E825" s="40"/>
      <c r="F825" s="40">
        <v>829</v>
      </c>
      <c r="G825" s="38"/>
      <c r="H825" s="38" t="s">
        <v>486</v>
      </c>
      <c r="I825" s="38" t="s">
        <v>487</v>
      </c>
      <c r="J825" s="38" t="s">
        <v>488</v>
      </c>
      <c r="K825" s="38" t="s">
        <v>489</v>
      </c>
      <c r="L825" s="52" t="s">
        <v>213</v>
      </c>
      <c r="M825" s="53" t="s">
        <v>213</v>
      </c>
    </row>
    <row r="826" spans="1:13" x14ac:dyDescent="0.3">
      <c r="A826" s="37">
        <v>56</v>
      </c>
      <c r="B826" s="38" t="s">
        <v>507</v>
      </c>
      <c r="C826" s="51">
        <v>7896112425410</v>
      </c>
      <c r="D826" s="40" t="s">
        <v>66</v>
      </c>
      <c r="E826" s="40"/>
      <c r="F826" s="40">
        <v>568</v>
      </c>
      <c r="G826" s="38"/>
      <c r="H826" s="38" t="s">
        <v>508</v>
      </c>
      <c r="I826" s="38" t="s">
        <v>487</v>
      </c>
      <c r="J826" s="38" t="s">
        <v>488</v>
      </c>
      <c r="K826" s="38" t="s">
        <v>509</v>
      </c>
      <c r="L826" s="52" t="s">
        <v>213</v>
      </c>
      <c r="M826" s="53" t="s">
        <v>213</v>
      </c>
    </row>
    <row r="827" spans="1:13" x14ac:dyDescent="0.3">
      <c r="A827" s="37">
        <v>56</v>
      </c>
      <c r="B827" s="38" t="s">
        <v>510</v>
      </c>
      <c r="C827" s="51">
        <v>7896112425496</v>
      </c>
      <c r="D827" s="40" t="s">
        <v>66</v>
      </c>
      <c r="E827" s="40"/>
      <c r="F827" s="40">
        <v>568</v>
      </c>
      <c r="G827" s="38"/>
      <c r="H827" s="38" t="s">
        <v>508</v>
      </c>
      <c r="I827" s="38" t="s">
        <v>487</v>
      </c>
      <c r="J827" s="38" t="s">
        <v>488</v>
      </c>
      <c r="K827" s="38" t="s">
        <v>491</v>
      </c>
      <c r="L827" s="52" t="s">
        <v>213</v>
      </c>
      <c r="M827" s="53" t="s">
        <v>213</v>
      </c>
    </row>
    <row r="828" spans="1:13" x14ac:dyDescent="0.3">
      <c r="A828" s="37">
        <v>56</v>
      </c>
      <c r="B828" s="38" t="s">
        <v>511</v>
      </c>
      <c r="C828" s="51">
        <v>7896112427735</v>
      </c>
      <c r="D828" s="40" t="s">
        <v>66</v>
      </c>
      <c r="E828" s="40"/>
      <c r="F828" s="40">
        <v>828</v>
      </c>
      <c r="G828" s="38"/>
      <c r="H828" s="38" t="s">
        <v>512</v>
      </c>
      <c r="I828" s="38" t="s">
        <v>487</v>
      </c>
      <c r="J828" s="38" t="s">
        <v>488</v>
      </c>
      <c r="K828" s="38" t="s">
        <v>489</v>
      </c>
      <c r="L828" s="52" t="s">
        <v>213</v>
      </c>
      <c r="M828" s="53" t="s">
        <v>213</v>
      </c>
    </row>
    <row r="829" spans="1:13" x14ac:dyDescent="0.3">
      <c r="A829" s="37">
        <v>56</v>
      </c>
      <c r="B829" s="38" t="s">
        <v>513</v>
      </c>
      <c r="C829" s="51">
        <v>7896112427773</v>
      </c>
      <c r="D829" s="40" t="s">
        <v>66</v>
      </c>
      <c r="E829" s="40"/>
      <c r="F829" s="40">
        <v>828</v>
      </c>
      <c r="G829" s="38"/>
      <c r="H829" s="38" t="s">
        <v>512</v>
      </c>
      <c r="I829" s="38" t="s">
        <v>487</v>
      </c>
      <c r="J829" s="38" t="s">
        <v>488</v>
      </c>
      <c r="K829" s="38" t="s">
        <v>489</v>
      </c>
      <c r="L829" s="52" t="s">
        <v>213</v>
      </c>
      <c r="M829" s="53" t="s">
        <v>213</v>
      </c>
    </row>
    <row r="830" spans="1:13" x14ac:dyDescent="0.3">
      <c r="A830" s="37">
        <v>56</v>
      </c>
      <c r="B830" s="38" t="s">
        <v>514</v>
      </c>
      <c r="C830" s="51">
        <v>7896112427797</v>
      </c>
      <c r="D830" s="40" t="s">
        <v>66</v>
      </c>
      <c r="E830" s="40"/>
      <c r="F830" s="40">
        <v>828</v>
      </c>
      <c r="G830" s="38"/>
      <c r="H830" s="38" t="s">
        <v>512</v>
      </c>
      <c r="I830" s="38" t="s">
        <v>487</v>
      </c>
      <c r="J830" s="38" t="s">
        <v>488</v>
      </c>
      <c r="K830" s="38" t="s">
        <v>489</v>
      </c>
      <c r="L830" s="52" t="s">
        <v>213</v>
      </c>
      <c r="M830" s="53" t="s">
        <v>213</v>
      </c>
    </row>
    <row r="831" spans="1:13" x14ac:dyDescent="0.3">
      <c r="A831" s="37">
        <v>56</v>
      </c>
      <c r="B831" s="38" t="s">
        <v>515</v>
      </c>
      <c r="C831" s="51">
        <v>7896112427933</v>
      </c>
      <c r="D831" s="40" t="s">
        <v>66</v>
      </c>
      <c r="E831" s="40"/>
      <c r="F831" s="40">
        <v>828</v>
      </c>
      <c r="G831" s="38"/>
      <c r="H831" s="38" t="s">
        <v>512</v>
      </c>
      <c r="I831" s="38" t="s">
        <v>487</v>
      </c>
      <c r="J831" s="38" t="s">
        <v>488</v>
      </c>
      <c r="K831" s="38" t="s">
        <v>489</v>
      </c>
      <c r="L831" s="52" t="s">
        <v>213</v>
      </c>
      <c r="M831" s="53" t="s">
        <v>213</v>
      </c>
    </row>
    <row r="832" spans="1:13" x14ac:dyDescent="0.3">
      <c r="A832" s="37">
        <v>56</v>
      </c>
      <c r="B832" s="38" t="s">
        <v>516</v>
      </c>
      <c r="C832" s="51">
        <v>7896112428015</v>
      </c>
      <c r="D832" s="40" t="s">
        <v>66</v>
      </c>
      <c r="E832" s="40"/>
      <c r="F832" s="40">
        <v>828</v>
      </c>
      <c r="G832" s="38"/>
      <c r="H832" s="38" t="s">
        <v>512</v>
      </c>
      <c r="I832" s="38" t="s">
        <v>487</v>
      </c>
      <c r="J832" s="38" t="s">
        <v>488</v>
      </c>
      <c r="K832" s="38" t="s">
        <v>489</v>
      </c>
      <c r="L832" s="52" t="s">
        <v>213</v>
      </c>
      <c r="M832" s="53" t="s">
        <v>213</v>
      </c>
    </row>
    <row r="833" spans="1:13" x14ac:dyDescent="0.3">
      <c r="A833" s="37">
        <v>56</v>
      </c>
      <c r="B833" s="38" t="s">
        <v>517</v>
      </c>
      <c r="C833" s="51">
        <v>7896112435778</v>
      </c>
      <c r="D833" s="40" t="s">
        <v>66</v>
      </c>
      <c r="E833" s="40"/>
      <c r="F833" s="40">
        <v>828</v>
      </c>
      <c r="G833" s="38"/>
      <c r="H833" s="38" t="s">
        <v>512</v>
      </c>
      <c r="I833" s="38" t="s">
        <v>487</v>
      </c>
      <c r="J833" s="38" t="s">
        <v>488</v>
      </c>
      <c r="K833" s="38" t="s">
        <v>489</v>
      </c>
      <c r="L833" s="52" t="s">
        <v>213</v>
      </c>
      <c r="M833" s="53" t="s">
        <v>213</v>
      </c>
    </row>
    <row r="834" spans="1:13" x14ac:dyDescent="0.3">
      <c r="A834" s="37">
        <v>56</v>
      </c>
      <c r="B834" s="38" t="s">
        <v>518</v>
      </c>
      <c r="C834" s="51">
        <v>7896112470526</v>
      </c>
      <c r="D834" s="40" t="s">
        <v>66</v>
      </c>
      <c r="E834" s="40"/>
      <c r="F834" s="40">
        <v>829</v>
      </c>
      <c r="G834" s="38"/>
      <c r="H834" s="38" t="s">
        <v>486</v>
      </c>
      <c r="I834" s="38" t="s">
        <v>487</v>
      </c>
      <c r="J834" s="38" t="s">
        <v>488</v>
      </c>
      <c r="K834" s="38" t="s">
        <v>489</v>
      </c>
      <c r="L834" s="52" t="s">
        <v>213</v>
      </c>
      <c r="M834" s="53" t="s">
        <v>213</v>
      </c>
    </row>
    <row r="835" spans="1:13" x14ac:dyDescent="0.3">
      <c r="A835" s="37">
        <v>56</v>
      </c>
      <c r="B835" s="38" t="s">
        <v>519</v>
      </c>
      <c r="C835" s="51">
        <v>7896112470830</v>
      </c>
      <c r="D835" s="40" t="s">
        <v>66</v>
      </c>
      <c r="E835" s="40"/>
      <c r="F835" s="40">
        <v>829</v>
      </c>
      <c r="G835" s="38"/>
      <c r="H835" s="38" t="s">
        <v>486</v>
      </c>
      <c r="I835" s="38" t="s">
        <v>487</v>
      </c>
      <c r="J835" s="38" t="s">
        <v>488</v>
      </c>
      <c r="K835" s="38" t="s">
        <v>489</v>
      </c>
      <c r="L835" s="52" t="s">
        <v>213</v>
      </c>
      <c r="M835" s="53" t="s">
        <v>213</v>
      </c>
    </row>
    <row r="836" spans="1:13" x14ac:dyDescent="0.3">
      <c r="A836" s="37">
        <v>56</v>
      </c>
      <c r="B836" s="38" t="s">
        <v>520</v>
      </c>
      <c r="C836" s="51">
        <v>7896112471165</v>
      </c>
      <c r="D836" s="40" t="s">
        <v>66</v>
      </c>
      <c r="E836" s="40"/>
      <c r="F836" s="40">
        <v>829</v>
      </c>
      <c r="G836" s="38"/>
      <c r="H836" s="38" t="s">
        <v>486</v>
      </c>
      <c r="I836" s="38" t="s">
        <v>487</v>
      </c>
      <c r="J836" s="38" t="s">
        <v>488</v>
      </c>
      <c r="K836" s="38" t="s">
        <v>489</v>
      </c>
      <c r="L836" s="52" t="s">
        <v>213</v>
      </c>
      <c r="M836" s="53" t="s">
        <v>213</v>
      </c>
    </row>
    <row r="837" spans="1:13" x14ac:dyDescent="0.3">
      <c r="A837" s="37">
        <v>56</v>
      </c>
      <c r="B837" s="38" t="s">
        <v>521</v>
      </c>
      <c r="C837" s="51">
        <v>7896241248430</v>
      </c>
      <c r="D837" s="40" t="s">
        <v>66</v>
      </c>
      <c r="E837" s="40"/>
      <c r="F837" s="40">
        <v>566</v>
      </c>
      <c r="G837" s="38"/>
      <c r="H837" s="38" t="s">
        <v>504</v>
      </c>
      <c r="I837" s="38" t="s">
        <v>487</v>
      </c>
      <c r="J837" s="38" t="s">
        <v>488</v>
      </c>
      <c r="K837" s="38" t="s">
        <v>491</v>
      </c>
      <c r="L837" s="52" t="s">
        <v>213</v>
      </c>
      <c r="M837" s="53" t="s">
        <v>213</v>
      </c>
    </row>
    <row r="838" spans="1:13" x14ac:dyDescent="0.3">
      <c r="A838" s="37">
        <v>56</v>
      </c>
      <c r="B838" s="38" t="s">
        <v>522</v>
      </c>
      <c r="C838" s="51">
        <v>7898146828229</v>
      </c>
      <c r="D838" s="40" t="s">
        <v>66</v>
      </c>
      <c r="E838" s="40"/>
      <c r="F838" s="40">
        <v>902</v>
      </c>
      <c r="G838" s="38"/>
      <c r="H838" s="38" t="s">
        <v>523</v>
      </c>
      <c r="I838" s="38" t="s">
        <v>487</v>
      </c>
      <c r="J838" s="38" t="s">
        <v>488</v>
      </c>
      <c r="K838" s="38" t="s">
        <v>491</v>
      </c>
      <c r="L838" s="52" t="s">
        <v>213</v>
      </c>
      <c r="M838" s="53" t="s">
        <v>213</v>
      </c>
    </row>
    <row r="839" spans="1:13" x14ac:dyDescent="0.3">
      <c r="A839" s="37">
        <v>56</v>
      </c>
      <c r="B839" s="38" t="s">
        <v>524</v>
      </c>
      <c r="C839" s="51">
        <v>7898146828311</v>
      </c>
      <c r="D839" s="40" t="s">
        <v>66</v>
      </c>
      <c r="E839" s="40"/>
      <c r="F839" s="40">
        <v>902</v>
      </c>
      <c r="G839" s="38"/>
      <c r="H839" s="38" t="s">
        <v>523</v>
      </c>
      <c r="I839" s="38" t="s">
        <v>487</v>
      </c>
      <c r="J839" s="38" t="s">
        <v>488</v>
      </c>
      <c r="K839" s="38" t="s">
        <v>491</v>
      </c>
      <c r="L839" s="52" t="s">
        <v>213</v>
      </c>
      <c r="M839" s="53" t="s">
        <v>213</v>
      </c>
    </row>
    <row r="840" spans="1:13" x14ac:dyDescent="0.3">
      <c r="A840" s="37">
        <v>56</v>
      </c>
      <c r="B840" s="38" t="s">
        <v>525</v>
      </c>
      <c r="C840" s="51">
        <v>7898146828403</v>
      </c>
      <c r="D840" s="40" t="s">
        <v>66</v>
      </c>
      <c r="E840" s="40"/>
      <c r="F840" s="40">
        <v>902</v>
      </c>
      <c r="G840" s="38"/>
      <c r="H840" s="38" t="s">
        <v>523</v>
      </c>
      <c r="I840" s="38" t="s">
        <v>487</v>
      </c>
      <c r="J840" s="38" t="s">
        <v>488</v>
      </c>
      <c r="K840" s="38" t="s">
        <v>491</v>
      </c>
      <c r="L840" s="52" t="s">
        <v>213</v>
      </c>
      <c r="M840" s="53" t="s">
        <v>213</v>
      </c>
    </row>
    <row r="841" spans="1:13" x14ac:dyDescent="0.3">
      <c r="A841" s="37">
        <v>56</v>
      </c>
      <c r="B841" s="38" t="s">
        <v>526</v>
      </c>
      <c r="C841" s="51">
        <v>7898549757133</v>
      </c>
      <c r="D841" s="40" t="s">
        <v>66</v>
      </c>
      <c r="E841" s="40"/>
      <c r="F841" s="40">
        <v>973</v>
      </c>
      <c r="G841" s="38"/>
      <c r="H841" s="38" t="s">
        <v>527</v>
      </c>
      <c r="I841" s="38" t="s">
        <v>487</v>
      </c>
      <c r="J841" s="38" t="s">
        <v>488</v>
      </c>
      <c r="K841" s="38" t="s">
        <v>491</v>
      </c>
      <c r="L841" s="52" t="s">
        <v>213</v>
      </c>
      <c r="M841" s="53" t="s">
        <v>213</v>
      </c>
    </row>
    <row r="842" spans="1:13" x14ac:dyDescent="0.3">
      <c r="A842" s="37">
        <v>56</v>
      </c>
      <c r="B842" s="38" t="s">
        <v>528</v>
      </c>
      <c r="C842" s="51">
        <v>7899551309259</v>
      </c>
      <c r="D842" s="40" t="s">
        <v>66</v>
      </c>
      <c r="E842" s="40"/>
      <c r="F842" s="40">
        <v>931</v>
      </c>
      <c r="G842" s="38"/>
      <c r="H842" s="38" t="s">
        <v>529</v>
      </c>
      <c r="I842" s="38" t="s">
        <v>498</v>
      </c>
      <c r="J842" s="38" t="s">
        <v>499</v>
      </c>
      <c r="K842" s="38" t="s">
        <v>530</v>
      </c>
      <c r="L842" s="52" t="s">
        <v>213</v>
      </c>
      <c r="M842" s="53" t="s">
        <v>213</v>
      </c>
    </row>
    <row r="843" spans="1:13" x14ac:dyDescent="0.3">
      <c r="A843" s="37">
        <v>85</v>
      </c>
      <c r="B843" s="38" t="s">
        <v>531</v>
      </c>
      <c r="C843" s="51">
        <v>7898616360082</v>
      </c>
      <c r="D843" s="40" t="s">
        <v>72</v>
      </c>
      <c r="E843" s="40"/>
      <c r="F843" s="40">
        <v>990</v>
      </c>
      <c r="G843" s="38"/>
      <c r="H843" s="38" t="s">
        <v>532</v>
      </c>
      <c r="I843" s="38" t="s">
        <v>487</v>
      </c>
      <c r="J843" s="38" t="s">
        <v>499</v>
      </c>
      <c r="K843" s="38" t="s">
        <v>533</v>
      </c>
      <c r="L843" s="52" t="s">
        <v>213</v>
      </c>
      <c r="M843" s="53" t="s">
        <v>213</v>
      </c>
    </row>
    <row r="844" spans="1:13" x14ac:dyDescent="0.3">
      <c r="A844" s="37">
        <v>85</v>
      </c>
      <c r="B844" s="38" t="s">
        <v>531</v>
      </c>
      <c r="C844" s="51">
        <v>7898616360082</v>
      </c>
      <c r="D844" s="40" t="s">
        <v>72</v>
      </c>
      <c r="E844" s="40"/>
      <c r="F844" s="40">
        <v>991</v>
      </c>
      <c r="G844" s="38"/>
      <c r="H844" s="38" t="s">
        <v>534</v>
      </c>
      <c r="I844" s="38" t="s">
        <v>487</v>
      </c>
      <c r="J844" s="38" t="s">
        <v>499</v>
      </c>
      <c r="K844" s="38" t="s">
        <v>533</v>
      </c>
      <c r="L844" s="52" t="s">
        <v>213</v>
      </c>
      <c r="M844" s="53" t="s">
        <v>213</v>
      </c>
    </row>
    <row r="845" spans="1:13" x14ac:dyDescent="0.3">
      <c r="A845" s="37">
        <v>85</v>
      </c>
      <c r="B845" s="38" t="s">
        <v>535</v>
      </c>
      <c r="C845" s="51">
        <v>7898616360150</v>
      </c>
      <c r="D845" s="40" t="s">
        <v>72</v>
      </c>
      <c r="E845" s="40"/>
      <c r="F845" s="40">
        <v>957</v>
      </c>
      <c r="G845" s="38"/>
      <c r="H845" s="38" t="s">
        <v>536</v>
      </c>
      <c r="I845" s="38" t="s">
        <v>487</v>
      </c>
      <c r="J845" s="38" t="s">
        <v>323</v>
      </c>
      <c r="K845" s="38" t="s">
        <v>537</v>
      </c>
      <c r="L845" s="52" t="s">
        <v>213</v>
      </c>
      <c r="M845" s="53" t="s">
        <v>213</v>
      </c>
    </row>
    <row r="846" spans="1:13" x14ac:dyDescent="0.3">
      <c r="A846" s="37">
        <v>85</v>
      </c>
      <c r="B846" s="38" t="s">
        <v>535</v>
      </c>
      <c r="C846" s="51">
        <v>7898616360150</v>
      </c>
      <c r="D846" s="40" t="s">
        <v>72</v>
      </c>
      <c r="E846" s="40"/>
      <c r="F846" s="40">
        <v>982</v>
      </c>
      <c r="G846" s="38"/>
      <c r="H846" s="38" t="s">
        <v>538</v>
      </c>
      <c r="I846" s="38" t="s">
        <v>539</v>
      </c>
      <c r="J846" s="38" t="s">
        <v>499</v>
      </c>
      <c r="K846" s="38" t="s">
        <v>540</v>
      </c>
      <c r="L846" s="52" t="s">
        <v>213</v>
      </c>
      <c r="M846" s="53" t="s">
        <v>213</v>
      </c>
    </row>
    <row r="847" spans="1:13" x14ac:dyDescent="0.3">
      <c r="A847" s="37">
        <v>85</v>
      </c>
      <c r="B847" s="38" t="s">
        <v>541</v>
      </c>
      <c r="C847" s="51">
        <v>7898616360167</v>
      </c>
      <c r="D847" s="40" t="s">
        <v>72</v>
      </c>
      <c r="E847" s="40"/>
      <c r="F847" s="40">
        <v>982</v>
      </c>
      <c r="G847" s="38"/>
      <c r="H847" s="38" t="s">
        <v>538</v>
      </c>
      <c r="I847" s="38" t="s">
        <v>539</v>
      </c>
      <c r="J847" s="55" t="s">
        <v>499</v>
      </c>
      <c r="K847" s="55" t="s">
        <v>540</v>
      </c>
      <c r="L847" s="52" t="s">
        <v>213</v>
      </c>
      <c r="M847" s="53" t="s">
        <v>213</v>
      </c>
    </row>
    <row r="848" spans="1:13" x14ac:dyDescent="0.3">
      <c r="A848" s="37">
        <v>85</v>
      </c>
      <c r="B848" s="38" t="s">
        <v>541</v>
      </c>
      <c r="C848" s="51">
        <v>7898616360167</v>
      </c>
      <c r="D848" s="40" t="s">
        <v>72</v>
      </c>
      <c r="E848" s="40"/>
      <c r="F848" s="40">
        <v>957</v>
      </c>
      <c r="G848" s="38"/>
      <c r="H848" s="38" t="s">
        <v>536</v>
      </c>
      <c r="I848" s="38" t="s">
        <v>487</v>
      </c>
      <c r="J848" s="38" t="s">
        <v>323</v>
      </c>
      <c r="K848" s="38" t="s">
        <v>542</v>
      </c>
      <c r="L848" s="52" t="s">
        <v>213</v>
      </c>
      <c r="M848" s="53" t="s">
        <v>213</v>
      </c>
    </row>
    <row r="849" spans="1:13" x14ac:dyDescent="0.3">
      <c r="A849" s="37">
        <v>85</v>
      </c>
      <c r="B849" s="38" t="s">
        <v>543</v>
      </c>
      <c r="C849" s="51">
        <v>7898616360204</v>
      </c>
      <c r="D849" s="40" t="s">
        <v>72</v>
      </c>
      <c r="E849" s="40"/>
      <c r="F849" s="40">
        <v>957</v>
      </c>
      <c r="G849" s="38"/>
      <c r="H849" s="38" t="s">
        <v>536</v>
      </c>
      <c r="I849" s="38" t="s">
        <v>487</v>
      </c>
      <c r="J849" s="38" t="s">
        <v>323</v>
      </c>
      <c r="K849" s="38" t="s">
        <v>537</v>
      </c>
      <c r="L849" s="52" t="s">
        <v>213</v>
      </c>
      <c r="M849" s="53" t="s">
        <v>213</v>
      </c>
    </row>
    <row r="850" spans="1:13" x14ac:dyDescent="0.3">
      <c r="A850" s="37">
        <v>85</v>
      </c>
      <c r="B850" s="38" t="s">
        <v>543</v>
      </c>
      <c r="C850" s="51">
        <v>7898616360204</v>
      </c>
      <c r="D850" s="40" t="s">
        <v>72</v>
      </c>
      <c r="E850" s="40"/>
      <c r="F850" s="40">
        <v>982</v>
      </c>
      <c r="G850" s="38"/>
      <c r="H850" s="38" t="s">
        <v>538</v>
      </c>
      <c r="I850" s="38" t="s">
        <v>539</v>
      </c>
      <c r="J850" s="38" t="s">
        <v>499</v>
      </c>
      <c r="K850" s="38" t="s">
        <v>540</v>
      </c>
      <c r="L850" s="52" t="s">
        <v>213</v>
      </c>
      <c r="M850" s="53" t="s">
        <v>213</v>
      </c>
    </row>
    <row r="851" spans="1:13" x14ac:dyDescent="0.3">
      <c r="A851" s="37">
        <v>85</v>
      </c>
      <c r="B851" s="38" t="s">
        <v>42</v>
      </c>
      <c r="C851" s="51">
        <v>7898616360563</v>
      </c>
      <c r="D851" s="40" t="s">
        <v>72</v>
      </c>
      <c r="E851" s="40"/>
      <c r="F851" s="40">
        <v>980</v>
      </c>
      <c r="G851" s="38"/>
      <c r="H851" s="38" t="s">
        <v>544</v>
      </c>
      <c r="I851" s="38" t="s">
        <v>545</v>
      </c>
      <c r="J851" s="38" t="s">
        <v>499</v>
      </c>
      <c r="K851" s="38" t="s">
        <v>546</v>
      </c>
      <c r="L851" s="52" t="s">
        <v>213</v>
      </c>
      <c r="M851" s="53" t="s">
        <v>213</v>
      </c>
    </row>
    <row r="852" spans="1:13" x14ac:dyDescent="0.3">
      <c r="A852" s="37">
        <v>76</v>
      </c>
      <c r="B852" s="38" t="s">
        <v>547</v>
      </c>
      <c r="C852" s="51">
        <v>7896026302999</v>
      </c>
      <c r="D852" s="40" t="s">
        <v>71</v>
      </c>
      <c r="E852" s="40"/>
      <c r="F852" s="40">
        <v>287</v>
      </c>
      <c r="G852" s="38"/>
      <c r="H852" s="38" t="s">
        <v>548</v>
      </c>
      <c r="I852" s="38" t="s">
        <v>351</v>
      </c>
      <c r="J852" s="38" t="s">
        <v>549</v>
      </c>
      <c r="K852" s="38" t="s">
        <v>550</v>
      </c>
      <c r="L852" s="52" t="s">
        <v>213</v>
      </c>
      <c r="M852" s="53" t="s">
        <v>213</v>
      </c>
    </row>
    <row r="853" spans="1:13" x14ac:dyDescent="0.3">
      <c r="A853" s="37">
        <v>76</v>
      </c>
      <c r="B853" s="38" t="s">
        <v>547</v>
      </c>
      <c r="C853" s="51">
        <v>7896026302999</v>
      </c>
      <c r="D853" s="40" t="s">
        <v>71</v>
      </c>
      <c r="E853" s="40"/>
      <c r="F853" s="40">
        <v>950</v>
      </c>
      <c r="G853" s="38"/>
      <c r="H853" s="38" t="s">
        <v>551</v>
      </c>
      <c r="I853" s="38" t="s">
        <v>322</v>
      </c>
      <c r="J853" s="38" t="s">
        <v>552</v>
      </c>
      <c r="K853" s="38" t="s">
        <v>553</v>
      </c>
      <c r="L853" s="52" t="s">
        <v>213</v>
      </c>
      <c r="M853" s="53" t="s">
        <v>213</v>
      </c>
    </row>
    <row r="854" spans="1:13" x14ac:dyDescent="0.3">
      <c r="A854" s="37">
        <v>76</v>
      </c>
      <c r="B854" s="38" t="s">
        <v>38</v>
      </c>
      <c r="C854" s="51">
        <v>7896026304016</v>
      </c>
      <c r="D854" s="40" t="s">
        <v>71</v>
      </c>
      <c r="E854" s="40"/>
      <c r="F854" s="40">
        <v>843</v>
      </c>
      <c r="G854" s="38"/>
      <c r="H854" s="38" t="s">
        <v>554</v>
      </c>
      <c r="I854" s="38" t="s">
        <v>88</v>
      </c>
      <c r="J854" s="38" t="s">
        <v>488</v>
      </c>
      <c r="K854" s="38" t="s">
        <v>555</v>
      </c>
      <c r="L854" s="52" t="s">
        <v>213</v>
      </c>
      <c r="M854" s="53" t="s">
        <v>213</v>
      </c>
    </row>
    <row r="855" spans="1:13" x14ac:dyDescent="0.3">
      <c r="A855" s="37">
        <v>76</v>
      </c>
      <c r="B855" s="38" t="s">
        <v>38</v>
      </c>
      <c r="C855" s="51">
        <v>7896026304016</v>
      </c>
      <c r="D855" s="40" t="s">
        <v>71</v>
      </c>
      <c r="E855" s="40"/>
      <c r="F855" s="40">
        <v>849</v>
      </c>
      <c r="G855" s="38"/>
      <c r="H855" s="38" t="s">
        <v>556</v>
      </c>
      <c r="I855" s="38" t="s">
        <v>88</v>
      </c>
      <c r="J855" s="38" t="s">
        <v>557</v>
      </c>
      <c r="K855" s="38" t="s">
        <v>555</v>
      </c>
      <c r="L855" s="52" t="s">
        <v>213</v>
      </c>
      <c r="M855" s="53" t="s">
        <v>213</v>
      </c>
    </row>
    <row r="856" spans="1:13" x14ac:dyDescent="0.3">
      <c r="A856" s="37">
        <v>76</v>
      </c>
      <c r="B856" s="38" t="s">
        <v>38</v>
      </c>
      <c r="C856" s="51">
        <v>7896026304016</v>
      </c>
      <c r="D856" s="40" t="s">
        <v>71</v>
      </c>
      <c r="E856" s="40"/>
      <c r="F856" s="40">
        <v>853</v>
      </c>
      <c r="G856" s="38"/>
      <c r="H856" s="38" t="s">
        <v>558</v>
      </c>
      <c r="I856" s="38" t="s">
        <v>88</v>
      </c>
      <c r="J856" s="38" t="s">
        <v>559</v>
      </c>
      <c r="K856" s="38" t="s">
        <v>555</v>
      </c>
      <c r="L856" s="52" t="s">
        <v>213</v>
      </c>
      <c r="M856" s="53" t="s">
        <v>213</v>
      </c>
    </row>
    <row r="857" spans="1:13" x14ac:dyDescent="0.3">
      <c r="A857" s="37">
        <v>76</v>
      </c>
      <c r="B857" s="38" t="s">
        <v>560</v>
      </c>
      <c r="C857" s="51">
        <v>7896026304245</v>
      </c>
      <c r="D857" s="40" t="s">
        <v>71</v>
      </c>
      <c r="E857" s="40"/>
      <c r="F857" s="40">
        <v>844</v>
      </c>
      <c r="G857" s="38"/>
      <c r="H857" s="38" t="s">
        <v>561</v>
      </c>
      <c r="I857" s="38" t="s">
        <v>88</v>
      </c>
      <c r="J857" s="38" t="s">
        <v>488</v>
      </c>
      <c r="K857" s="38" t="s">
        <v>562</v>
      </c>
      <c r="L857" s="52" t="s">
        <v>213</v>
      </c>
      <c r="M857" s="53" t="s">
        <v>213</v>
      </c>
    </row>
    <row r="858" spans="1:13" x14ac:dyDescent="0.3">
      <c r="A858" s="37">
        <v>76</v>
      </c>
      <c r="B858" s="38" t="s">
        <v>563</v>
      </c>
      <c r="C858" s="51">
        <v>7896026304245</v>
      </c>
      <c r="D858" s="40" t="s">
        <v>71</v>
      </c>
      <c r="E858" s="40"/>
      <c r="F858" s="40">
        <v>844</v>
      </c>
      <c r="G858" s="38"/>
      <c r="H858" s="38" t="s">
        <v>561</v>
      </c>
      <c r="I858" s="38" t="s">
        <v>88</v>
      </c>
      <c r="J858" s="38" t="s">
        <v>488</v>
      </c>
      <c r="K858" s="38" t="s">
        <v>562</v>
      </c>
      <c r="L858" s="52" t="s">
        <v>213</v>
      </c>
      <c r="M858" s="53" t="s">
        <v>213</v>
      </c>
    </row>
    <row r="859" spans="1:13" x14ac:dyDescent="0.3">
      <c r="A859" s="37">
        <v>76</v>
      </c>
      <c r="B859" s="38" t="s">
        <v>560</v>
      </c>
      <c r="C859" s="51">
        <v>7896026304245</v>
      </c>
      <c r="D859" s="40" t="s">
        <v>71</v>
      </c>
      <c r="E859" s="40"/>
      <c r="F859" s="40">
        <v>850</v>
      </c>
      <c r="G859" s="38"/>
      <c r="H859" s="38" t="s">
        <v>564</v>
      </c>
      <c r="I859" s="38" t="s">
        <v>88</v>
      </c>
      <c r="J859" s="38" t="s">
        <v>557</v>
      </c>
      <c r="K859" s="38" t="s">
        <v>562</v>
      </c>
      <c r="L859" s="52" t="s">
        <v>213</v>
      </c>
      <c r="M859" s="53" t="s">
        <v>213</v>
      </c>
    </row>
    <row r="860" spans="1:13" x14ac:dyDescent="0.3">
      <c r="A860" s="37">
        <v>76</v>
      </c>
      <c r="B860" s="38" t="s">
        <v>563</v>
      </c>
      <c r="C860" s="51">
        <v>7896026304245</v>
      </c>
      <c r="D860" s="40" t="s">
        <v>71</v>
      </c>
      <c r="E860" s="40"/>
      <c r="F860" s="40">
        <v>850</v>
      </c>
      <c r="G860" s="38"/>
      <c r="H860" s="38" t="s">
        <v>564</v>
      </c>
      <c r="I860" s="38" t="s">
        <v>88</v>
      </c>
      <c r="J860" s="38" t="s">
        <v>557</v>
      </c>
      <c r="K860" s="38" t="s">
        <v>562</v>
      </c>
      <c r="L860" s="52" t="s">
        <v>213</v>
      </c>
      <c r="M860" s="53" t="s">
        <v>213</v>
      </c>
    </row>
    <row r="861" spans="1:13" x14ac:dyDescent="0.3">
      <c r="A861" s="37">
        <v>76</v>
      </c>
      <c r="B861" s="38" t="s">
        <v>560</v>
      </c>
      <c r="C861" s="51">
        <v>7896026304245</v>
      </c>
      <c r="D861" s="40" t="s">
        <v>71</v>
      </c>
      <c r="E861" s="40"/>
      <c r="F861" s="40">
        <v>854</v>
      </c>
      <c r="G861" s="38"/>
      <c r="H861" s="38" t="s">
        <v>565</v>
      </c>
      <c r="I861" s="38" t="s">
        <v>88</v>
      </c>
      <c r="J861" s="38" t="s">
        <v>559</v>
      </c>
      <c r="K861" s="38" t="s">
        <v>562</v>
      </c>
      <c r="L861" s="52" t="s">
        <v>213</v>
      </c>
      <c r="M861" s="53" t="s">
        <v>213</v>
      </c>
    </row>
    <row r="862" spans="1:13" x14ac:dyDescent="0.3">
      <c r="A862" s="37">
        <v>76</v>
      </c>
      <c r="B862" s="38" t="s">
        <v>563</v>
      </c>
      <c r="C862" s="51">
        <v>7896026304245</v>
      </c>
      <c r="D862" s="40" t="s">
        <v>71</v>
      </c>
      <c r="E862" s="40"/>
      <c r="F862" s="40">
        <v>854</v>
      </c>
      <c r="G862" s="38"/>
      <c r="H862" s="38" t="s">
        <v>565</v>
      </c>
      <c r="I862" s="38" t="s">
        <v>88</v>
      </c>
      <c r="J862" s="38" t="s">
        <v>559</v>
      </c>
      <c r="K862" s="38" t="s">
        <v>562</v>
      </c>
      <c r="L862" s="52" t="s">
        <v>213</v>
      </c>
      <c r="M862" s="53" t="s">
        <v>213</v>
      </c>
    </row>
    <row r="863" spans="1:13" x14ac:dyDescent="0.3">
      <c r="A863" s="37">
        <v>76</v>
      </c>
      <c r="B863" s="38" t="s">
        <v>566</v>
      </c>
      <c r="C863" s="51">
        <v>7896026304276</v>
      </c>
      <c r="D863" s="40" t="s">
        <v>71</v>
      </c>
      <c r="E863" s="40"/>
      <c r="F863" s="40">
        <v>844</v>
      </c>
      <c r="G863" s="38"/>
      <c r="H863" s="38" t="s">
        <v>561</v>
      </c>
      <c r="I863" s="38" t="s">
        <v>88</v>
      </c>
      <c r="J863" s="38" t="s">
        <v>488</v>
      </c>
      <c r="K863" s="38" t="s">
        <v>567</v>
      </c>
      <c r="L863" s="52" t="s">
        <v>213</v>
      </c>
      <c r="M863" s="53" t="s">
        <v>213</v>
      </c>
    </row>
    <row r="864" spans="1:13" x14ac:dyDescent="0.3">
      <c r="A864" s="37">
        <v>76</v>
      </c>
      <c r="B864" s="38" t="s">
        <v>566</v>
      </c>
      <c r="C864" s="51">
        <v>7896026304276</v>
      </c>
      <c r="D864" s="40" t="s">
        <v>71</v>
      </c>
      <c r="E864" s="40"/>
      <c r="F864" s="40">
        <v>850</v>
      </c>
      <c r="G864" s="38"/>
      <c r="H864" s="38" t="s">
        <v>564</v>
      </c>
      <c r="I864" s="38" t="s">
        <v>88</v>
      </c>
      <c r="J864" s="38" t="s">
        <v>557</v>
      </c>
      <c r="K864" s="38" t="s">
        <v>567</v>
      </c>
      <c r="L864" s="52" t="s">
        <v>213</v>
      </c>
      <c r="M864" s="53" t="s">
        <v>213</v>
      </c>
    </row>
    <row r="865" spans="1:13" x14ac:dyDescent="0.3">
      <c r="A865" s="37">
        <v>76</v>
      </c>
      <c r="B865" s="38" t="s">
        <v>566</v>
      </c>
      <c r="C865" s="51">
        <v>7896026304276</v>
      </c>
      <c r="D865" s="40" t="s">
        <v>71</v>
      </c>
      <c r="E865" s="40"/>
      <c r="F865" s="40">
        <v>854</v>
      </c>
      <c r="G865" s="38"/>
      <c r="H865" s="38" t="s">
        <v>565</v>
      </c>
      <c r="I865" s="38" t="s">
        <v>88</v>
      </c>
      <c r="J865" s="38" t="s">
        <v>559</v>
      </c>
      <c r="K865" s="38" t="s">
        <v>567</v>
      </c>
      <c r="L865" s="52" t="s">
        <v>213</v>
      </c>
      <c r="M865" s="53" t="s">
        <v>213</v>
      </c>
    </row>
    <row r="866" spans="1:13" x14ac:dyDescent="0.3">
      <c r="A866" s="37">
        <v>76</v>
      </c>
      <c r="B866" s="38" t="s">
        <v>568</v>
      </c>
      <c r="C866" s="51">
        <v>7896026304306</v>
      </c>
      <c r="D866" s="40" t="s">
        <v>71</v>
      </c>
      <c r="E866" s="40"/>
      <c r="F866" s="40">
        <v>843</v>
      </c>
      <c r="G866" s="38"/>
      <c r="H866" s="38" t="s">
        <v>554</v>
      </c>
      <c r="I866" s="38" t="s">
        <v>88</v>
      </c>
      <c r="J866" s="38" t="s">
        <v>488</v>
      </c>
      <c r="K866" s="38" t="s">
        <v>569</v>
      </c>
      <c r="L866" s="52" t="s">
        <v>213</v>
      </c>
      <c r="M866" s="53" t="s">
        <v>213</v>
      </c>
    </row>
    <row r="867" spans="1:13" x14ac:dyDescent="0.3">
      <c r="A867" s="37">
        <v>76</v>
      </c>
      <c r="B867" s="38" t="s">
        <v>570</v>
      </c>
      <c r="C867" s="51">
        <v>7896026304306</v>
      </c>
      <c r="D867" s="40" t="s">
        <v>71</v>
      </c>
      <c r="E867" s="40"/>
      <c r="F867" s="40">
        <v>843</v>
      </c>
      <c r="G867" s="38"/>
      <c r="H867" s="38" t="s">
        <v>554</v>
      </c>
      <c r="I867" s="38" t="s">
        <v>88</v>
      </c>
      <c r="J867" s="38" t="s">
        <v>488</v>
      </c>
      <c r="K867" s="38" t="s">
        <v>569</v>
      </c>
      <c r="L867" s="52" t="s">
        <v>213</v>
      </c>
      <c r="M867" s="53" t="s">
        <v>213</v>
      </c>
    </row>
    <row r="868" spans="1:13" x14ac:dyDescent="0.3">
      <c r="A868" s="37">
        <v>76</v>
      </c>
      <c r="B868" s="38" t="s">
        <v>568</v>
      </c>
      <c r="C868" s="51">
        <v>7896026304306</v>
      </c>
      <c r="D868" s="40" t="s">
        <v>71</v>
      </c>
      <c r="E868" s="40"/>
      <c r="F868" s="40">
        <v>849</v>
      </c>
      <c r="G868" s="38"/>
      <c r="H868" s="38" t="s">
        <v>556</v>
      </c>
      <c r="I868" s="38" t="s">
        <v>88</v>
      </c>
      <c r="J868" s="38" t="s">
        <v>557</v>
      </c>
      <c r="K868" s="38" t="s">
        <v>569</v>
      </c>
      <c r="L868" s="52" t="s">
        <v>213</v>
      </c>
      <c r="M868" s="53" t="s">
        <v>213</v>
      </c>
    </row>
    <row r="869" spans="1:13" x14ac:dyDescent="0.3">
      <c r="A869" s="37">
        <v>76</v>
      </c>
      <c r="B869" s="38" t="s">
        <v>570</v>
      </c>
      <c r="C869" s="51">
        <v>7896026304306</v>
      </c>
      <c r="D869" s="40" t="s">
        <v>71</v>
      </c>
      <c r="E869" s="40"/>
      <c r="F869" s="40">
        <v>849</v>
      </c>
      <c r="G869" s="38"/>
      <c r="H869" s="38" t="s">
        <v>556</v>
      </c>
      <c r="I869" s="38" t="s">
        <v>88</v>
      </c>
      <c r="J869" s="38" t="s">
        <v>557</v>
      </c>
      <c r="K869" s="38" t="s">
        <v>569</v>
      </c>
      <c r="L869" s="52" t="s">
        <v>213</v>
      </c>
      <c r="M869" s="53" t="s">
        <v>213</v>
      </c>
    </row>
    <row r="870" spans="1:13" x14ac:dyDescent="0.3">
      <c r="A870" s="37">
        <v>76</v>
      </c>
      <c r="B870" s="38" t="s">
        <v>568</v>
      </c>
      <c r="C870" s="51">
        <v>7896026304306</v>
      </c>
      <c r="D870" s="40" t="s">
        <v>71</v>
      </c>
      <c r="E870" s="40"/>
      <c r="F870" s="40">
        <v>853</v>
      </c>
      <c r="G870" s="38"/>
      <c r="H870" s="38" t="s">
        <v>558</v>
      </c>
      <c r="I870" s="38" t="s">
        <v>88</v>
      </c>
      <c r="J870" s="38" t="s">
        <v>559</v>
      </c>
      <c r="K870" s="38" t="s">
        <v>569</v>
      </c>
      <c r="L870" s="52" t="s">
        <v>213</v>
      </c>
      <c r="M870" s="53" t="s">
        <v>213</v>
      </c>
    </row>
    <row r="871" spans="1:13" x14ac:dyDescent="0.3">
      <c r="A871" s="37">
        <v>76</v>
      </c>
      <c r="B871" s="38" t="s">
        <v>570</v>
      </c>
      <c r="C871" s="51">
        <v>7896026304306</v>
      </c>
      <c r="D871" s="40" t="s">
        <v>71</v>
      </c>
      <c r="E871" s="40"/>
      <c r="F871" s="40">
        <v>853</v>
      </c>
      <c r="G871" s="38"/>
      <c r="H871" s="38" t="s">
        <v>558</v>
      </c>
      <c r="I871" s="38" t="s">
        <v>88</v>
      </c>
      <c r="J871" s="38" t="s">
        <v>559</v>
      </c>
      <c r="K871" s="38" t="s">
        <v>569</v>
      </c>
      <c r="L871" s="52" t="s">
        <v>213</v>
      </c>
      <c r="M871" s="53" t="s">
        <v>213</v>
      </c>
    </row>
    <row r="872" spans="1:13" x14ac:dyDescent="0.3">
      <c r="A872" s="37">
        <v>76</v>
      </c>
      <c r="B872" s="38" t="s">
        <v>571</v>
      </c>
      <c r="C872" s="51">
        <v>7896026304337</v>
      </c>
      <c r="D872" s="40" t="s">
        <v>71</v>
      </c>
      <c r="E872" s="40"/>
      <c r="F872" s="40">
        <v>843</v>
      </c>
      <c r="G872" s="38"/>
      <c r="H872" s="38" t="s">
        <v>554</v>
      </c>
      <c r="I872" s="38" t="s">
        <v>88</v>
      </c>
      <c r="J872" s="38" t="s">
        <v>488</v>
      </c>
      <c r="K872" s="38" t="s">
        <v>555</v>
      </c>
      <c r="L872" s="52" t="s">
        <v>213</v>
      </c>
      <c r="M872" s="53" t="s">
        <v>213</v>
      </c>
    </row>
    <row r="873" spans="1:13" x14ac:dyDescent="0.3">
      <c r="A873" s="37">
        <v>76</v>
      </c>
      <c r="B873" s="38" t="s">
        <v>571</v>
      </c>
      <c r="C873" s="51">
        <v>7896026304337</v>
      </c>
      <c r="D873" s="40" t="s">
        <v>71</v>
      </c>
      <c r="E873" s="40"/>
      <c r="F873" s="40">
        <v>849</v>
      </c>
      <c r="G873" s="38"/>
      <c r="H873" s="38" t="s">
        <v>556</v>
      </c>
      <c r="I873" s="38" t="s">
        <v>88</v>
      </c>
      <c r="J873" s="38" t="s">
        <v>557</v>
      </c>
      <c r="K873" s="38" t="s">
        <v>555</v>
      </c>
      <c r="L873" s="52" t="s">
        <v>213</v>
      </c>
      <c r="M873" s="53" t="s">
        <v>213</v>
      </c>
    </row>
    <row r="874" spans="1:13" x14ac:dyDescent="0.3">
      <c r="A874" s="37">
        <v>76</v>
      </c>
      <c r="B874" s="38" t="s">
        <v>571</v>
      </c>
      <c r="C874" s="51">
        <v>7896026304337</v>
      </c>
      <c r="D874" s="40" t="s">
        <v>71</v>
      </c>
      <c r="E874" s="40"/>
      <c r="F874" s="40">
        <v>853</v>
      </c>
      <c r="G874" s="38"/>
      <c r="H874" s="38" t="s">
        <v>558</v>
      </c>
      <c r="I874" s="38" t="s">
        <v>88</v>
      </c>
      <c r="J874" s="38" t="s">
        <v>559</v>
      </c>
      <c r="K874" s="38" t="s">
        <v>555</v>
      </c>
      <c r="L874" s="52" t="s">
        <v>213</v>
      </c>
      <c r="M874" s="53" t="s">
        <v>213</v>
      </c>
    </row>
    <row r="875" spans="1:13" x14ac:dyDescent="0.3">
      <c r="A875" s="37">
        <v>76</v>
      </c>
      <c r="B875" s="38" t="s">
        <v>572</v>
      </c>
      <c r="C875" s="51">
        <v>7896026305259</v>
      </c>
      <c r="D875" s="40" t="s">
        <v>71</v>
      </c>
      <c r="E875" s="40"/>
      <c r="F875" s="40">
        <v>842</v>
      </c>
      <c r="G875" s="38"/>
      <c r="H875" s="38" t="s">
        <v>573</v>
      </c>
      <c r="I875" s="38" t="s">
        <v>322</v>
      </c>
      <c r="J875" s="38" t="s">
        <v>552</v>
      </c>
      <c r="K875" s="38" t="s">
        <v>574</v>
      </c>
      <c r="L875" s="52" t="s">
        <v>213</v>
      </c>
      <c r="M875" s="53" t="s">
        <v>213</v>
      </c>
    </row>
    <row r="876" spans="1:13" x14ac:dyDescent="0.3">
      <c r="A876" s="37">
        <v>76</v>
      </c>
      <c r="B876" s="38" t="s">
        <v>572</v>
      </c>
      <c r="C876" s="51">
        <v>7896026305259</v>
      </c>
      <c r="D876" s="40" t="s">
        <v>71</v>
      </c>
      <c r="E876" s="40"/>
      <c r="F876" s="40">
        <v>848</v>
      </c>
      <c r="G876" s="38"/>
      <c r="H876" s="38" t="s">
        <v>575</v>
      </c>
      <c r="I876" s="38" t="s">
        <v>322</v>
      </c>
      <c r="J876" s="38" t="s">
        <v>557</v>
      </c>
      <c r="K876" s="38" t="s">
        <v>574</v>
      </c>
      <c r="L876" s="52" t="s">
        <v>213</v>
      </c>
      <c r="M876" s="53" t="s">
        <v>213</v>
      </c>
    </row>
    <row r="877" spans="1:13" x14ac:dyDescent="0.3">
      <c r="A877" s="37">
        <v>76</v>
      </c>
      <c r="B877" s="38" t="s">
        <v>576</v>
      </c>
      <c r="C877" s="51">
        <v>7896026306188</v>
      </c>
      <c r="D877" s="40" t="s">
        <v>71</v>
      </c>
      <c r="E877" s="40"/>
      <c r="F877" s="40">
        <v>841</v>
      </c>
      <c r="G877" s="38"/>
      <c r="H877" s="38" t="s">
        <v>577</v>
      </c>
      <c r="I877" s="38" t="s">
        <v>487</v>
      </c>
      <c r="J877" s="38" t="s">
        <v>488</v>
      </c>
      <c r="K877" s="38" t="s">
        <v>509</v>
      </c>
      <c r="L877" s="52" t="s">
        <v>213</v>
      </c>
      <c r="M877" s="53" t="s">
        <v>213</v>
      </c>
    </row>
    <row r="878" spans="1:13" x14ac:dyDescent="0.3">
      <c r="A878" s="37">
        <v>76</v>
      </c>
      <c r="B878" s="38" t="s">
        <v>576</v>
      </c>
      <c r="C878" s="51">
        <v>7896026306188</v>
      </c>
      <c r="D878" s="40" t="s">
        <v>71</v>
      </c>
      <c r="E878" s="40"/>
      <c r="F878" s="40">
        <v>847</v>
      </c>
      <c r="G878" s="38"/>
      <c r="H878" s="38" t="s">
        <v>578</v>
      </c>
      <c r="I878" s="38" t="s">
        <v>322</v>
      </c>
      <c r="J878" s="38" t="s">
        <v>557</v>
      </c>
      <c r="K878" s="38" t="s">
        <v>579</v>
      </c>
      <c r="L878" s="52" t="s">
        <v>213</v>
      </c>
      <c r="M878" s="53" t="s">
        <v>213</v>
      </c>
    </row>
    <row r="879" spans="1:13" x14ac:dyDescent="0.3">
      <c r="A879" s="37">
        <v>76</v>
      </c>
      <c r="B879" s="38" t="s">
        <v>576</v>
      </c>
      <c r="C879" s="51">
        <v>7896026306188</v>
      </c>
      <c r="D879" s="40" t="s">
        <v>71</v>
      </c>
      <c r="E879" s="40"/>
      <c r="F879" s="40">
        <v>960</v>
      </c>
      <c r="G879" s="38"/>
      <c r="H879" s="38" t="s">
        <v>580</v>
      </c>
      <c r="I879" s="38" t="s">
        <v>322</v>
      </c>
      <c r="J879" s="38" t="s">
        <v>552</v>
      </c>
      <c r="K879" s="38" t="s">
        <v>581</v>
      </c>
      <c r="L879" s="52" t="s">
        <v>213</v>
      </c>
      <c r="M879" s="53" t="s">
        <v>213</v>
      </c>
    </row>
    <row r="880" spans="1:13" x14ac:dyDescent="0.3">
      <c r="A880" s="37">
        <v>76</v>
      </c>
      <c r="B880" s="38" t="s">
        <v>582</v>
      </c>
      <c r="C880" s="51">
        <v>7896026306416</v>
      </c>
      <c r="D880" s="40" t="s">
        <v>71</v>
      </c>
      <c r="E880" s="40"/>
      <c r="F880" s="40">
        <v>841</v>
      </c>
      <c r="G880" s="38"/>
      <c r="H880" s="38" t="s">
        <v>577</v>
      </c>
      <c r="I880" s="38" t="s">
        <v>487</v>
      </c>
      <c r="J880" s="38" t="s">
        <v>488</v>
      </c>
      <c r="K880" s="38" t="s">
        <v>509</v>
      </c>
      <c r="L880" s="52" t="s">
        <v>213</v>
      </c>
      <c r="M880" s="53" t="s">
        <v>213</v>
      </c>
    </row>
    <row r="881" spans="1:13" x14ac:dyDescent="0.3">
      <c r="A881" s="37">
        <v>76</v>
      </c>
      <c r="B881" s="38" t="s">
        <v>582</v>
      </c>
      <c r="C881" s="51">
        <v>7896026306416</v>
      </c>
      <c r="D881" s="40" t="s">
        <v>71</v>
      </c>
      <c r="E881" s="40"/>
      <c r="F881" s="40">
        <v>847</v>
      </c>
      <c r="G881" s="38"/>
      <c r="H881" s="38" t="s">
        <v>578</v>
      </c>
      <c r="I881" s="38" t="s">
        <v>322</v>
      </c>
      <c r="J881" s="38" t="s">
        <v>557</v>
      </c>
      <c r="K881" s="38" t="s">
        <v>579</v>
      </c>
      <c r="L881" s="52" t="s">
        <v>213</v>
      </c>
      <c r="M881" s="53" t="s">
        <v>213</v>
      </c>
    </row>
    <row r="882" spans="1:13" x14ac:dyDescent="0.3">
      <c r="A882" s="37">
        <v>76</v>
      </c>
      <c r="B882" s="38" t="s">
        <v>582</v>
      </c>
      <c r="C882" s="51">
        <v>7896026306416</v>
      </c>
      <c r="D882" s="40" t="s">
        <v>71</v>
      </c>
      <c r="E882" s="40"/>
      <c r="F882" s="40">
        <v>960</v>
      </c>
      <c r="G882" s="38"/>
      <c r="H882" s="38" t="s">
        <v>580</v>
      </c>
      <c r="I882" s="38" t="s">
        <v>322</v>
      </c>
      <c r="J882" s="38" t="s">
        <v>552</v>
      </c>
      <c r="K882" s="38" t="s">
        <v>581</v>
      </c>
      <c r="L882" s="52" t="s">
        <v>213</v>
      </c>
      <c r="M882" s="53" t="s">
        <v>213</v>
      </c>
    </row>
    <row r="883" spans="1:13" x14ac:dyDescent="0.3">
      <c r="A883" s="37">
        <v>76</v>
      </c>
      <c r="B883" s="38" t="s">
        <v>583</v>
      </c>
      <c r="C883" s="51">
        <v>7896026306720</v>
      </c>
      <c r="D883" s="40" t="s">
        <v>71</v>
      </c>
      <c r="E883" s="40"/>
      <c r="F883" s="40">
        <v>889</v>
      </c>
      <c r="G883" s="38"/>
      <c r="H883" s="38" t="s">
        <v>584</v>
      </c>
      <c r="I883" s="38" t="s">
        <v>487</v>
      </c>
      <c r="J883" s="38" t="s">
        <v>488</v>
      </c>
      <c r="K883" s="38" t="s">
        <v>585</v>
      </c>
      <c r="L883" s="52" t="s">
        <v>213</v>
      </c>
      <c r="M883" s="53" t="s">
        <v>213</v>
      </c>
    </row>
    <row r="884" spans="1:13" x14ac:dyDescent="0.3">
      <c r="A884" s="37">
        <v>76</v>
      </c>
      <c r="B884" s="38" t="s">
        <v>583</v>
      </c>
      <c r="C884" s="51">
        <v>7896026306720</v>
      </c>
      <c r="D884" s="40" t="s">
        <v>71</v>
      </c>
      <c r="E884" s="40"/>
      <c r="F884" s="40">
        <v>958</v>
      </c>
      <c r="G884" s="38"/>
      <c r="H884" s="38" t="s">
        <v>586</v>
      </c>
      <c r="I884" s="38" t="s">
        <v>487</v>
      </c>
      <c r="J884" s="38" t="s">
        <v>557</v>
      </c>
      <c r="K884" s="38" t="s">
        <v>585</v>
      </c>
      <c r="L884" s="52" t="s">
        <v>213</v>
      </c>
      <c r="M884" s="53" t="s">
        <v>213</v>
      </c>
    </row>
    <row r="885" spans="1:13" x14ac:dyDescent="0.3">
      <c r="A885" s="37">
        <v>76</v>
      </c>
      <c r="B885" s="38" t="s">
        <v>587</v>
      </c>
      <c r="C885" s="51">
        <v>7896026306751</v>
      </c>
      <c r="D885" s="40" t="s">
        <v>71</v>
      </c>
      <c r="E885" s="40"/>
      <c r="F885" s="40">
        <v>889</v>
      </c>
      <c r="G885" s="38"/>
      <c r="H885" s="38" t="s">
        <v>584</v>
      </c>
      <c r="I885" s="38" t="s">
        <v>487</v>
      </c>
      <c r="J885" s="38" t="s">
        <v>488</v>
      </c>
      <c r="K885" s="38" t="s">
        <v>585</v>
      </c>
      <c r="L885" s="52" t="s">
        <v>213</v>
      </c>
      <c r="M885" s="53" t="s">
        <v>213</v>
      </c>
    </row>
    <row r="886" spans="1:13" x14ac:dyDescent="0.3">
      <c r="A886" s="37">
        <v>76</v>
      </c>
      <c r="B886" s="38" t="s">
        <v>587</v>
      </c>
      <c r="C886" s="51">
        <v>7896026306751</v>
      </c>
      <c r="D886" s="40" t="s">
        <v>71</v>
      </c>
      <c r="E886" s="40"/>
      <c r="F886" s="40">
        <v>958</v>
      </c>
      <c r="G886" s="38"/>
      <c r="H886" s="38" t="s">
        <v>586</v>
      </c>
      <c r="I886" s="38" t="s">
        <v>487</v>
      </c>
      <c r="J886" s="38" t="s">
        <v>557</v>
      </c>
      <c r="K886" s="38" t="s">
        <v>585</v>
      </c>
      <c r="L886" s="52" t="s">
        <v>213</v>
      </c>
      <c r="M886" s="53" t="s">
        <v>213</v>
      </c>
    </row>
    <row r="887" spans="1:13" x14ac:dyDescent="0.3">
      <c r="A887" s="37">
        <v>76</v>
      </c>
      <c r="B887" s="38" t="s">
        <v>588</v>
      </c>
      <c r="C887" s="51">
        <v>7896026306799</v>
      </c>
      <c r="D887" s="40" t="s">
        <v>71</v>
      </c>
      <c r="E887" s="40"/>
      <c r="F887" s="40">
        <v>288</v>
      </c>
      <c r="G887" s="38"/>
      <c r="H887" s="38" t="s">
        <v>589</v>
      </c>
      <c r="I887" s="38" t="s">
        <v>351</v>
      </c>
      <c r="J887" s="38" t="s">
        <v>549</v>
      </c>
      <c r="K887" s="38" t="s">
        <v>550</v>
      </c>
      <c r="L887" s="52" t="s">
        <v>213</v>
      </c>
      <c r="M887" s="53" t="s">
        <v>213</v>
      </c>
    </row>
    <row r="888" spans="1:13" x14ac:dyDescent="0.3">
      <c r="A888" s="37">
        <v>76</v>
      </c>
      <c r="B888" s="38" t="s">
        <v>588</v>
      </c>
      <c r="C888" s="51">
        <v>7896026306799</v>
      </c>
      <c r="D888" s="40" t="s">
        <v>71</v>
      </c>
      <c r="E888" s="40"/>
      <c r="F888" s="40">
        <v>934</v>
      </c>
      <c r="G888" s="38"/>
      <c r="H888" s="38" t="s">
        <v>590</v>
      </c>
      <c r="I888" s="38" t="s">
        <v>322</v>
      </c>
      <c r="J888" s="38" t="s">
        <v>552</v>
      </c>
      <c r="K888" s="38" t="s">
        <v>591</v>
      </c>
      <c r="L888" s="52" t="s">
        <v>213</v>
      </c>
      <c r="M888" s="53" t="s">
        <v>213</v>
      </c>
    </row>
    <row r="889" spans="1:13" x14ac:dyDescent="0.3">
      <c r="A889" s="37">
        <v>76</v>
      </c>
      <c r="B889" s="38" t="s">
        <v>588</v>
      </c>
      <c r="C889" s="51">
        <v>7896026306799</v>
      </c>
      <c r="D889" s="40" t="s">
        <v>71</v>
      </c>
      <c r="E889" s="40"/>
      <c r="F889" s="40">
        <v>959</v>
      </c>
      <c r="G889" s="38"/>
      <c r="H889" s="38" t="s">
        <v>592</v>
      </c>
      <c r="I889" s="38" t="s">
        <v>322</v>
      </c>
      <c r="J889" s="38" t="s">
        <v>557</v>
      </c>
      <c r="K889" s="38" t="s">
        <v>591</v>
      </c>
      <c r="L889" s="52" t="s">
        <v>213</v>
      </c>
      <c r="M889" s="53" t="s">
        <v>213</v>
      </c>
    </row>
    <row r="890" spans="1:13" x14ac:dyDescent="0.3">
      <c r="A890" s="37">
        <v>88</v>
      </c>
      <c r="B890" s="38" t="s">
        <v>593</v>
      </c>
      <c r="C890" s="51">
        <v>7800066026395</v>
      </c>
      <c r="D890" s="40" t="s">
        <v>594</v>
      </c>
      <c r="E890" s="40"/>
      <c r="F890" s="40">
        <v>995</v>
      </c>
      <c r="G890" s="38"/>
      <c r="H890" s="38" t="s">
        <v>595</v>
      </c>
      <c r="I890" s="38" t="s">
        <v>596</v>
      </c>
      <c r="J890" s="38" t="s">
        <v>597</v>
      </c>
      <c r="K890" s="38" t="s">
        <v>598</v>
      </c>
      <c r="L890" s="52" t="s">
        <v>213</v>
      </c>
      <c r="M890" s="53" t="s">
        <v>213</v>
      </c>
    </row>
    <row r="891" spans="1:13" x14ac:dyDescent="0.3">
      <c r="A891" s="37">
        <v>88</v>
      </c>
      <c r="B891" s="38" t="s">
        <v>599</v>
      </c>
      <c r="C891" s="51">
        <v>7898053770239</v>
      </c>
      <c r="D891" s="40" t="s">
        <v>594</v>
      </c>
      <c r="E891" s="40"/>
      <c r="F891" s="40">
        <v>995</v>
      </c>
      <c r="G891" s="38"/>
      <c r="H891" s="38" t="s">
        <v>595</v>
      </c>
      <c r="I891" s="38" t="s">
        <v>596</v>
      </c>
      <c r="J891" s="38" t="s">
        <v>597</v>
      </c>
      <c r="K891" s="38" t="s">
        <v>598</v>
      </c>
      <c r="L891" s="52" t="s">
        <v>213</v>
      </c>
      <c r="M891" s="53" t="s">
        <v>213</v>
      </c>
    </row>
    <row r="892" spans="1:13" x14ac:dyDescent="0.3">
      <c r="A892" s="37">
        <v>88</v>
      </c>
      <c r="B892" s="38" t="s">
        <v>600</v>
      </c>
      <c r="C892" s="51">
        <v>7898053770246</v>
      </c>
      <c r="D892" s="40" t="s">
        <v>594</v>
      </c>
      <c r="E892" s="40"/>
      <c r="F892" s="40">
        <v>995</v>
      </c>
      <c r="G892" s="38"/>
      <c r="H892" s="38" t="s">
        <v>595</v>
      </c>
      <c r="I892" s="38" t="s">
        <v>596</v>
      </c>
      <c r="J892" s="38" t="s">
        <v>597</v>
      </c>
      <c r="K892" s="38" t="s">
        <v>598</v>
      </c>
      <c r="L892" s="52" t="s">
        <v>213</v>
      </c>
      <c r="M892" s="53" t="s">
        <v>213</v>
      </c>
    </row>
    <row r="893" spans="1:13" x14ac:dyDescent="0.3">
      <c r="A893" s="37">
        <v>88</v>
      </c>
      <c r="B893" s="38" t="s">
        <v>601</v>
      </c>
      <c r="C893" s="51">
        <v>7898053771427</v>
      </c>
      <c r="D893" s="40" t="s">
        <v>594</v>
      </c>
      <c r="E893" s="40"/>
      <c r="F893" s="40">
        <v>995</v>
      </c>
      <c r="G893" s="38"/>
      <c r="H893" s="38" t="s">
        <v>595</v>
      </c>
      <c r="I893" s="38" t="s">
        <v>596</v>
      </c>
      <c r="J893" s="38" t="s">
        <v>597</v>
      </c>
      <c r="K893" s="38" t="s">
        <v>598</v>
      </c>
      <c r="L893" s="52" t="s">
        <v>213</v>
      </c>
      <c r="M893" s="53" t="s">
        <v>213</v>
      </c>
    </row>
    <row r="894" spans="1:13" x14ac:dyDescent="0.3">
      <c r="A894" s="37">
        <v>88</v>
      </c>
      <c r="B894" s="38" t="s">
        <v>602</v>
      </c>
      <c r="C894" s="51">
        <v>7898053772547</v>
      </c>
      <c r="D894" s="40" t="s">
        <v>594</v>
      </c>
      <c r="E894" s="40"/>
      <c r="F894" s="40">
        <v>995</v>
      </c>
      <c r="G894" s="38"/>
      <c r="H894" s="38" t="s">
        <v>595</v>
      </c>
      <c r="I894" s="38" t="s">
        <v>596</v>
      </c>
      <c r="J894" s="38" t="s">
        <v>597</v>
      </c>
      <c r="K894" s="38" t="s">
        <v>598</v>
      </c>
      <c r="L894" s="52" t="s">
        <v>213</v>
      </c>
      <c r="M894" s="53" t="s">
        <v>213</v>
      </c>
    </row>
    <row r="895" spans="1:13" x14ac:dyDescent="0.3">
      <c r="A895" s="37">
        <v>88</v>
      </c>
      <c r="B895" s="38" t="s">
        <v>603</v>
      </c>
      <c r="C895" s="51">
        <v>7898053772554</v>
      </c>
      <c r="D895" s="40" t="s">
        <v>594</v>
      </c>
      <c r="E895" s="40"/>
      <c r="F895" s="40">
        <v>995</v>
      </c>
      <c r="G895" s="38"/>
      <c r="H895" s="38" t="s">
        <v>595</v>
      </c>
      <c r="I895" s="38" t="s">
        <v>596</v>
      </c>
      <c r="J895" s="38" t="s">
        <v>597</v>
      </c>
      <c r="K895" s="38" t="s">
        <v>598</v>
      </c>
      <c r="L895" s="52" t="s">
        <v>213</v>
      </c>
      <c r="M895" s="53" t="s">
        <v>213</v>
      </c>
    </row>
    <row r="896" spans="1:13" x14ac:dyDescent="0.3">
      <c r="A896" s="37">
        <v>88</v>
      </c>
      <c r="B896" s="38" t="s">
        <v>604</v>
      </c>
      <c r="C896" s="51">
        <v>7898053772578</v>
      </c>
      <c r="D896" s="40" t="s">
        <v>594</v>
      </c>
      <c r="E896" s="40"/>
      <c r="F896" s="40">
        <v>995</v>
      </c>
      <c r="G896" s="38"/>
      <c r="H896" s="38" t="s">
        <v>595</v>
      </c>
      <c r="I896" s="38" t="s">
        <v>596</v>
      </c>
      <c r="J896" s="38" t="s">
        <v>597</v>
      </c>
      <c r="K896" s="38" t="s">
        <v>598</v>
      </c>
      <c r="L896" s="52" t="s">
        <v>213</v>
      </c>
      <c r="M896" s="53" t="s">
        <v>213</v>
      </c>
    </row>
    <row r="897" spans="1:13" x14ac:dyDescent="0.3">
      <c r="A897" s="37">
        <v>88</v>
      </c>
      <c r="B897" s="38" t="s">
        <v>605</v>
      </c>
      <c r="C897" s="51">
        <v>7898053772875</v>
      </c>
      <c r="D897" s="40" t="s">
        <v>594</v>
      </c>
      <c r="E897" s="40"/>
      <c r="F897" s="40">
        <v>995</v>
      </c>
      <c r="G897" s="38"/>
      <c r="H897" s="38" t="s">
        <v>595</v>
      </c>
      <c r="I897" s="38" t="s">
        <v>596</v>
      </c>
      <c r="J897" s="38" t="s">
        <v>597</v>
      </c>
      <c r="K897" s="38" t="s">
        <v>598</v>
      </c>
      <c r="L897" s="52" t="s">
        <v>213</v>
      </c>
      <c r="M897" s="53" t="s">
        <v>213</v>
      </c>
    </row>
    <row r="898" spans="1:13" x14ac:dyDescent="0.3">
      <c r="A898" s="37">
        <v>88</v>
      </c>
      <c r="B898" s="38" t="s">
        <v>606</v>
      </c>
      <c r="C898" s="51">
        <v>7898053772905</v>
      </c>
      <c r="D898" s="40" t="s">
        <v>594</v>
      </c>
      <c r="E898" s="40"/>
      <c r="F898" s="40">
        <v>995</v>
      </c>
      <c r="G898" s="38"/>
      <c r="H898" s="38" t="s">
        <v>595</v>
      </c>
      <c r="I898" s="38" t="s">
        <v>596</v>
      </c>
      <c r="J898" s="38" t="s">
        <v>597</v>
      </c>
      <c r="K898" s="38" t="s">
        <v>598</v>
      </c>
      <c r="L898" s="52" t="s">
        <v>213</v>
      </c>
      <c r="M898" s="53" t="s">
        <v>213</v>
      </c>
    </row>
    <row r="899" spans="1:13" x14ac:dyDescent="0.3">
      <c r="A899" s="37">
        <v>88</v>
      </c>
      <c r="B899" s="38" t="s">
        <v>607</v>
      </c>
      <c r="C899" s="51">
        <v>7898053774251</v>
      </c>
      <c r="D899" s="40" t="s">
        <v>594</v>
      </c>
      <c r="E899" s="40"/>
      <c r="F899" s="40">
        <v>995</v>
      </c>
      <c r="G899" s="38"/>
      <c r="H899" s="38" t="s">
        <v>595</v>
      </c>
      <c r="I899" s="38" t="s">
        <v>596</v>
      </c>
      <c r="J899" s="38" t="s">
        <v>597</v>
      </c>
      <c r="K899" s="38" t="s">
        <v>598</v>
      </c>
      <c r="L899" s="52" t="s">
        <v>213</v>
      </c>
      <c r="M899" s="53" t="s">
        <v>213</v>
      </c>
    </row>
    <row r="900" spans="1:13" x14ac:dyDescent="0.3">
      <c r="A900" s="37">
        <v>88</v>
      </c>
      <c r="B900" s="38" t="s">
        <v>608</v>
      </c>
      <c r="C900" s="51">
        <v>7898053774312</v>
      </c>
      <c r="D900" s="40" t="s">
        <v>594</v>
      </c>
      <c r="E900" s="40"/>
      <c r="F900" s="40">
        <v>995</v>
      </c>
      <c r="G900" s="38"/>
      <c r="H900" s="38" t="s">
        <v>595</v>
      </c>
      <c r="I900" s="38" t="s">
        <v>596</v>
      </c>
      <c r="J900" s="38" t="s">
        <v>597</v>
      </c>
      <c r="K900" s="38" t="s">
        <v>598</v>
      </c>
      <c r="L900" s="52" t="s">
        <v>213</v>
      </c>
      <c r="M900" s="53" t="s">
        <v>213</v>
      </c>
    </row>
    <row r="901" spans="1:13" x14ac:dyDescent="0.3">
      <c r="A901" s="37">
        <v>88</v>
      </c>
      <c r="B901" s="38" t="s">
        <v>609</v>
      </c>
      <c r="C901" s="51">
        <v>7898053774343</v>
      </c>
      <c r="D901" s="40" t="s">
        <v>594</v>
      </c>
      <c r="E901" s="40"/>
      <c r="F901" s="40">
        <v>995</v>
      </c>
      <c r="G901" s="38"/>
      <c r="H901" s="38" t="s">
        <v>595</v>
      </c>
      <c r="I901" s="38" t="s">
        <v>596</v>
      </c>
      <c r="J901" s="38" t="s">
        <v>597</v>
      </c>
      <c r="K901" s="38" t="s">
        <v>598</v>
      </c>
      <c r="L901" s="52" t="s">
        <v>213</v>
      </c>
      <c r="M901" s="53" t="s">
        <v>213</v>
      </c>
    </row>
    <row r="902" spans="1:13" x14ac:dyDescent="0.3">
      <c r="A902" s="37">
        <v>88</v>
      </c>
      <c r="B902" s="38" t="s">
        <v>610</v>
      </c>
      <c r="C902" s="51">
        <v>7898053774404</v>
      </c>
      <c r="D902" s="40" t="s">
        <v>594</v>
      </c>
      <c r="E902" s="40"/>
      <c r="F902" s="40">
        <v>995</v>
      </c>
      <c r="G902" s="38"/>
      <c r="H902" s="38" t="s">
        <v>595</v>
      </c>
      <c r="I902" s="38" t="s">
        <v>596</v>
      </c>
      <c r="J902" s="38" t="s">
        <v>597</v>
      </c>
      <c r="K902" s="38" t="s">
        <v>598</v>
      </c>
      <c r="L902" s="52" t="s">
        <v>213</v>
      </c>
      <c r="M902" s="53" t="s">
        <v>213</v>
      </c>
    </row>
    <row r="903" spans="1:13" x14ac:dyDescent="0.3">
      <c r="A903" s="37">
        <v>88</v>
      </c>
      <c r="B903" s="38" t="s">
        <v>611</v>
      </c>
      <c r="C903" s="51">
        <v>7898053774435</v>
      </c>
      <c r="D903" s="40" t="s">
        <v>594</v>
      </c>
      <c r="E903" s="40"/>
      <c r="F903" s="40">
        <v>995</v>
      </c>
      <c r="G903" s="38"/>
      <c r="H903" s="38" t="s">
        <v>595</v>
      </c>
      <c r="I903" s="38" t="s">
        <v>596</v>
      </c>
      <c r="J903" s="38" t="s">
        <v>597</v>
      </c>
      <c r="K903" s="38" t="s">
        <v>598</v>
      </c>
      <c r="L903" s="52" t="s">
        <v>213</v>
      </c>
      <c r="M903" s="53" t="s">
        <v>213</v>
      </c>
    </row>
    <row r="904" spans="1:13" x14ac:dyDescent="0.3">
      <c r="A904" s="37">
        <v>88</v>
      </c>
      <c r="B904" s="38" t="s">
        <v>612</v>
      </c>
      <c r="C904" s="51">
        <v>7898053774527</v>
      </c>
      <c r="D904" s="40" t="s">
        <v>594</v>
      </c>
      <c r="E904" s="40"/>
      <c r="F904" s="40">
        <v>995</v>
      </c>
      <c r="G904" s="38"/>
      <c r="H904" s="38" t="s">
        <v>595</v>
      </c>
      <c r="I904" s="38" t="s">
        <v>596</v>
      </c>
      <c r="J904" s="38" t="s">
        <v>597</v>
      </c>
      <c r="K904" s="38" t="s">
        <v>598</v>
      </c>
      <c r="L904" s="52" t="s">
        <v>213</v>
      </c>
      <c r="M904" s="53" t="s">
        <v>213</v>
      </c>
    </row>
    <row r="905" spans="1:13" x14ac:dyDescent="0.3">
      <c r="A905" s="37">
        <v>93</v>
      </c>
      <c r="B905" s="38" t="s">
        <v>613</v>
      </c>
      <c r="C905" s="51">
        <v>7896676424607</v>
      </c>
      <c r="D905" s="40" t="s">
        <v>614</v>
      </c>
      <c r="E905" s="40"/>
      <c r="F905" s="40">
        <v>900</v>
      </c>
      <c r="G905" s="38"/>
      <c r="H905" s="38" t="s">
        <v>615</v>
      </c>
      <c r="I905" s="38" t="s">
        <v>480</v>
      </c>
      <c r="J905" s="49" t="s">
        <v>213</v>
      </c>
      <c r="K905" s="38" t="s">
        <v>480</v>
      </c>
      <c r="L905" s="49" t="s">
        <v>213</v>
      </c>
      <c r="M905" s="54" t="s">
        <v>213</v>
      </c>
    </row>
    <row r="906" spans="1:13" x14ac:dyDescent="0.3">
      <c r="A906" s="37">
        <v>93</v>
      </c>
      <c r="B906" s="38" t="s">
        <v>616</v>
      </c>
      <c r="C906" s="51">
        <v>7896676424614</v>
      </c>
      <c r="D906" s="40" t="s">
        <v>614</v>
      </c>
      <c r="E906" s="40"/>
      <c r="F906" s="40">
        <v>900</v>
      </c>
      <c r="G906" s="38"/>
      <c r="H906" s="38" t="s">
        <v>615</v>
      </c>
      <c r="I906" s="38" t="s">
        <v>480</v>
      </c>
      <c r="J906" s="49" t="s">
        <v>213</v>
      </c>
      <c r="K906" s="38" t="s">
        <v>480</v>
      </c>
      <c r="L906" s="49" t="s">
        <v>213</v>
      </c>
      <c r="M906" s="54" t="s">
        <v>213</v>
      </c>
    </row>
    <row r="907" spans="1:13" x14ac:dyDescent="0.3">
      <c r="A907" s="37">
        <v>93</v>
      </c>
      <c r="B907" s="38" t="s">
        <v>617</v>
      </c>
      <c r="C907" s="51">
        <v>7896676424621</v>
      </c>
      <c r="D907" s="40" t="s">
        <v>614</v>
      </c>
      <c r="E907" s="40"/>
      <c r="F907" s="40">
        <v>900</v>
      </c>
      <c r="G907" s="38"/>
      <c r="H907" s="38" t="s">
        <v>615</v>
      </c>
      <c r="I907" s="38" t="s">
        <v>480</v>
      </c>
      <c r="J907" s="49" t="s">
        <v>213</v>
      </c>
      <c r="K907" s="38" t="s">
        <v>480</v>
      </c>
      <c r="L907" s="49" t="s">
        <v>213</v>
      </c>
      <c r="M907" s="54" t="s">
        <v>213</v>
      </c>
    </row>
    <row r="908" spans="1:13" x14ac:dyDescent="0.3">
      <c r="A908" s="37">
        <v>40</v>
      </c>
      <c r="B908" s="38" t="s">
        <v>618</v>
      </c>
      <c r="C908" s="51">
        <v>7894916500746</v>
      </c>
      <c r="D908" s="40" t="s">
        <v>619</v>
      </c>
      <c r="E908" s="40"/>
      <c r="F908" s="40">
        <v>834</v>
      </c>
      <c r="G908" s="38"/>
      <c r="H908" s="38" t="s">
        <v>620</v>
      </c>
      <c r="I908" s="38" t="s">
        <v>480</v>
      </c>
      <c r="J908" s="49" t="s">
        <v>213</v>
      </c>
      <c r="K908" s="38" t="s">
        <v>480</v>
      </c>
      <c r="L908" s="49" t="s">
        <v>213</v>
      </c>
      <c r="M908" s="54" t="s">
        <v>213</v>
      </c>
    </row>
    <row r="909" spans="1:13" x14ac:dyDescent="0.3">
      <c r="A909" s="37">
        <v>40</v>
      </c>
      <c r="B909" s="38" t="s">
        <v>621</v>
      </c>
      <c r="C909" s="51">
        <v>7894916500869</v>
      </c>
      <c r="D909" s="40" t="s">
        <v>619</v>
      </c>
      <c r="E909" s="40"/>
      <c r="F909" s="40">
        <v>834</v>
      </c>
      <c r="G909" s="38"/>
      <c r="H909" s="38" t="s">
        <v>620</v>
      </c>
      <c r="I909" s="38" t="s">
        <v>480</v>
      </c>
      <c r="J909" s="49" t="s">
        <v>213</v>
      </c>
      <c r="K909" s="38" t="s">
        <v>480</v>
      </c>
      <c r="L909" s="49" t="s">
        <v>213</v>
      </c>
      <c r="M909" s="54" t="s">
        <v>213</v>
      </c>
    </row>
    <row r="910" spans="1:13" x14ac:dyDescent="0.3">
      <c r="A910" s="37">
        <v>40</v>
      </c>
      <c r="B910" s="38" t="s">
        <v>622</v>
      </c>
      <c r="C910" s="51">
        <v>7894916502962</v>
      </c>
      <c r="D910" s="40" t="s">
        <v>619</v>
      </c>
      <c r="E910" s="40"/>
      <c r="F910" s="40">
        <v>832</v>
      </c>
      <c r="G910" s="38"/>
      <c r="H910" s="38" t="s">
        <v>623</v>
      </c>
      <c r="I910" s="38" t="s">
        <v>624</v>
      </c>
      <c r="J910" s="38">
        <v>3</v>
      </c>
      <c r="K910" s="38" t="s">
        <v>625</v>
      </c>
      <c r="L910" s="52" t="s">
        <v>213</v>
      </c>
      <c r="M910" s="53" t="s">
        <v>213</v>
      </c>
    </row>
    <row r="911" spans="1:13" x14ac:dyDescent="0.3">
      <c r="A911" s="37">
        <v>40</v>
      </c>
      <c r="B911" s="38" t="s">
        <v>626</v>
      </c>
      <c r="C911" s="51">
        <v>7894916503129</v>
      </c>
      <c r="D911" s="40" t="s">
        <v>619</v>
      </c>
      <c r="E911" s="40"/>
      <c r="F911" s="40">
        <v>676</v>
      </c>
      <c r="G911" s="38"/>
      <c r="H911" s="38" t="s">
        <v>627</v>
      </c>
      <c r="I911" s="38" t="s">
        <v>480</v>
      </c>
      <c r="J911" s="49" t="s">
        <v>213</v>
      </c>
      <c r="K911" s="38" t="s">
        <v>480</v>
      </c>
      <c r="L911" s="49" t="s">
        <v>213</v>
      </c>
      <c r="M911" s="54" t="s">
        <v>213</v>
      </c>
    </row>
    <row r="912" spans="1:13" x14ac:dyDescent="0.3">
      <c r="A912" s="37">
        <v>40</v>
      </c>
      <c r="B912" s="38" t="s">
        <v>626</v>
      </c>
      <c r="C912" s="51">
        <v>7894916503129</v>
      </c>
      <c r="D912" s="40" t="s">
        <v>619</v>
      </c>
      <c r="E912" s="40"/>
      <c r="F912" s="40">
        <v>837</v>
      </c>
      <c r="G912" s="38"/>
      <c r="H912" s="38" t="s">
        <v>628</v>
      </c>
      <c r="I912" s="38" t="s">
        <v>480</v>
      </c>
      <c r="J912" s="49" t="s">
        <v>213</v>
      </c>
      <c r="K912" s="38" t="s">
        <v>480</v>
      </c>
      <c r="L912" s="49" t="s">
        <v>213</v>
      </c>
      <c r="M912" s="54" t="s">
        <v>213</v>
      </c>
    </row>
    <row r="913" spans="1:13" x14ac:dyDescent="0.3">
      <c r="A913" s="37">
        <v>40</v>
      </c>
      <c r="B913" s="38" t="s">
        <v>629</v>
      </c>
      <c r="C913" s="51">
        <v>7894916503143</v>
      </c>
      <c r="D913" s="40" t="s">
        <v>619</v>
      </c>
      <c r="E913" s="40"/>
      <c r="F913" s="40">
        <v>676</v>
      </c>
      <c r="G913" s="38"/>
      <c r="H913" s="38" t="s">
        <v>627</v>
      </c>
      <c r="I913" s="38" t="s">
        <v>480</v>
      </c>
      <c r="J913" s="49" t="s">
        <v>213</v>
      </c>
      <c r="K913" s="38" t="s">
        <v>480</v>
      </c>
      <c r="L913" s="49" t="s">
        <v>213</v>
      </c>
      <c r="M913" s="54" t="s">
        <v>213</v>
      </c>
    </row>
    <row r="914" spans="1:13" x14ac:dyDescent="0.3">
      <c r="A914" s="37">
        <v>40</v>
      </c>
      <c r="B914" s="38" t="s">
        <v>629</v>
      </c>
      <c r="C914" s="51">
        <v>7894916503143</v>
      </c>
      <c r="D914" s="40" t="s">
        <v>619</v>
      </c>
      <c r="E914" s="40"/>
      <c r="F914" s="40">
        <v>837</v>
      </c>
      <c r="G914" s="38"/>
      <c r="H914" s="38" t="s">
        <v>628</v>
      </c>
      <c r="I914" s="38" t="s">
        <v>480</v>
      </c>
      <c r="J914" s="49" t="s">
        <v>213</v>
      </c>
      <c r="K914" s="38" t="s">
        <v>480</v>
      </c>
      <c r="L914" s="49" t="s">
        <v>213</v>
      </c>
      <c r="M914" s="54" t="s">
        <v>213</v>
      </c>
    </row>
    <row r="915" spans="1:13" x14ac:dyDescent="0.3">
      <c r="A915" s="37">
        <v>40</v>
      </c>
      <c r="B915" s="38" t="s">
        <v>630</v>
      </c>
      <c r="C915" s="51">
        <v>7894916507738</v>
      </c>
      <c r="D915" s="40" t="s">
        <v>619</v>
      </c>
      <c r="E915" s="40"/>
      <c r="F915" s="40">
        <v>379</v>
      </c>
      <c r="G915" s="38"/>
      <c r="H915" s="38" t="s">
        <v>631</v>
      </c>
      <c r="I915" s="38" t="s">
        <v>480</v>
      </c>
      <c r="J915" s="49" t="s">
        <v>213</v>
      </c>
      <c r="K915" s="38" t="s">
        <v>480</v>
      </c>
      <c r="L915" s="49" t="s">
        <v>213</v>
      </c>
      <c r="M915" s="54" t="s">
        <v>213</v>
      </c>
    </row>
    <row r="916" spans="1:13" x14ac:dyDescent="0.3">
      <c r="A916" s="37">
        <v>40</v>
      </c>
      <c r="B916" s="38" t="s">
        <v>630</v>
      </c>
      <c r="C916" s="51">
        <v>7894916507738</v>
      </c>
      <c r="D916" s="40" t="s">
        <v>619</v>
      </c>
      <c r="E916" s="40"/>
      <c r="F916" s="40">
        <v>382</v>
      </c>
      <c r="G916" s="38"/>
      <c r="H916" s="38" t="s">
        <v>632</v>
      </c>
      <c r="I916" s="38" t="s">
        <v>88</v>
      </c>
      <c r="J916" s="38">
        <v>4</v>
      </c>
      <c r="K916" s="56">
        <v>0.25</v>
      </c>
      <c r="L916" s="52" t="s">
        <v>213</v>
      </c>
      <c r="M916" s="53" t="s">
        <v>213</v>
      </c>
    </row>
    <row r="917" spans="1:13" x14ac:dyDescent="0.3">
      <c r="A917" s="37">
        <v>40</v>
      </c>
      <c r="B917" s="38" t="s">
        <v>630</v>
      </c>
      <c r="C917" s="51">
        <v>7894916507738</v>
      </c>
      <c r="D917" s="40" t="s">
        <v>619</v>
      </c>
      <c r="E917" s="40"/>
      <c r="F917" s="40">
        <v>390</v>
      </c>
      <c r="G917" s="38"/>
      <c r="H917" s="38" t="s">
        <v>633</v>
      </c>
      <c r="I917" s="38" t="s">
        <v>480</v>
      </c>
      <c r="J917" s="49" t="s">
        <v>213</v>
      </c>
      <c r="K917" s="38" t="s">
        <v>480</v>
      </c>
      <c r="L917" s="49" t="s">
        <v>213</v>
      </c>
      <c r="M917" s="54" t="s">
        <v>213</v>
      </c>
    </row>
    <row r="918" spans="1:13" x14ac:dyDescent="0.3">
      <c r="A918" s="37">
        <v>40</v>
      </c>
      <c r="B918" s="38" t="s">
        <v>630</v>
      </c>
      <c r="C918" s="51">
        <v>7894916507738</v>
      </c>
      <c r="D918" s="40" t="s">
        <v>619</v>
      </c>
      <c r="E918" s="40"/>
      <c r="F918" s="40">
        <v>593</v>
      </c>
      <c r="G918" s="38"/>
      <c r="H918" s="38" t="s">
        <v>634</v>
      </c>
      <c r="I918" s="38" t="s">
        <v>88</v>
      </c>
      <c r="J918" s="38">
        <v>4</v>
      </c>
      <c r="K918" s="56">
        <v>0.25</v>
      </c>
      <c r="L918" s="52" t="s">
        <v>213</v>
      </c>
      <c r="M918" s="53" t="s">
        <v>213</v>
      </c>
    </row>
    <row r="919" spans="1:13" x14ac:dyDescent="0.3">
      <c r="A919" s="37">
        <v>40</v>
      </c>
      <c r="B919" s="38" t="s">
        <v>635</v>
      </c>
      <c r="C919" s="51">
        <v>7894916507752</v>
      </c>
      <c r="D919" s="40" t="s">
        <v>619</v>
      </c>
      <c r="E919" s="40"/>
      <c r="F919" s="40">
        <v>379</v>
      </c>
      <c r="G919" s="38"/>
      <c r="H919" s="38" t="s">
        <v>631</v>
      </c>
      <c r="I919" s="38" t="s">
        <v>480</v>
      </c>
      <c r="J919" s="49" t="s">
        <v>213</v>
      </c>
      <c r="K919" s="38" t="s">
        <v>480</v>
      </c>
      <c r="L919" s="49" t="s">
        <v>213</v>
      </c>
      <c r="M919" s="54" t="s">
        <v>213</v>
      </c>
    </row>
    <row r="920" spans="1:13" x14ac:dyDescent="0.3">
      <c r="A920" s="37">
        <v>40</v>
      </c>
      <c r="B920" s="38" t="s">
        <v>635</v>
      </c>
      <c r="C920" s="51">
        <v>7894916507752</v>
      </c>
      <c r="D920" s="40" t="s">
        <v>619</v>
      </c>
      <c r="E920" s="40"/>
      <c r="F920" s="40">
        <v>382</v>
      </c>
      <c r="G920" s="38"/>
      <c r="H920" s="38" t="s">
        <v>632</v>
      </c>
      <c r="I920" s="38" t="s">
        <v>88</v>
      </c>
      <c r="J920" s="38">
        <v>4</v>
      </c>
      <c r="K920" s="56">
        <v>0.25</v>
      </c>
      <c r="L920" s="52" t="s">
        <v>213</v>
      </c>
      <c r="M920" s="53" t="s">
        <v>213</v>
      </c>
    </row>
    <row r="921" spans="1:13" x14ac:dyDescent="0.3">
      <c r="A921" s="37">
        <v>40</v>
      </c>
      <c r="B921" s="38" t="s">
        <v>635</v>
      </c>
      <c r="C921" s="51">
        <v>7894916507752</v>
      </c>
      <c r="D921" s="40" t="s">
        <v>619</v>
      </c>
      <c r="E921" s="40"/>
      <c r="F921" s="40">
        <v>390</v>
      </c>
      <c r="G921" s="38"/>
      <c r="H921" s="38" t="s">
        <v>633</v>
      </c>
      <c r="I921" s="38" t="s">
        <v>480</v>
      </c>
      <c r="J921" s="49" t="s">
        <v>213</v>
      </c>
      <c r="K921" s="38" t="s">
        <v>480</v>
      </c>
      <c r="L921" s="49" t="s">
        <v>213</v>
      </c>
      <c r="M921" s="54" t="s">
        <v>213</v>
      </c>
    </row>
    <row r="922" spans="1:13" x14ac:dyDescent="0.3">
      <c r="A922" s="37">
        <v>40</v>
      </c>
      <c r="B922" s="38" t="s">
        <v>635</v>
      </c>
      <c r="C922" s="51">
        <v>7894916507752</v>
      </c>
      <c r="D922" s="40" t="s">
        <v>619</v>
      </c>
      <c r="E922" s="40"/>
      <c r="F922" s="40">
        <v>593</v>
      </c>
      <c r="G922" s="38"/>
      <c r="H922" s="38" t="s">
        <v>634</v>
      </c>
      <c r="I922" s="38" t="s">
        <v>88</v>
      </c>
      <c r="J922" s="38">
        <v>4</v>
      </c>
      <c r="K922" s="56">
        <v>0.25</v>
      </c>
      <c r="L922" s="52" t="s">
        <v>213</v>
      </c>
      <c r="M922" s="53" t="s">
        <v>213</v>
      </c>
    </row>
    <row r="923" spans="1:13" x14ac:dyDescent="0.3">
      <c r="A923" s="37">
        <v>40</v>
      </c>
      <c r="B923" s="38" t="s">
        <v>635</v>
      </c>
      <c r="C923" s="51">
        <v>7894916507752</v>
      </c>
      <c r="D923" s="40" t="s">
        <v>619</v>
      </c>
      <c r="E923" s="40"/>
      <c r="F923" s="40">
        <v>978</v>
      </c>
      <c r="G923" s="38"/>
      <c r="H923" s="38" t="s">
        <v>636</v>
      </c>
      <c r="I923" s="38" t="s">
        <v>480</v>
      </c>
      <c r="J923" s="49" t="s">
        <v>213</v>
      </c>
      <c r="K923" s="38" t="s">
        <v>480</v>
      </c>
      <c r="L923" s="49" t="s">
        <v>213</v>
      </c>
      <c r="M923" s="54" t="s">
        <v>213</v>
      </c>
    </row>
    <row r="924" spans="1:13" x14ac:dyDescent="0.3">
      <c r="A924" s="37">
        <v>40</v>
      </c>
      <c r="B924" s="38" t="s">
        <v>637</v>
      </c>
      <c r="C924" s="51">
        <v>7894916507912</v>
      </c>
      <c r="D924" s="40" t="s">
        <v>619</v>
      </c>
      <c r="E924" s="40"/>
      <c r="F924" s="40">
        <v>530</v>
      </c>
      <c r="G924" s="38"/>
      <c r="H924" s="38" t="s">
        <v>638</v>
      </c>
      <c r="I924" s="38" t="s">
        <v>639</v>
      </c>
      <c r="J924" s="38">
        <v>3</v>
      </c>
      <c r="K924" s="38" t="s">
        <v>640</v>
      </c>
      <c r="L924" s="52" t="s">
        <v>213</v>
      </c>
      <c r="M924" s="53" t="s">
        <v>213</v>
      </c>
    </row>
    <row r="925" spans="1:13" x14ac:dyDescent="0.3">
      <c r="A925" s="37">
        <v>40</v>
      </c>
      <c r="B925" s="38" t="s">
        <v>641</v>
      </c>
      <c r="C925" s="51">
        <v>7894916507936</v>
      </c>
      <c r="D925" s="40" t="s">
        <v>619</v>
      </c>
      <c r="E925" s="40"/>
      <c r="F925" s="40">
        <v>530</v>
      </c>
      <c r="G925" s="38"/>
      <c r="H925" s="38" t="s">
        <v>638</v>
      </c>
      <c r="I925" s="38" t="s">
        <v>639</v>
      </c>
      <c r="J925" s="38">
        <v>3</v>
      </c>
      <c r="K925" s="38" t="s">
        <v>640</v>
      </c>
      <c r="L925" s="52" t="s">
        <v>213</v>
      </c>
      <c r="M925" s="53" t="s">
        <v>213</v>
      </c>
    </row>
    <row r="926" spans="1:13" x14ac:dyDescent="0.3">
      <c r="A926" s="37">
        <v>40</v>
      </c>
      <c r="B926" s="38" t="s">
        <v>642</v>
      </c>
      <c r="C926" s="51">
        <v>7894916507950</v>
      </c>
      <c r="D926" s="40" t="s">
        <v>619</v>
      </c>
      <c r="E926" s="40"/>
      <c r="F926" s="40">
        <v>530</v>
      </c>
      <c r="G926" s="38"/>
      <c r="H926" s="38" t="s">
        <v>638</v>
      </c>
      <c r="I926" s="38" t="s">
        <v>639</v>
      </c>
      <c r="J926" s="38">
        <v>3</v>
      </c>
      <c r="K926" s="38" t="s">
        <v>640</v>
      </c>
      <c r="L926" s="52" t="s">
        <v>213</v>
      </c>
      <c r="M926" s="53" t="s">
        <v>213</v>
      </c>
    </row>
    <row r="927" spans="1:13" x14ac:dyDescent="0.3">
      <c r="A927" s="37">
        <v>40</v>
      </c>
      <c r="B927" s="38" t="s">
        <v>643</v>
      </c>
      <c r="C927" s="51">
        <v>7894916508346</v>
      </c>
      <c r="D927" s="40" t="s">
        <v>619</v>
      </c>
      <c r="E927" s="40"/>
      <c r="F927" s="40">
        <v>836</v>
      </c>
      <c r="G927" s="38"/>
      <c r="H927" s="38" t="s">
        <v>644</v>
      </c>
      <c r="I927" s="38" t="s">
        <v>639</v>
      </c>
      <c r="J927" s="38">
        <v>3</v>
      </c>
      <c r="K927" s="38" t="s">
        <v>645</v>
      </c>
      <c r="L927" s="52" t="s">
        <v>213</v>
      </c>
      <c r="M927" s="53" t="s">
        <v>213</v>
      </c>
    </row>
    <row r="928" spans="1:13" x14ac:dyDescent="0.3">
      <c r="A928" s="37">
        <v>40</v>
      </c>
      <c r="B928" s="38" t="s">
        <v>646</v>
      </c>
      <c r="C928" s="51">
        <v>7894916508353</v>
      </c>
      <c r="D928" s="40" t="s">
        <v>619</v>
      </c>
      <c r="E928" s="40"/>
      <c r="F928" s="40">
        <v>836</v>
      </c>
      <c r="G928" s="38"/>
      <c r="H928" s="38" t="s">
        <v>644</v>
      </c>
      <c r="I928" s="38" t="s">
        <v>639</v>
      </c>
      <c r="J928" s="38">
        <v>3</v>
      </c>
      <c r="K928" s="38" t="s">
        <v>645</v>
      </c>
      <c r="L928" s="52" t="s">
        <v>213</v>
      </c>
      <c r="M928" s="53" t="s">
        <v>213</v>
      </c>
    </row>
    <row r="929" spans="1:13" x14ac:dyDescent="0.3">
      <c r="A929" s="37">
        <v>40</v>
      </c>
      <c r="B929" s="38" t="s">
        <v>647</v>
      </c>
      <c r="C929" s="51">
        <v>7894916508360</v>
      </c>
      <c r="D929" s="40" t="s">
        <v>619</v>
      </c>
      <c r="E929" s="40"/>
      <c r="F929" s="40">
        <v>836</v>
      </c>
      <c r="G929" s="38"/>
      <c r="H929" s="38" t="s">
        <v>644</v>
      </c>
      <c r="I929" s="38" t="s">
        <v>639</v>
      </c>
      <c r="J929" s="38">
        <v>3</v>
      </c>
      <c r="K929" s="38" t="s">
        <v>645</v>
      </c>
      <c r="L929" s="52" t="s">
        <v>213</v>
      </c>
      <c r="M929" s="53" t="s">
        <v>213</v>
      </c>
    </row>
    <row r="930" spans="1:13" x14ac:dyDescent="0.3">
      <c r="A930" s="37">
        <v>40</v>
      </c>
      <c r="B930" s="38" t="s">
        <v>648</v>
      </c>
      <c r="C930" s="51">
        <v>7894916508377</v>
      </c>
      <c r="D930" s="40" t="s">
        <v>619</v>
      </c>
      <c r="E930" s="40"/>
      <c r="F930" s="40">
        <v>836</v>
      </c>
      <c r="G930" s="38"/>
      <c r="H930" s="38" t="s">
        <v>644</v>
      </c>
      <c r="I930" s="38" t="s">
        <v>639</v>
      </c>
      <c r="J930" s="38">
        <v>3</v>
      </c>
      <c r="K930" s="38" t="s">
        <v>645</v>
      </c>
      <c r="L930" s="52" t="s">
        <v>213</v>
      </c>
      <c r="M930" s="53" t="s">
        <v>213</v>
      </c>
    </row>
    <row r="931" spans="1:13" x14ac:dyDescent="0.3">
      <c r="A931" s="37">
        <v>40</v>
      </c>
      <c r="B931" s="38" t="s">
        <v>649</v>
      </c>
      <c r="C931" s="51">
        <v>7894916508964</v>
      </c>
      <c r="D931" s="40" t="s">
        <v>619</v>
      </c>
      <c r="E931" s="40"/>
      <c r="F931" s="40">
        <v>343</v>
      </c>
      <c r="G931" s="38"/>
      <c r="H931" s="38" t="s">
        <v>650</v>
      </c>
      <c r="I931" s="38" t="s">
        <v>88</v>
      </c>
      <c r="J931" s="38">
        <v>4</v>
      </c>
      <c r="K931" s="56">
        <v>0.35</v>
      </c>
      <c r="L931" s="52" t="s">
        <v>213</v>
      </c>
      <c r="M931" s="53" t="s">
        <v>213</v>
      </c>
    </row>
    <row r="932" spans="1:13" x14ac:dyDescent="0.3">
      <c r="A932" s="37">
        <v>40</v>
      </c>
      <c r="B932" s="38" t="s">
        <v>651</v>
      </c>
      <c r="C932" s="51">
        <v>7894916508971</v>
      </c>
      <c r="D932" s="40" t="s">
        <v>619</v>
      </c>
      <c r="E932" s="40"/>
      <c r="F932" s="40">
        <v>343</v>
      </c>
      <c r="G932" s="38"/>
      <c r="H932" s="38" t="s">
        <v>650</v>
      </c>
      <c r="I932" s="38" t="s">
        <v>88</v>
      </c>
      <c r="J932" s="38">
        <v>4</v>
      </c>
      <c r="K932" s="56">
        <v>0.25</v>
      </c>
      <c r="L932" s="52" t="s">
        <v>213</v>
      </c>
      <c r="M932" s="53" t="s">
        <v>213</v>
      </c>
    </row>
    <row r="933" spans="1:13" x14ac:dyDescent="0.3">
      <c r="A933" s="37">
        <v>40</v>
      </c>
      <c r="B933" s="38" t="s">
        <v>652</v>
      </c>
      <c r="C933" s="51">
        <v>7894916508988</v>
      </c>
      <c r="D933" s="40" t="s">
        <v>619</v>
      </c>
      <c r="E933" s="40"/>
      <c r="F933" s="40">
        <v>384</v>
      </c>
      <c r="G933" s="38"/>
      <c r="H933" s="38" t="s">
        <v>653</v>
      </c>
      <c r="I933" s="38" t="s">
        <v>88</v>
      </c>
      <c r="J933" s="38">
        <v>2</v>
      </c>
      <c r="K933" s="56">
        <v>0.35</v>
      </c>
      <c r="L933" s="52" t="s">
        <v>213</v>
      </c>
      <c r="M933" s="53" t="s">
        <v>213</v>
      </c>
    </row>
    <row r="934" spans="1:13" x14ac:dyDescent="0.3">
      <c r="A934" s="37">
        <v>40</v>
      </c>
      <c r="B934" s="38" t="s">
        <v>652</v>
      </c>
      <c r="C934" s="51">
        <v>7894916508988</v>
      </c>
      <c r="D934" s="40" t="s">
        <v>619</v>
      </c>
      <c r="E934" s="40"/>
      <c r="F934" s="40">
        <v>640</v>
      </c>
      <c r="G934" s="38"/>
      <c r="H934" s="38" t="s">
        <v>654</v>
      </c>
      <c r="I934" s="38" t="s">
        <v>88</v>
      </c>
      <c r="J934" s="38">
        <v>2</v>
      </c>
      <c r="K934" s="56">
        <v>0.35</v>
      </c>
      <c r="L934" s="52" t="s">
        <v>213</v>
      </c>
      <c r="M934" s="53" t="s">
        <v>213</v>
      </c>
    </row>
    <row r="935" spans="1:13" x14ac:dyDescent="0.3">
      <c r="A935" s="37">
        <v>40</v>
      </c>
      <c r="B935" s="38" t="s">
        <v>652</v>
      </c>
      <c r="C935" s="51">
        <v>7894916508988</v>
      </c>
      <c r="D935" s="40" t="s">
        <v>619</v>
      </c>
      <c r="E935" s="40"/>
      <c r="F935" s="40">
        <v>641</v>
      </c>
      <c r="G935" s="38"/>
      <c r="H935" s="38" t="s">
        <v>655</v>
      </c>
      <c r="I935" s="38" t="s">
        <v>88</v>
      </c>
      <c r="J935" s="38">
        <v>2</v>
      </c>
      <c r="K935" s="56">
        <v>0.35</v>
      </c>
      <c r="L935" s="52" t="s">
        <v>213</v>
      </c>
      <c r="M935" s="53" t="s">
        <v>213</v>
      </c>
    </row>
    <row r="936" spans="1:13" x14ac:dyDescent="0.3">
      <c r="A936" s="37">
        <v>40</v>
      </c>
      <c r="B936" s="38" t="s">
        <v>656</v>
      </c>
      <c r="C936" s="51">
        <v>7894916509084</v>
      </c>
      <c r="D936" s="40" t="s">
        <v>619</v>
      </c>
      <c r="E936" s="40"/>
      <c r="F936" s="40">
        <v>836</v>
      </c>
      <c r="G936" s="38"/>
      <c r="H936" s="38" t="s">
        <v>644</v>
      </c>
      <c r="I936" s="38" t="s">
        <v>639</v>
      </c>
      <c r="J936" s="38">
        <v>3</v>
      </c>
      <c r="K936" s="38" t="s">
        <v>645</v>
      </c>
      <c r="L936" s="52" t="s">
        <v>213</v>
      </c>
      <c r="M936" s="53" t="s">
        <v>213</v>
      </c>
    </row>
    <row r="937" spans="1:13" x14ac:dyDescent="0.3">
      <c r="A937" s="37">
        <v>40</v>
      </c>
      <c r="B937" s="38" t="s">
        <v>657</v>
      </c>
      <c r="C937" s="51">
        <v>7894916509190</v>
      </c>
      <c r="D937" s="40" t="s">
        <v>619</v>
      </c>
      <c r="E937" s="40"/>
      <c r="F937" s="40">
        <v>382</v>
      </c>
      <c r="G937" s="38"/>
      <c r="H937" s="38" t="s">
        <v>632</v>
      </c>
      <c r="I937" s="38" t="s">
        <v>88</v>
      </c>
      <c r="J937" s="38">
        <v>4</v>
      </c>
      <c r="K937" s="56">
        <v>0.25</v>
      </c>
      <c r="L937" s="52" t="s">
        <v>213</v>
      </c>
      <c r="M937" s="53" t="s">
        <v>213</v>
      </c>
    </row>
    <row r="938" spans="1:13" x14ac:dyDescent="0.3">
      <c r="A938" s="37">
        <v>40</v>
      </c>
      <c r="B938" s="38" t="s">
        <v>657</v>
      </c>
      <c r="C938" s="51">
        <v>7894916509190</v>
      </c>
      <c r="D938" s="40" t="s">
        <v>619</v>
      </c>
      <c r="E938" s="40"/>
      <c r="F938" s="40">
        <v>390</v>
      </c>
      <c r="G938" s="38"/>
      <c r="H938" s="38" t="s">
        <v>633</v>
      </c>
      <c r="I938" s="38" t="s">
        <v>480</v>
      </c>
      <c r="J938" s="49" t="s">
        <v>213</v>
      </c>
      <c r="K938" s="38" t="s">
        <v>480</v>
      </c>
      <c r="L938" s="49" t="s">
        <v>213</v>
      </c>
      <c r="M938" s="54" t="s">
        <v>213</v>
      </c>
    </row>
    <row r="939" spans="1:13" x14ac:dyDescent="0.3">
      <c r="A939" s="37">
        <v>40</v>
      </c>
      <c r="B939" s="38" t="s">
        <v>657</v>
      </c>
      <c r="C939" s="51">
        <v>7894916509190</v>
      </c>
      <c r="D939" s="40" t="s">
        <v>619</v>
      </c>
      <c r="E939" s="40"/>
      <c r="F939" s="40">
        <v>593</v>
      </c>
      <c r="G939" s="38"/>
      <c r="H939" s="38" t="s">
        <v>634</v>
      </c>
      <c r="I939" s="38" t="s">
        <v>88</v>
      </c>
      <c r="J939" s="38">
        <v>4</v>
      </c>
      <c r="K939" s="56">
        <v>0.25</v>
      </c>
      <c r="L939" s="52" t="s">
        <v>213</v>
      </c>
      <c r="M939" s="53" t="s">
        <v>213</v>
      </c>
    </row>
    <row r="940" spans="1:13" x14ac:dyDescent="0.3">
      <c r="A940" s="37">
        <v>40</v>
      </c>
      <c r="B940" s="38" t="s">
        <v>658</v>
      </c>
      <c r="C940" s="51">
        <v>7894916509299</v>
      </c>
      <c r="D940" s="40" t="s">
        <v>619</v>
      </c>
      <c r="E940" s="40"/>
      <c r="F940" s="40">
        <v>835</v>
      </c>
      <c r="G940" s="38"/>
      <c r="H940" s="38" t="s">
        <v>659</v>
      </c>
      <c r="I940" s="38" t="s">
        <v>639</v>
      </c>
      <c r="J940" s="38">
        <v>3</v>
      </c>
      <c r="K940" s="38" t="s">
        <v>645</v>
      </c>
      <c r="L940" s="52" t="s">
        <v>213</v>
      </c>
      <c r="M940" s="53" t="s">
        <v>213</v>
      </c>
    </row>
    <row r="941" spans="1:13" x14ac:dyDescent="0.3">
      <c r="A941" s="37">
        <v>40</v>
      </c>
      <c r="B941" s="38" t="s">
        <v>660</v>
      </c>
      <c r="C941" s="51">
        <v>7894916509305</v>
      </c>
      <c r="D941" s="40" t="s">
        <v>619</v>
      </c>
      <c r="E941" s="40"/>
      <c r="F941" s="40">
        <v>835</v>
      </c>
      <c r="G941" s="38"/>
      <c r="H941" s="38" t="s">
        <v>659</v>
      </c>
      <c r="I941" s="38" t="s">
        <v>639</v>
      </c>
      <c r="J941" s="38">
        <v>3</v>
      </c>
      <c r="K941" s="38" t="s">
        <v>645</v>
      </c>
      <c r="L941" s="52" t="s">
        <v>213</v>
      </c>
      <c r="M941" s="53" t="s">
        <v>213</v>
      </c>
    </row>
    <row r="942" spans="1:13" x14ac:dyDescent="0.3">
      <c r="A942" s="37">
        <v>40</v>
      </c>
      <c r="B942" s="38" t="s">
        <v>661</v>
      </c>
      <c r="C942" s="51">
        <v>7894916509329</v>
      </c>
      <c r="D942" s="40" t="s">
        <v>619</v>
      </c>
      <c r="E942" s="40"/>
      <c r="F942" s="40">
        <v>835</v>
      </c>
      <c r="G942" s="38"/>
      <c r="H942" s="38" t="s">
        <v>659</v>
      </c>
      <c r="I942" s="38" t="s">
        <v>639</v>
      </c>
      <c r="J942" s="38">
        <v>3</v>
      </c>
      <c r="K942" s="38" t="s">
        <v>645</v>
      </c>
      <c r="L942" s="52" t="s">
        <v>213</v>
      </c>
      <c r="M942" s="53" t="s">
        <v>213</v>
      </c>
    </row>
    <row r="943" spans="1:13" x14ac:dyDescent="0.3">
      <c r="A943" s="37">
        <v>40</v>
      </c>
      <c r="B943" s="38" t="s">
        <v>662</v>
      </c>
      <c r="C943" s="51">
        <v>7894916509336</v>
      </c>
      <c r="D943" s="40" t="s">
        <v>619</v>
      </c>
      <c r="E943" s="40"/>
      <c r="F943" s="40">
        <v>835</v>
      </c>
      <c r="G943" s="38"/>
      <c r="H943" s="38" t="s">
        <v>659</v>
      </c>
      <c r="I943" s="38" t="s">
        <v>639</v>
      </c>
      <c r="J943" s="38">
        <v>3</v>
      </c>
      <c r="K943" s="38" t="s">
        <v>645</v>
      </c>
      <c r="L943" s="52" t="s">
        <v>213</v>
      </c>
      <c r="M943" s="53" t="s">
        <v>213</v>
      </c>
    </row>
    <row r="944" spans="1:13" x14ac:dyDescent="0.3">
      <c r="A944" s="37">
        <v>40</v>
      </c>
      <c r="B944" s="38" t="s">
        <v>663</v>
      </c>
      <c r="C944" s="51">
        <v>7894916509343</v>
      </c>
      <c r="D944" s="40" t="s">
        <v>619</v>
      </c>
      <c r="E944" s="40"/>
      <c r="F944" s="40">
        <v>344</v>
      </c>
      <c r="G944" s="38"/>
      <c r="H944" s="38" t="s">
        <v>664</v>
      </c>
      <c r="I944" s="38" t="s">
        <v>88</v>
      </c>
      <c r="J944" s="38">
        <v>4</v>
      </c>
      <c r="K944" s="56">
        <v>0.3</v>
      </c>
      <c r="L944" s="52" t="s">
        <v>213</v>
      </c>
      <c r="M944" s="53" t="s">
        <v>213</v>
      </c>
    </row>
    <row r="945" spans="1:13" x14ac:dyDescent="0.3">
      <c r="A945" s="37">
        <v>40</v>
      </c>
      <c r="B945" s="38" t="s">
        <v>663</v>
      </c>
      <c r="C945" s="51">
        <v>7894916509343</v>
      </c>
      <c r="D945" s="40" t="s">
        <v>619</v>
      </c>
      <c r="E945" s="40"/>
      <c r="F945" s="40">
        <v>592</v>
      </c>
      <c r="G945" s="38"/>
      <c r="H945" s="38" t="s">
        <v>665</v>
      </c>
      <c r="I945" s="38" t="s">
        <v>88</v>
      </c>
      <c r="J945" s="38">
        <v>4</v>
      </c>
      <c r="K945" s="56">
        <v>0.3</v>
      </c>
      <c r="L945" s="52" t="s">
        <v>213</v>
      </c>
      <c r="M945" s="53" t="s">
        <v>213</v>
      </c>
    </row>
    <row r="946" spans="1:13" x14ac:dyDescent="0.3">
      <c r="A946" s="37">
        <v>40</v>
      </c>
      <c r="B946" s="38" t="s">
        <v>666</v>
      </c>
      <c r="C946" s="51">
        <v>7894916509350</v>
      </c>
      <c r="D946" s="40" t="s">
        <v>619</v>
      </c>
      <c r="E946" s="40"/>
      <c r="F946" s="40">
        <v>344</v>
      </c>
      <c r="G946" s="38"/>
      <c r="H946" s="38" t="s">
        <v>664</v>
      </c>
      <c r="I946" s="38" t="s">
        <v>88</v>
      </c>
      <c r="J946" s="38">
        <v>4</v>
      </c>
      <c r="K946" s="56">
        <v>0.3</v>
      </c>
      <c r="L946" s="52" t="s">
        <v>213</v>
      </c>
      <c r="M946" s="53" t="s">
        <v>213</v>
      </c>
    </row>
    <row r="947" spans="1:13" x14ac:dyDescent="0.3">
      <c r="A947" s="37">
        <v>40</v>
      </c>
      <c r="B947" s="38" t="s">
        <v>666</v>
      </c>
      <c r="C947" s="51">
        <v>7894916509350</v>
      </c>
      <c r="D947" s="40" t="s">
        <v>619</v>
      </c>
      <c r="E947" s="40"/>
      <c r="F947" s="40">
        <v>592</v>
      </c>
      <c r="G947" s="38"/>
      <c r="H947" s="38" t="s">
        <v>665</v>
      </c>
      <c r="I947" s="38" t="s">
        <v>88</v>
      </c>
      <c r="J947" s="38">
        <v>4</v>
      </c>
      <c r="K947" s="56">
        <v>0.3</v>
      </c>
      <c r="L947" s="52" t="s">
        <v>213</v>
      </c>
      <c r="M947" s="53" t="s">
        <v>213</v>
      </c>
    </row>
    <row r="948" spans="1:13" x14ac:dyDescent="0.3">
      <c r="A948" s="37">
        <v>40</v>
      </c>
      <c r="B948" s="38" t="s">
        <v>667</v>
      </c>
      <c r="C948" s="51">
        <v>7894916509510</v>
      </c>
      <c r="D948" s="40" t="s">
        <v>619</v>
      </c>
      <c r="E948" s="40"/>
      <c r="F948" s="40">
        <v>385</v>
      </c>
      <c r="G948" s="38"/>
      <c r="H948" s="38" t="s">
        <v>668</v>
      </c>
      <c r="I948" s="38" t="s">
        <v>351</v>
      </c>
      <c r="J948" s="38">
        <v>1</v>
      </c>
      <c r="K948" s="38" t="s">
        <v>669</v>
      </c>
      <c r="L948" s="52" t="s">
        <v>213</v>
      </c>
      <c r="M948" s="53" t="s">
        <v>213</v>
      </c>
    </row>
    <row r="949" spans="1:13" x14ac:dyDescent="0.3">
      <c r="A949" s="37">
        <v>40</v>
      </c>
      <c r="B949" s="38" t="s">
        <v>670</v>
      </c>
      <c r="C949" s="51">
        <v>7894916509541</v>
      </c>
      <c r="D949" s="40" t="s">
        <v>619</v>
      </c>
      <c r="E949" s="40"/>
      <c r="F949" s="40">
        <v>347</v>
      </c>
      <c r="G949" s="38"/>
      <c r="H949" s="38" t="s">
        <v>671</v>
      </c>
      <c r="I949" s="38" t="s">
        <v>672</v>
      </c>
      <c r="J949" s="38">
        <v>2</v>
      </c>
      <c r="K949" s="38" t="s">
        <v>673</v>
      </c>
      <c r="L949" s="52" t="s">
        <v>213</v>
      </c>
      <c r="M949" s="53" t="s">
        <v>213</v>
      </c>
    </row>
    <row r="950" spans="1:13" x14ac:dyDescent="0.3">
      <c r="A950" s="37">
        <v>40</v>
      </c>
      <c r="B950" s="38" t="s">
        <v>670</v>
      </c>
      <c r="C950" s="51">
        <v>7894916509541</v>
      </c>
      <c r="D950" s="40" t="s">
        <v>619</v>
      </c>
      <c r="E950" s="40"/>
      <c r="F950" s="40">
        <v>656</v>
      </c>
      <c r="G950" s="38"/>
      <c r="H950" s="38" t="s">
        <v>674</v>
      </c>
      <c r="I950" s="38" t="s">
        <v>672</v>
      </c>
      <c r="J950" s="38">
        <v>2</v>
      </c>
      <c r="K950" s="38" t="s">
        <v>673</v>
      </c>
      <c r="L950" s="52" t="s">
        <v>213</v>
      </c>
      <c r="M950" s="53" t="s">
        <v>213</v>
      </c>
    </row>
    <row r="951" spans="1:13" x14ac:dyDescent="0.3">
      <c r="A951" s="37">
        <v>40</v>
      </c>
      <c r="B951" s="38" t="s">
        <v>675</v>
      </c>
      <c r="C951" s="51">
        <v>7894916509626</v>
      </c>
      <c r="D951" s="40" t="s">
        <v>619</v>
      </c>
      <c r="E951" s="40"/>
      <c r="F951" s="40">
        <v>382</v>
      </c>
      <c r="G951" s="38"/>
      <c r="H951" s="38" t="s">
        <v>632</v>
      </c>
      <c r="I951" s="38" t="s">
        <v>88</v>
      </c>
      <c r="J951" s="38">
        <v>4</v>
      </c>
      <c r="K951" s="56">
        <v>0.25</v>
      </c>
      <c r="L951" s="52" t="s">
        <v>213</v>
      </c>
      <c r="M951" s="53" t="s">
        <v>213</v>
      </c>
    </row>
    <row r="952" spans="1:13" x14ac:dyDescent="0.3">
      <c r="A952" s="37">
        <v>40</v>
      </c>
      <c r="B952" s="38" t="s">
        <v>675</v>
      </c>
      <c r="C952" s="51">
        <v>7894916509626</v>
      </c>
      <c r="D952" s="40" t="s">
        <v>619</v>
      </c>
      <c r="E952" s="40"/>
      <c r="F952" s="40">
        <v>390</v>
      </c>
      <c r="G952" s="38"/>
      <c r="H952" s="38" t="s">
        <v>633</v>
      </c>
      <c r="I952" s="38" t="s">
        <v>480</v>
      </c>
      <c r="J952" s="49" t="s">
        <v>213</v>
      </c>
      <c r="K952" s="38" t="s">
        <v>480</v>
      </c>
      <c r="L952" s="49" t="s">
        <v>213</v>
      </c>
      <c r="M952" s="54" t="s">
        <v>213</v>
      </c>
    </row>
    <row r="953" spans="1:13" x14ac:dyDescent="0.3">
      <c r="A953" s="37">
        <v>40</v>
      </c>
      <c r="B953" s="38" t="s">
        <v>675</v>
      </c>
      <c r="C953" s="51">
        <v>7894916509626</v>
      </c>
      <c r="D953" s="40" t="s">
        <v>619</v>
      </c>
      <c r="E953" s="40"/>
      <c r="F953" s="40">
        <v>593</v>
      </c>
      <c r="G953" s="38"/>
      <c r="H953" s="38" t="s">
        <v>634</v>
      </c>
      <c r="I953" s="38" t="s">
        <v>88</v>
      </c>
      <c r="J953" s="38">
        <v>4</v>
      </c>
      <c r="K953" s="56">
        <v>0.25</v>
      </c>
      <c r="L953" s="52" t="s">
        <v>213</v>
      </c>
      <c r="M953" s="53" t="s">
        <v>213</v>
      </c>
    </row>
    <row r="954" spans="1:13" x14ac:dyDescent="0.3">
      <c r="A954" s="37">
        <v>40</v>
      </c>
      <c r="B954" s="38" t="s">
        <v>675</v>
      </c>
      <c r="C954" s="51">
        <v>7894916509626</v>
      </c>
      <c r="D954" s="40" t="s">
        <v>619</v>
      </c>
      <c r="E954" s="40"/>
      <c r="F954" s="40">
        <v>978</v>
      </c>
      <c r="G954" s="38"/>
      <c r="H954" s="38" t="s">
        <v>636</v>
      </c>
      <c r="I954" s="38" t="s">
        <v>480</v>
      </c>
      <c r="J954" s="49" t="s">
        <v>213</v>
      </c>
      <c r="K954" s="38" t="s">
        <v>480</v>
      </c>
      <c r="L954" s="49" t="s">
        <v>213</v>
      </c>
      <c r="M954" s="54" t="s">
        <v>213</v>
      </c>
    </row>
    <row r="955" spans="1:13" x14ac:dyDescent="0.3">
      <c r="A955" s="37">
        <v>40</v>
      </c>
      <c r="B955" s="38" t="s">
        <v>676</v>
      </c>
      <c r="C955" s="51">
        <v>7894916509831</v>
      </c>
      <c r="D955" s="40" t="s">
        <v>619</v>
      </c>
      <c r="E955" s="40"/>
      <c r="F955" s="40">
        <v>384</v>
      </c>
      <c r="G955" s="38"/>
      <c r="H955" s="38" t="s">
        <v>653</v>
      </c>
      <c r="I955" s="38" t="s">
        <v>88</v>
      </c>
      <c r="J955" s="38">
        <v>2</v>
      </c>
      <c r="K955" s="56">
        <v>0.35</v>
      </c>
      <c r="L955" s="52" t="s">
        <v>213</v>
      </c>
      <c r="M955" s="53" t="s">
        <v>213</v>
      </c>
    </row>
    <row r="956" spans="1:13" x14ac:dyDescent="0.3">
      <c r="A956" s="37">
        <v>40</v>
      </c>
      <c r="B956" s="38" t="s">
        <v>676</v>
      </c>
      <c r="C956" s="51">
        <v>7894916509831</v>
      </c>
      <c r="D956" s="40" t="s">
        <v>619</v>
      </c>
      <c r="E956" s="40"/>
      <c r="F956" s="40">
        <v>640</v>
      </c>
      <c r="G956" s="38"/>
      <c r="H956" s="38" t="s">
        <v>654</v>
      </c>
      <c r="I956" s="38" t="s">
        <v>88</v>
      </c>
      <c r="J956" s="38">
        <v>2</v>
      </c>
      <c r="K956" s="56">
        <v>0.35</v>
      </c>
      <c r="L956" s="52" t="s">
        <v>213</v>
      </c>
      <c r="M956" s="53" t="s">
        <v>213</v>
      </c>
    </row>
    <row r="957" spans="1:13" x14ac:dyDescent="0.3">
      <c r="A957" s="37">
        <v>40</v>
      </c>
      <c r="B957" s="38" t="s">
        <v>676</v>
      </c>
      <c r="C957" s="51">
        <v>7894916509831</v>
      </c>
      <c r="D957" s="40" t="s">
        <v>619</v>
      </c>
      <c r="E957" s="40"/>
      <c r="F957" s="40">
        <v>641</v>
      </c>
      <c r="G957" s="38"/>
      <c r="H957" s="38" t="s">
        <v>655</v>
      </c>
      <c r="I957" s="38" t="s">
        <v>88</v>
      </c>
      <c r="J957" s="38">
        <v>2</v>
      </c>
      <c r="K957" s="56">
        <v>0.35</v>
      </c>
      <c r="L957" s="52" t="s">
        <v>213</v>
      </c>
      <c r="M957" s="53" t="s">
        <v>213</v>
      </c>
    </row>
    <row r="958" spans="1:13" x14ac:dyDescent="0.3">
      <c r="A958" s="37">
        <v>40</v>
      </c>
      <c r="B958" s="38" t="s">
        <v>677</v>
      </c>
      <c r="C958" s="51">
        <v>7894916510103</v>
      </c>
      <c r="D958" s="40" t="s">
        <v>619</v>
      </c>
      <c r="E958" s="40"/>
      <c r="F958" s="40">
        <v>835</v>
      </c>
      <c r="G958" s="38"/>
      <c r="H958" s="38" t="s">
        <v>659</v>
      </c>
      <c r="I958" s="38" t="s">
        <v>639</v>
      </c>
      <c r="J958" s="38">
        <v>3</v>
      </c>
      <c r="K958" s="38" t="s">
        <v>645</v>
      </c>
      <c r="L958" s="52" t="s">
        <v>213</v>
      </c>
      <c r="M958" s="53" t="s">
        <v>213</v>
      </c>
    </row>
    <row r="959" spans="1:13" x14ac:dyDescent="0.3">
      <c r="A959" s="37">
        <v>40</v>
      </c>
      <c r="B959" s="38" t="s">
        <v>678</v>
      </c>
      <c r="C959" s="51">
        <v>7894916510271</v>
      </c>
      <c r="D959" s="40" t="s">
        <v>619</v>
      </c>
      <c r="E959" s="40"/>
      <c r="F959" s="40">
        <v>509</v>
      </c>
      <c r="G959" s="38"/>
      <c r="H959" s="38" t="s">
        <v>679</v>
      </c>
      <c r="I959" s="38" t="s">
        <v>88</v>
      </c>
      <c r="J959" s="38">
        <v>4</v>
      </c>
      <c r="K959" s="56">
        <v>0.35</v>
      </c>
      <c r="L959" s="52" t="s">
        <v>213</v>
      </c>
      <c r="M959" s="53" t="s">
        <v>213</v>
      </c>
    </row>
    <row r="960" spans="1:13" x14ac:dyDescent="0.3">
      <c r="A960" s="37">
        <v>40</v>
      </c>
      <c r="B960" s="38" t="s">
        <v>678</v>
      </c>
      <c r="C960" s="51">
        <v>7894916510271</v>
      </c>
      <c r="D960" s="40" t="s">
        <v>619</v>
      </c>
      <c r="E960" s="40"/>
      <c r="F960" s="40">
        <v>638</v>
      </c>
      <c r="G960" s="38"/>
      <c r="H960" s="38" t="s">
        <v>680</v>
      </c>
      <c r="I960" s="38" t="s">
        <v>88</v>
      </c>
      <c r="J960" s="38">
        <v>4</v>
      </c>
      <c r="K960" s="56">
        <v>0.35</v>
      </c>
      <c r="L960" s="52" t="s">
        <v>213</v>
      </c>
      <c r="M960" s="53" t="s">
        <v>213</v>
      </c>
    </row>
    <row r="961" spans="1:13" x14ac:dyDescent="0.3">
      <c r="A961" s="37">
        <v>40</v>
      </c>
      <c r="B961" s="38" t="s">
        <v>678</v>
      </c>
      <c r="C961" s="51">
        <v>7894916510271</v>
      </c>
      <c r="D961" s="40" t="s">
        <v>619</v>
      </c>
      <c r="E961" s="40"/>
      <c r="F961" s="40">
        <v>639</v>
      </c>
      <c r="G961" s="38"/>
      <c r="H961" s="38" t="s">
        <v>681</v>
      </c>
      <c r="I961" s="38" t="s">
        <v>88</v>
      </c>
      <c r="J961" s="38">
        <v>4</v>
      </c>
      <c r="K961" s="56">
        <v>0.35</v>
      </c>
      <c r="L961" s="52" t="s">
        <v>213</v>
      </c>
      <c r="M961" s="53" t="s">
        <v>213</v>
      </c>
    </row>
    <row r="962" spans="1:13" x14ac:dyDescent="0.3">
      <c r="A962" s="37">
        <v>40</v>
      </c>
      <c r="B962" s="38" t="s">
        <v>682</v>
      </c>
      <c r="C962" s="51">
        <v>7894916510288</v>
      </c>
      <c r="D962" s="40" t="s">
        <v>619</v>
      </c>
      <c r="E962" s="40"/>
      <c r="F962" s="40">
        <v>509</v>
      </c>
      <c r="G962" s="38"/>
      <c r="H962" s="38" t="s">
        <v>679</v>
      </c>
      <c r="I962" s="38" t="s">
        <v>88</v>
      </c>
      <c r="J962" s="38">
        <v>4</v>
      </c>
      <c r="K962" s="56">
        <v>0.35</v>
      </c>
      <c r="L962" s="52" t="s">
        <v>213</v>
      </c>
      <c r="M962" s="53" t="s">
        <v>213</v>
      </c>
    </row>
    <row r="963" spans="1:13" x14ac:dyDescent="0.3">
      <c r="A963" s="37">
        <v>40</v>
      </c>
      <c r="B963" s="38" t="s">
        <v>682</v>
      </c>
      <c r="C963" s="51">
        <v>7894916510288</v>
      </c>
      <c r="D963" s="40" t="s">
        <v>619</v>
      </c>
      <c r="E963" s="40"/>
      <c r="F963" s="40">
        <v>638</v>
      </c>
      <c r="G963" s="38"/>
      <c r="H963" s="38" t="s">
        <v>680</v>
      </c>
      <c r="I963" s="38" t="s">
        <v>88</v>
      </c>
      <c r="J963" s="38">
        <v>4</v>
      </c>
      <c r="K963" s="56">
        <v>0.35</v>
      </c>
      <c r="L963" s="52" t="s">
        <v>213</v>
      </c>
      <c r="M963" s="53" t="s">
        <v>213</v>
      </c>
    </row>
    <row r="964" spans="1:13" x14ac:dyDescent="0.3">
      <c r="A964" s="37">
        <v>40</v>
      </c>
      <c r="B964" s="38" t="s">
        <v>682</v>
      </c>
      <c r="C964" s="51">
        <v>7894916510288</v>
      </c>
      <c r="D964" s="40" t="s">
        <v>619</v>
      </c>
      <c r="E964" s="40"/>
      <c r="F964" s="40">
        <v>639</v>
      </c>
      <c r="G964" s="38"/>
      <c r="H964" s="38" t="s">
        <v>681</v>
      </c>
      <c r="I964" s="38" t="s">
        <v>88</v>
      </c>
      <c r="J964" s="38">
        <v>4</v>
      </c>
      <c r="K964" s="56">
        <v>0.35</v>
      </c>
      <c r="L964" s="52" t="s">
        <v>213</v>
      </c>
      <c r="M964" s="53" t="s">
        <v>213</v>
      </c>
    </row>
    <row r="965" spans="1:13" x14ac:dyDescent="0.3">
      <c r="A965" s="37">
        <v>40</v>
      </c>
      <c r="B965" s="38" t="s">
        <v>32</v>
      </c>
      <c r="C965" s="51">
        <v>7894916510486</v>
      </c>
      <c r="D965" s="40" t="s">
        <v>619</v>
      </c>
      <c r="E965" s="40"/>
      <c r="F965" s="40">
        <v>759</v>
      </c>
      <c r="G965" s="38"/>
      <c r="H965" s="38" t="s">
        <v>683</v>
      </c>
      <c r="I965" s="38" t="s">
        <v>684</v>
      </c>
      <c r="J965" s="38">
        <v>4</v>
      </c>
      <c r="K965" s="38">
        <v>115.11</v>
      </c>
      <c r="L965" s="52" t="s">
        <v>213</v>
      </c>
      <c r="M965" s="53" t="s">
        <v>213</v>
      </c>
    </row>
    <row r="966" spans="1:13" x14ac:dyDescent="0.3">
      <c r="A966" s="37">
        <v>40</v>
      </c>
      <c r="B966" s="38" t="s">
        <v>685</v>
      </c>
      <c r="C966" s="51">
        <v>7894916510493</v>
      </c>
      <c r="D966" s="40" t="s">
        <v>619</v>
      </c>
      <c r="E966" s="40"/>
      <c r="F966" s="40">
        <v>759</v>
      </c>
      <c r="G966" s="38"/>
      <c r="H966" s="38" t="s">
        <v>683</v>
      </c>
      <c r="I966" s="38" t="s">
        <v>684</v>
      </c>
      <c r="J966" s="38">
        <v>2</v>
      </c>
      <c r="K966" s="38">
        <v>190.75</v>
      </c>
      <c r="L966" s="52" t="s">
        <v>213</v>
      </c>
      <c r="M966" s="53" t="s">
        <v>213</v>
      </c>
    </row>
    <row r="967" spans="1:13" x14ac:dyDescent="0.3">
      <c r="A967" s="37">
        <v>40</v>
      </c>
      <c r="B967" s="38" t="s">
        <v>686</v>
      </c>
      <c r="C967" s="51">
        <v>7894916510554</v>
      </c>
      <c r="D967" s="40" t="s">
        <v>619</v>
      </c>
      <c r="E967" s="40"/>
      <c r="F967" s="40">
        <v>638</v>
      </c>
      <c r="G967" s="38"/>
      <c r="H967" s="38" t="s">
        <v>680</v>
      </c>
      <c r="I967" s="38" t="s">
        <v>88</v>
      </c>
      <c r="J967" s="38">
        <v>4</v>
      </c>
      <c r="K967" s="56">
        <v>0.35</v>
      </c>
      <c r="L967" s="52" t="s">
        <v>213</v>
      </c>
      <c r="M967" s="53" t="s">
        <v>213</v>
      </c>
    </row>
    <row r="968" spans="1:13" x14ac:dyDescent="0.3">
      <c r="A968" s="37">
        <v>40</v>
      </c>
      <c r="B968" s="38" t="s">
        <v>686</v>
      </c>
      <c r="C968" s="51">
        <v>7894916510554</v>
      </c>
      <c r="D968" s="40" t="s">
        <v>619</v>
      </c>
      <c r="E968" s="40"/>
      <c r="F968" s="40">
        <v>639</v>
      </c>
      <c r="G968" s="38"/>
      <c r="H968" s="38" t="s">
        <v>681</v>
      </c>
      <c r="I968" s="38" t="s">
        <v>88</v>
      </c>
      <c r="J968" s="38">
        <v>4</v>
      </c>
      <c r="K968" s="56">
        <v>0.35</v>
      </c>
      <c r="L968" s="52" t="s">
        <v>213</v>
      </c>
      <c r="M968" s="53" t="s">
        <v>213</v>
      </c>
    </row>
    <row r="969" spans="1:13" x14ac:dyDescent="0.3">
      <c r="A969" s="37">
        <v>40</v>
      </c>
      <c r="B969" s="38" t="s">
        <v>687</v>
      </c>
      <c r="C969" s="51">
        <v>7894916512008</v>
      </c>
      <c r="D969" s="40" t="s">
        <v>619</v>
      </c>
      <c r="E969" s="40"/>
      <c r="F969" s="40">
        <v>344</v>
      </c>
      <c r="G969" s="38"/>
      <c r="H969" s="38" t="s">
        <v>664</v>
      </c>
      <c r="I969" s="38" t="s">
        <v>88</v>
      </c>
      <c r="J969" s="38">
        <v>4</v>
      </c>
      <c r="K969" s="56">
        <v>0.3</v>
      </c>
      <c r="L969" s="52" t="s">
        <v>213</v>
      </c>
      <c r="M969" s="53" t="s">
        <v>213</v>
      </c>
    </row>
    <row r="970" spans="1:13" x14ac:dyDescent="0.3">
      <c r="A970" s="37">
        <v>40</v>
      </c>
      <c r="B970" s="38" t="s">
        <v>687</v>
      </c>
      <c r="C970" s="51">
        <v>7894916512008</v>
      </c>
      <c r="D970" s="40" t="s">
        <v>619</v>
      </c>
      <c r="E970" s="40"/>
      <c r="F970" s="40">
        <v>592</v>
      </c>
      <c r="G970" s="38"/>
      <c r="H970" s="38" t="s">
        <v>665</v>
      </c>
      <c r="I970" s="38" t="s">
        <v>88</v>
      </c>
      <c r="J970" s="38">
        <v>4</v>
      </c>
      <c r="K970" s="56">
        <v>0.3</v>
      </c>
      <c r="L970" s="52" t="s">
        <v>213</v>
      </c>
      <c r="M970" s="53" t="s">
        <v>213</v>
      </c>
    </row>
    <row r="971" spans="1:13" x14ac:dyDescent="0.3">
      <c r="A971" s="37">
        <v>40</v>
      </c>
      <c r="B971" s="38" t="s">
        <v>688</v>
      </c>
      <c r="C971" s="51">
        <v>7894916512015</v>
      </c>
      <c r="D971" s="40" t="s">
        <v>619</v>
      </c>
      <c r="E971" s="40"/>
      <c r="F971" s="40">
        <v>344</v>
      </c>
      <c r="G971" s="38"/>
      <c r="H971" s="38" t="s">
        <v>664</v>
      </c>
      <c r="I971" s="38" t="s">
        <v>88</v>
      </c>
      <c r="J971" s="38">
        <v>4</v>
      </c>
      <c r="K971" s="56">
        <v>0.3</v>
      </c>
      <c r="L971" s="52" t="s">
        <v>213</v>
      </c>
      <c r="M971" s="53" t="s">
        <v>213</v>
      </c>
    </row>
    <row r="972" spans="1:13" x14ac:dyDescent="0.3">
      <c r="A972" s="37">
        <v>40</v>
      </c>
      <c r="B972" s="38" t="s">
        <v>688</v>
      </c>
      <c r="C972" s="51">
        <v>7894916512015</v>
      </c>
      <c r="D972" s="40" t="s">
        <v>619</v>
      </c>
      <c r="E972" s="40"/>
      <c r="F972" s="40">
        <v>592</v>
      </c>
      <c r="G972" s="38"/>
      <c r="H972" s="38" t="s">
        <v>665</v>
      </c>
      <c r="I972" s="38" t="s">
        <v>88</v>
      </c>
      <c r="J972" s="38">
        <v>4</v>
      </c>
      <c r="K972" s="56">
        <v>0.3</v>
      </c>
      <c r="L972" s="52" t="s">
        <v>213</v>
      </c>
      <c r="M972" s="53" t="s">
        <v>213</v>
      </c>
    </row>
    <row r="973" spans="1:13" x14ac:dyDescent="0.3">
      <c r="A973" s="37">
        <v>40</v>
      </c>
      <c r="B973" s="38" t="s">
        <v>689</v>
      </c>
      <c r="C973" s="51">
        <v>7894916512442</v>
      </c>
      <c r="D973" s="40" t="s">
        <v>619</v>
      </c>
      <c r="E973" s="40"/>
      <c r="F973" s="40">
        <v>981</v>
      </c>
      <c r="G973" s="38"/>
      <c r="H973" s="38" t="s">
        <v>690</v>
      </c>
      <c r="I973" s="38" t="s">
        <v>672</v>
      </c>
      <c r="J973" s="38">
        <v>4</v>
      </c>
      <c r="K973" s="38" t="s">
        <v>691</v>
      </c>
      <c r="L973" s="52" t="s">
        <v>213</v>
      </c>
      <c r="M973" s="53" t="s">
        <v>213</v>
      </c>
    </row>
    <row r="974" spans="1:13" x14ac:dyDescent="0.3">
      <c r="A974" s="37">
        <v>40</v>
      </c>
      <c r="B974" s="38" t="s">
        <v>692</v>
      </c>
      <c r="C974" s="51">
        <v>7894916512466</v>
      </c>
      <c r="D974" s="40" t="s">
        <v>619</v>
      </c>
      <c r="E974" s="40"/>
      <c r="F974" s="40">
        <v>981</v>
      </c>
      <c r="G974" s="38"/>
      <c r="H974" s="38" t="s">
        <v>690</v>
      </c>
      <c r="I974" s="38" t="s">
        <v>672</v>
      </c>
      <c r="J974" s="38">
        <v>4</v>
      </c>
      <c r="K974" s="38" t="s">
        <v>691</v>
      </c>
      <c r="L974" s="52" t="s">
        <v>213</v>
      </c>
      <c r="M974" s="53" t="s">
        <v>213</v>
      </c>
    </row>
    <row r="975" spans="1:13" x14ac:dyDescent="0.3">
      <c r="A975" s="37">
        <v>40</v>
      </c>
      <c r="B975" s="38" t="s">
        <v>693</v>
      </c>
      <c r="C975" s="51">
        <v>7894916512480</v>
      </c>
      <c r="D975" s="40" t="s">
        <v>619</v>
      </c>
      <c r="E975" s="40"/>
      <c r="F975" s="40">
        <v>836</v>
      </c>
      <c r="G975" s="38"/>
      <c r="H975" s="38" t="s">
        <v>644</v>
      </c>
      <c r="I975" s="38" t="s">
        <v>639</v>
      </c>
      <c r="J975" s="38">
        <v>3</v>
      </c>
      <c r="K975" s="38" t="s">
        <v>645</v>
      </c>
      <c r="L975" s="52" t="s">
        <v>213</v>
      </c>
      <c r="M975" s="53" t="s">
        <v>213</v>
      </c>
    </row>
    <row r="976" spans="1:13" x14ac:dyDescent="0.3">
      <c r="A976" s="37">
        <v>40</v>
      </c>
      <c r="B976" s="38" t="s">
        <v>694</v>
      </c>
      <c r="C976" s="51">
        <v>7894916512565</v>
      </c>
      <c r="D976" s="40" t="s">
        <v>619</v>
      </c>
      <c r="E976" s="40"/>
      <c r="F976" s="40">
        <v>347</v>
      </c>
      <c r="G976" s="38"/>
      <c r="H976" s="38" t="s">
        <v>671</v>
      </c>
      <c r="I976" s="38" t="s">
        <v>672</v>
      </c>
      <c r="J976" s="38">
        <v>2</v>
      </c>
      <c r="K976" s="38" t="s">
        <v>673</v>
      </c>
      <c r="L976" s="52" t="s">
        <v>213</v>
      </c>
      <c r="M976" s="53" t="s">
        <v>213</v>
      </c>
    </row>
    <row r="977" spans="1:13" x14ac:dyDescent="0.3">
      <c r="A977" s="37">
        <v>40</v>
      </c>
      <c r="B977" s="38" t="s">
        <v>694</v>
      </c>
      <c r="C977" s="51">
        <v>7894916512565</v>
      </c>
      <c r="D977" s="40" t="s">
        <v>619</v>
      </c>
      <c r="E977" s="40"/>
      <c r="F977" s="40">
        <v>656</v>
      </c>
      <c r="G977" s="38"/>
      <c r="H977" s="38" t="s">
        <v>674</v>
      </c>
      <c r="I977" s="38" t="s">
        <v>672</v>
      </c>
      <c r="J977" s="38">
        <v>2</v>
      </c>
      <c r="K977" s="38" t="s">
        <v>673</v>
      </c>
      <c r="L977" s="52" t="s">
        <v>213</v>
      </c>
      <c r="M977" s="53" t="s">
        <v>213</v>
      </c>
    </row>
    <row r="978" spans="1:13" x14ac:dyDescent="0.3">
      <c r="A978" s="37">
        <v>40</v>
      </c>
      <c r="B978" s="38" t="s">
        <v>694</v>
      </c>
      <c r="C978" s="51">
        <v>7894916512565</v>
      </c>
      <c r="D978" s="40" t="s">
        <v>619</v>
      </c>
      <c r="E978" s="40"/>
      <c r="F978" s="40">
        <v>995</v>
      </c>
      <c r="G978" s="38"/>
      <c r="H978" s="38" t="s">
        <v>695</v>
      </c>
      <c r="I978" s="38" t="s">
        <v>88</v>
      </c>
      <c r="J978" s="38">
        <v>2</v>
      </c>
      <c r="K978" s="56">
        <v>0.4</v>
      </c>
      <c r="L978" s="52" t="s">
        <v>213</v>
      </c>
      <c r="M978" s="53" t="s">
        <v>213</v>
      </c>
    </row>
    <row r="979" spans="1:13" x14ac:dyDescent="0.3">
      <c r="A979" s="37">
        <v>40</v>
      </c>
      <c r="B979" s="38" t="s">
        <v>667</v>
      </c>
      <c r="C979" s="51">
        <v>7894916512992</v>
      </c>
      <c r="D979" s="40" t="s">
        <v>619</v>
      </c>
      <c r="E979" s="40"/>
      <c r="F979" s="40">
        <v>385</v>
      </c>
      <c r="G979" s="38"/>
      <c r="H979" s="38" t="s">
        <v>668</v>
      </c>
      <c r="I979" s="38" t="s">
        <v>351</v>
      </c>
      <c r="J979" s="38">
        <v>1</v>
      </c>
      <c r="K979" s="38" t="s">
        <v>669</v>
      </c>
      <c r="L979" s="52" t="s">
        <v>213</v>
      </c>
      <c r="M979" s="53" t="s">
        <v>213</v>
      </c>
    </row>
    <row r="980" spans="1:13" x14ac:dyDescent="0.3">
      <c r="A980" s="37">
        <v>40</v>
      </c>
      <c r="B980" s="38" t="s">
        <v>667</v>
      </c>
      <c r="C980" s="51">
        <v>7894916512992</v>
      </c>
      <c r="D980" s="40" t="s">
        <v>619</v>
      </c>
      <c r="E980" s="40"/>
      <c r="F980" s="40">
        <v>386</v>
      </c>
      <c r="G980" s="38"/>
      <c r="H980" s="38" t="s">
        <v>696</v>
      </c>
      <c r="I980" s="38" t="s">
        <v>88</v>
      </c>
      <c r="J980" s="38">
        <v>4</v>
      </c>
      <c r="K980" s="56">
        <v>0.35</v>
      </c>
      <c r="L980" s="52" t="s">
        <v>213</v>
      </c>
      <c r="M980" s="53" t="s">
        <v>213</v>
      </c>
    </row>
    <row r="981" spans="1:13" x14ac:dyDescent="0.3">
      <c r="A981" s="37">
        <v>40</v>
      </c>
      <c r="B981" s="38" t="s">
        <v>697</v>
      </c>
      <c r="C981" s="51">
        <v>7894916513012</v>
      </c>
      <c r="D981" s="40" t="s">
        <v>619</v>
      </c>
      <c r="E981" s="40"/>
      <c r="F981" s="40">
        <v>981</v>
      </c>
      <c r="G981" s="38"/>
      <c r="H981" s="38" t="s">
        <v>690</v>
      </c>
      <c r="I981" s="38" t="s">
        <v>88</v>
      </c>
      <c r="J981" s="38">
        <v>4</v>
      </c>
      <c r="K981" s="56">
        <v>0.2</v>
      </c>
      <c r="L981" s="52" t="s">
        <v>213</v>
      </c>
      <c r="M981" s="53" t="s">
        <v>213</v>
      </c>
    </row>
    <row r="982" spans="1:13" x14ac:dyDescent="0.3">
      <c r="A982" s="37">
        <v>40</v>
      </c>
      <c r="B982" s="38" t="s">
        <v>698</v>
      </c>
      <c r="C982" s="51">
        <v>7894916513029</v>
      </c>
      <c r="D982" s="40" t="s">
        <v>619</v>
      </c>
      <c r="E982" s="40"/>
      <c r="F982" s="40">
        <v>981</v>
      </c>
      <c r="G982" s="38"/>
      <c r="H982" s="38" t="s">
        <v>690</v>
      </c>
      <c r="I982" s="38" t="s">
        <v>88</v>
      </c>
      <c r="J982" s="38">
        <v>4</v>
      </c>
      <c r="K982" s="56">
        <v>0.2</v>
      </c>
      <c r="L982" s="52" t="s">
        <v>213</v>
      </c>
      <c r="M982" s="53" t="s">
        <v>213</v>
      </c>
    </row>
    <row r="983" spans="1:13" x14ac:dyDescent="0.3">
      <c r="A983" s="37">
        <v>40</v>
      </c>
      <c r="B983" s="38" t="s">
        <v>699</v>
      </c>
      <c r="C983" s="51">
        <v>7894916513173</v>
      </c>
      <c r="D983" s="40" t="s">
        <v>619</v>
      </c>
      <c r="E983" s="40"/>
      <c r="F983" s="40">
        <v>978</v>
      </c>
      <c r="G983" s="38"/>
      <c r="H983" s="38" t="s">
        <v>636</v>
      </c>
      <c r="I983" s="38" t="s">
        <v>480</v>
      </c>
      <c r="J983" s="49" t="s">
        <v>213</v>
      </c>
      <c r="K983" s="38" t="s">
        <v>480</v>
      </c>
      <c r="L983" s="49" t="s">
        <v>213</v>
      </c>
      <c r="M983" s="54" t="s">
        <v>213</v>
      </c>
    </row>
    <row r="984" spans="1:13" x14ac:dyDescent="0.3">
      <c r="A984" s="37">
        <v>40</v>
      </c>
      <c r="B984" s="38" t="s">
        <v>700</v>
      </c>
      <c r="C984" s="51">
        <v>7894916513197</v>
      </c>
      <c r="D984" s="40" t="s">
        <v>619</v>
      </c>
      <c r="E984" s="40"/>
      <c r="F984" s="40">
        <v>978</v>
      </c>
      <c r="G984" s="38"/>
      <c r="H984" s="38" t="s">
        <v>636</v>
      </c>
      <c r="I984" s="38" t="s">
        <v>480</v>
      </c>
      <c r="J984" s="49" t="s">
        <v>213</v>
      </c>
      <c r="K984" s="38" t="s">
        <v>480</v>
      </c>
      <c r="L984" s="49" t="s">
        <v>213</v>
      </c>
      <c r="M984" s="54" t="s">
        <v>213</v>
      </c>
    </row>
    <row r="985" spans="1:13" x14ac:dyDescent="0.3">
      <c r="A985" s="37">
        <v>40</v>
      </c>
      <c r="B985" s="38" t="s">
        <v>39</v>
      </c>
      <c r="C985" s="51">
        <v>7894916513234</v>
      </c>
      <c r="D985" s="40" t="s">
        <v>619</v>
      </c>
      <c r="E985" s="40"/>
      <c r="F985" s="40">
        <v>833</v>
      </c>
      <c r="G985" s="38"/>
      <c r="H985" s="38" t="s">
        <v>701</v>
      </c>
      <c r="I985" s="38" t="s">
        <v>684</v>
      </c>
      <c r="J985" s="38">
        <v>4</v>
      </c>
      <c r="K985" s="38">
        <v>131.88</v>
      </c>
      <c r="L985" s="52" t="s">
        <v>213</v>
      </c>
      <c r="M985" s="53" t="s">
        <v>213</v>
      </c>
    </row>
    <row r="986" spans="1:13" x14ac:dyDescent="0.3">
      <c r="A986" s="37">
        <v>40</v>
      </c>
      <c r="B986" s="38" t="s">
        <v>702</v>
      </c>
      <c r="C986" s="51">
        <v>7894916513241</v>
      </c>
      <c r="D986" s="40" t="s">
        <v>619</v>
      </c>
      <c r="E986" s="40"/>
      <c r="F986" s="40">
        <v>833</v>
      </c>
      <c r="G986" s="38"/>
      <c r="H986" s="38" t="s">
        <v>701</v>
      </c>
      <c r="I986" s="38" t="s">
        <v>684</v>
      </c>
      <c r="J986" s="38">
        <v>2</v>
      </c>
      <c r="K986" s="38">
        <v>218.99</v>
      </c>
      <c r="L986" s="52" t="s">
        <v>213</v>
      </c>
      <c r="M986" s="53" t="s">
        <v>213</v>
      </c>
    </row>
    <row r="987" spans="1:13" x14ac:dyDescent="0.3">
      <c r="A987" s="37">
        <v>40</v>
      </c>
      <c r="B987" s="38" t="s">
        <v>703</v>
      </c>
      <c r="C987" s="51">
        <v>7894916514712</v>
      </c>
      <c r="D987" s="40" t="s">
        <v>619</v>
      </c>
      <c r="E987" s="40"/>
      <c r="F987" s="40">
        <v>997</v>
      </c>
      <c r="G987" s="38"/>
      <c r="H987" s="38" t="s">
        <v>704</v>
      </c>
      <c r="I987" s="38" t="s">
        <v>88</v>
      </c>
      <c r="J987" s="38">
        <v>4</v>
      </c>
      <c r="K987" s="56">
        <v>0.3</v>
      </c>
      <c r="L987" s="52" t="s">
        <v>213</v>
      </c>
      <c r="M987" s="53" t="s">
        <v>213</v>
      </c>
    </row>
    <row r="988" spans="1:13" x14ac:dyDescent="0.3">
      <c r="A988" s="37">
        <v>40</v>
      </c>
      <c r="B988" s="38" t="s">
        <v>705</v>
      </c>
      <c r="C988" s="51">
        <v>7894916514729</v>
      </c>
      <c r="D988" s="40" t="s">
        <v>619</v>
      </c>
      <c r="E988" s="40"/>
      <c r="F988" s="40">
        <v>997</v>
      </c>
      <c r="G988" s="38"/>
      <c r="H988" s="38" t="s">
        <v>704</v>
      </c>
      <c r="I988" s="38" t="s">
        <v>88</v>
      </c>
      <c r="J988" s="38">
        <v>4</v>
      </c>
      <c r="K988" s="56">
        <v>0.3</v>
      </c>
      <c r="L988" s="52" t="s">
        <v>213</v>
      </c>
      <c r="M988" s="53" t="s">
        <v>213</v>
      </c>
    </row>
    <row r="989" spans="1:13" x14ac:dyDescent="0.3">
      <c r="A989" s="37">
        <v>40</v>
      </c>
      <c r="B989" s="38" t="s">
        <v>706</v>
      </c>
      <c r="C989" s="51">
        <v>7894916514736</v>
      </c>
      <c r="D989" s="40" t="s">
        <v>619</v>
      </c>
      <c r="E989" s="40"/>
      <c r="F989" s="40">
        <v>997</v>
      </c>
      <c r="G989" s="38"/>
      <c r="H989" s="38" t="s">
        <v>704</v>
      </c>
      <c r="I989" s="38" t="s">
        <v>88</v>
      </c>
      <c r="J989" s="38">
        <v>4</v>
      </c>
      <c r="K989" s="56">
        <v>0.3</v>
      </c>
      <c r="L989" s="52" t="s">
        <v>213</v>
      </c>
      <c r="M989" s="53" t="s">
        <v>213</v>
      </c>
    </row>
    <row r="990" spans="1:13" x14ac:dyDescent="0.3">
      <c r="A990" s="37">
        <v>40</v>
      </c>
      <c r="B990" s="38" t="s">
        <v>707</v>
      </c>
      <c r="C990" s="51">
        <v>7894916515207</v>
      </c>
      <c r="D990" s="40" t="s">
        <v>619</v>
      </c>
      <c r="E990" s="40"/>
      <c r="F990" s="40">
        <v>759</v>
      </c>
      <c r="G990" s="38"/>
      <c r="H990" s="38" t="s">
        <v>683</v>
      </c>
      <c r="I990" s="38" t="s">
        <v>684</v>
      </c>
      <c r="J990" s="38">
        <v>2</v>
      </c>
      <c r="K990" s="38">
        <v>190.75</v>
      </c>
      <c r="L990" s="52" t="s">
        <v>213</v>
      </c>
      <c r="M990" s="53" t="s">
        <v>213</v>
      </c>
    </row>
    <row r="991" spans="1:13" x14ac:dyDescent="0.3">
      <c r="A991" s="37">
        <v>40</v>
      </c>
      <c r="B991" s="38" t="s">
        <v>44</v>
      </c>
      <c r="C991" s="51">
        <v>7894916515214</v>
      </c>
      <c r="D991" s="40" t="s">
        <v>619</v>
      </c>
      <c r="E991" s="40"/>
      <c r="F991" s="40">
        <v>833</v>
      </c>
      <c r="G991" s="38"/>
      <c r="H991" s="38" t="s">
        <v>701</v>
      </c>
      <c r="I991" s="38" t="s">
        <v>684</v>
      </c>
      <c r="J991" s="38">
        <v>2</v>
      </c>
      <c r="K991" s="38">
        <v>218.99</v>
      </c>
      <c r="L991" s="52" t="s">
        <v>213</v>
      </c>
      <c r="M991" s="53" t="s">
        <v>213</v>
      </c>
    </row>
    <row r="992" spans="1:13" x14ac:dyDescent="0.3">
      <c r="A992" s="37">
        <v>40</v>
      </c>
      <c r="B992" s="38" t="s">
        <v>708</v>
      </c>
      <c r="C992" s="51">
        <v>7894916515559</v>
      </c>
      <c r="D992" s="40" t="s">
        <v>619</v>
      </c>
      <c r="E992" s="40"/>
      <c r="F992" s="40">
        <v>385</v>
      </c>
      <c r="G992" s="38"/>
      <c r="H992" s="38" t="s">
        <v>668</v>
      </c>
      <c r="I992" s="38" t="s">
        <v>351</v>
      </c>
      <c r="J992" s="38">
        <v>1</v>
      </c>
      <c r="K992" s="38" t="s">
        <v>669</v>
      </c>
      <c r="L992" s="52" t="s">
        <v>213</v>
      </c>
      <c r="M992" s="53" t="s">
        <v>213</v>
      </c>
    </row>
    <row r="993" spans="1:13" x14ac:dyDescent="0.3">
      <c r="A993" s="37">
        <v>40</v>
      </c>
      <c r="B993" s="38" t="s">
        <v>708</v>
      </c>
      <c r="C993" s="51">
        <v>7894916515559</v>
      </c>
      <c r="D993" s="40" t="s">
        <v>619</v>
      </c>
      <c r="E993" s="40"/>
      <c r="F993" s="40">
        <v>386</v>
      </c>
      <c r="G993" s="38"/>
      <c r="H993" s="38" t="s">
        <v>696</v>
      </c>
      <c r="I993" s="38" t="s">
        <v>88</v>
      </c>
      <c r="J993" s="38">
        <v>4</v>
      </c>
      <c r="K993" s="56">
        <v>0.35</v>
      </c>
      <c r="L993" s="52" t="s">
        <v>213</v>
      </c>
      <c r="M993" s="53" t="s">
        <v>213</v>
      </c>
    </row>
    <row r="994" spans="1:13" x14ac:dyDescent="0.3">
      <c r="A994" s="37">
        <v>40</v>
      </c>
      <c r="B994" s="38" t="s">
        <v>28</v>
      </c>
      <c r="C994" s="51">
        <v>7896004724843</v>
      </c>
      <c r="D994" s="40" t="s">
        <v>619</v>
      </c>
      <c r="E994" s="40"/>
      <c r="F994" s="40">
        <v>771</v>
      </c>
      <c r="G994" s="38"/>
      <c r="H994" s="38" t="s">
        <v>709</v>
      </c>
      <c r="I994" s="38" t="s">
        <v>639</v>
      </c>
      <c r="J994" s="38">
        <v>4</v>
      </c>
      <c r="K994" s="38" t="s">
        <v>710</v>
      </c>
      <c r="L994" s="52" t="s">
        <v>213</v>
      </c>
      <c r="M994" s="53" t="s">
        <v>213</v>
      </c>
    </row>
    <row r="995" spans="1:13" x14ac:dyDescent="0.3">
      <c r="A995" s="37">
        <v>40</v>
      </c>
      <c r="B995" s="38" t="s">
        <v>711</v>
      </c>
      <c r="C995" s="51">
        <v>7896004725222</v>
      </c>
      <c r="D995" s="40" t="s">
        <v>619</v>
      </c>
      <c r="E995" s="40"/>
      <c r="F995" s="40">
        <v>773</v>
      </c>
      <c r="G995" s="38"/>
      <c r="H995" s="38" t="s">
        <v>712</v>
      </c>
      <c r="I995" s="38" t="s">
        <v>639</v>
      </c>
      <c r="J995" s="38">
        <v>3</v>
      </c>
      <c r="K995" s="38" t="s">
        <v>713</v>
      </c>
      <c r="L995" s="52" t="s">
        <v>213</v>
      </c>
      <c r="M995" s="53" t="s">
        <v>213</v>
      </c>
    </row>
    <row r="996" spans="1:13" x14ac:dyDescent="0.3">
      <c r="A996" s="37">
        <v>40</v>
      </c>
      <c r="B996" s="38" t="s">
        <v>41</v>
      </c>
      <c r="C996" s="51">
        <v>7896004725536</v>
      </c>
      <c r="D996" s="40" t="s">
        <v>619</v>
      </c>
      <c r="E996" s="40"/>
      <c r="F996" s="40">
        <v>774</v>
      </c>
      <c r="G996" s="38"/>
      <c r="H996" s="38" t="s">
        <v>714</v>
      </c>
      <c r="I996" s="38" t="s">
        <v>639</v>
      </c>
      <c r="J996" s="38">
        <v>3</v>
      </c>
      <c r="K996" s="38" t="s">
        <v>715</v>
      </c>
      <c r="L996" s="52" t="s">
        <v>213</v>
      </c>
      <c r="M996" s="53" t="s">
        <v>213</v>
      </c>
    </row>
    <row r="997" spans="1:13" x14ac:dyDescent="0.3">
      <c r="A997" s="37">
        <v>40</v>
      </c>
      <c r="B997" s="38" t="s">
        <v>716</v>
      </c>
      <c r="C997" s="51">
        <v>7896004726137</v>
      </c>
      <c r="D997" s="40" t="s">
        <v>619</v>
      </c>
      <c r="E997" s="40"/>
      <c r="F997" s="40">
        <v>772</v>
      </c>
      <c r="G997" s="38"/>
      <c r="H997" s="38" t="s">
        <v>717</v>
      </c>
      <c r="I997" s="38" t="s">
        <v>639</v>
      </c>
      <c r="J997" s="38">
        <v>3</v>
      </c>
      <c r="K997" s="38" t="s">
        <v>718</v>
      </c>
      <c r="L997" s="52" t="s">
        <v>213</v>
      </c>
      <c r="M997" s="53" t="s">
        <v>213</v>
      </c>
    </row>
    <row r="998" spans="1:13" x14ac:dyDescent="0.3">
      <c r="A998" s="37">
        <v>40</v>
      </c>
      <c r="B998" s="38" t="s">
        <v>719</v>
      </c>
      <c r="C998" s="51">
        <v>7896004749013</v>
      </c>
      <c r="D998" s="40" t="s">
        <v>619</v>
      </c>
      <c r="E998" s="40"/>
      <c r="F998" s="40">
        <v>706</v>
      </c>
      <c r="G998" s="38"/>
      <c r="H998" s="38" t="s">
        <v>720</v>
      </c>
      <c r="I998" s="38" t="s">
        <v>639</v>
      </c>
      <c r="J998" s="38">
        <v>3</v>
      </c>
      <c r="K998" s="38" t="s">
        <v>721</v>
      </c>
      <c r="L998" s="52" t="s">
        <v>213</v>
      </c>
      <c r="M998" s="53" t="s">
        <v>213</v>
      </c>
    </row>
    <row r="999" spans="1:13" x14ac:dyDescent="0.3">
      <c r="A999" s="37">
        <v>40</v>
      </c>
      <c r="B999" s="38" t="s">
        <v>722</v>
      </c>
      <c r="C999" s="51">
        <v>7896004749020</v>
      </c>
      <c r="D999" s="40" t="s">
        <v>619</v>
      </c>
      <c r="E999" s="40"/>
      <c r="F999" s="40">
        <v>705</v>
      </c>
      <c r="G999" s="38"/>
      <c r="H999" s="38" t="s">
        <v>723</v>
      </c>
      <c r="I999" s="38" t="s">
        <v>639</v>
      </c>
      <c r="J999" s="38">
        <v>3</v>
      </c>
      <c r="K999" s="38" t="s">
        <v>724</v>
      </c>
      <c r="L999" s="52" t="s">
        <v>213</v>
      </c>
      <c r="M999" s="53" t="s">
        <v>213</v>
      </c>
    </row>
    <row r="1000" spans="1:13" x14ac:dyDescent="0.3">
      <c r="A1000" s="37">
        <v>40</v>
      </c>
      <c r="B1000" s="38" t="s">
        <v>725</v>
      </c>
      <c r="C1000" s="51">
        <v>7896004756035</v>
      </c>
      <c r="D1000" s="40" t="s">
        <v>619</v>
      </c>
      <c r="E1000" s="40"/>
      <c r="F1000" s="40">
        <v>778</v>
      </c>
      <c r="G1000" s="38"/>
      <c r="H1000" s="38" t="s">
        <v>726</v>
      </c>
      <c r="I1000" s="38" t="s">
        <v>639</v>
      </c>
      <c r="J1000" s="38">
        <v>3</v>
      </c>
      <c r="K1000" s="38" t="s">
        <v>727</v>
      </c>
      <c r="L1000" s="52" t="s">
        <v>213</v>
      </c>
      <c r="M1000" s="53" t="s">
        <v>213</v>
      </c>
    </row>
    <row r="1001" spans="1:13" x14ac:dyDescent="0.3">
      <c r="A1001" s="37">
        <v>40</v>
      </c>
      <c r="B1001" s="38" t="s">
        <v>728</v>
      </c>
      <c r="C1001" s="51">
        <v>7896004757445</v>
      </c>
      <c r="D1001" s="40" t="s">
        <v>619</v>
      </c>
      <c r="E1001" s="40"/>
      <c r="F1001" s="40">
        <v>777</v>
      </c>
      <c r="G1001" s="38"/>
      <c r="H1001" s="38" t="s">
        <v>729</v>
      </c>
      <c r="I1001" s="38" t="s">
        <v>639</v>
      </c>
      <c r="J1001" s="38">
        <v>3</v>
      </c>
      <c r="K1001" s="38" t="s">
        <v>730</v>
      </c>
      <c r="L1001" s="52" t="s">
        <v>213</v>
      </c>
      <c r="M1001" s="53" t="s">
        <v>213</v>
      </c>
    </row>
    <row r="1002" spans="1:13" x14ac:dyDescent="0.3">
      <c r="A1002" s="37">
        <v>40</v>
      </c>
      <c r="B1002" s="38" t="s">
        <v>731</v>
      </c>
      <c r="C1002" s="51">
        <v>7896004757957</v>
      </c>
      <c r="D1002" s="40" t="s">
        <v>619</v>
      </c>
      <c r="E1002" s="40"/>
      <c r="F1002" s="40">
        <v>917</v>
      </c>
      <c r="G1002" s="38"/>
      <c r="H1002" s="38" t="s">
        <v>732</v>
      </c>
      <c r="I1002" s="38" t="s">
        <v>639</v>
      </c>
      <c r="J1002" s="38">
        <v>3</v>
      </c>
      <c r="K1002" s="38" t="s">
        <v>733</v>
      </c>
      <c r="L1002" s="52" t="s">
        <v>213</v>
      </c>
      <c r="M1002" s="53" t="s">
        <v>213</v>
      </c>
    </row>
    <row r="1003" spans="1:13" x14ac:dyDescent="0.3">
      <c r="A1003" s="37">
        <v>40</v>
      </c>
      <c r="B1003" s="38" t="s">
        <v>734</v>
      </c>
      <c r="C1003" s="51">
        <v>7896004759432</v>
      </c>
      <c r="D1003" s="40" t="s">
        <v>619</v>
      </c>
      <c r="E1003" s="40"/>
      <c r="F1003" s="40">
        <v>782</v>
      </c>
      <c r="G1003" s="38"/>
      <c r="H1003" s="38" t="s">
        <v>735</v>
      </c>
      <c r="I1003" s="38" t="s">
        <v>88</v>
      </c>
      <c r="J1003" s="38">
        <v>2</v>
      </c>
      <c r="K1003" s="56">
        <v>0.45</v>
      </c>
      <c r="L1003" s="52" t="s">
        <v>213</v>
      </c>
      <c r="M1003" s="53" t="s">
        <v>213</v>
      </c>
    </row>
    <row r="1004" spans="1:13" x14ac:dyDescent="0.3">
      <c r="A1004" s="37">
        <v>40</v>
      </c>
      <c r="B1004" s="38" t="s">
        <v>736</v>
      </c>
      <c r="C1004" s="51">
        <v>7896004760957</v>
      </c>
      <c r="D1004" s="40" t="s">
        <v>619</v>
      </c>
      <c r="E1004" s="40"/>
      <c r="F1004" s="40">
        <v>776</v>
      </c>
      <c r="G1004" s="38"/>
      <c r="H1004" s="38" t="s">
        <v>737</v>
      </c>
      <c r="I1004" s="38" t="s">
        <v>88</v>
      </c>
      <c r="J1004" s="38">
        <v>3</v>
      </c>
      <c r="K1004" s="56">
        <v>0.05</v>
      </c>
      <c r="L1004" s="52" t="s">
        <v>213</v>
      </c>
      <c r="M1004" s="53" t="s">
        <v>213</v>
      </c>
    </row>
    <row r="1005" spans="1:13" x14ac:dyDescent="0.3">
      <c r="A1005" s="37">
        <v>40</v>
      </c>
      <c r="B1005" s="38" t="s">
        <v>738</v>
      </c>
      <c r="C1005" s="51">
        <v>7896004762951</v>
      </c>
      <c r="D1005" s="40" t="s">
        <v>619</v>
      </c>
      <c r="E1005" s="40"/>
      <c r="F1005" s="40">
        <v>706</v>
      </c>
      <c r="G1005" s="38"/>
      <c r="H1005" s="38" t="s">
        <v>720</v>
      </c>
      <c r="I1005" s="38" t="s">
        <v>639</v>
      </c>
      <c r="J1005" s="38">
        <v>3</v>
      </c>
      <c r="K1005" s="38" t="s">
        <v>721</v>
      </c>
      <c r="L1005" s="52" t="s">
        <v>213</v>
      </c>
      <c r="M1005" s="53" t="s">
        <v>213</v>
      </c>
    </row>
    <row r="1006" spans="1:13" x14ac:dyDescent="0.3">
      <c r="A1006" s="37">
        <v>40</v>
      </c>
      <c r="B1006" s="38" t="s">
        <v>739</v>
      </c>
      <c r="C1006" s="51">
        <v>7896004767680</v>
      </c>
      <c r="D1006" s="40" t="s">
        <v>619</v>
      </c>
      <c r="E1006" s="40"/>
      <c r="F1006" s="40">
        <v>778</v>
      </c>
      <c r="G1006" s="38"/>
      <c r="H1006" s="38" t="s">
        <v>726</v>
      </c>
      <c r="I1006" s="38" t="s">
        <v>639</v>
      </c>
      <c r="J1006" s="38">
        <v>3</v>
      </c>
      <c r="K1006" s="38" t="s">
        <v>727</v>
      </c>
      <c r="L1006" s="52" t="s">
        <v>213</v>
      </c>
      <c r="M1006" s="53" t="s">
        <v>213</v>
      </c>
    </row>
    <row r="1007" spans="1:13" x14ac:dyDescent="0.3">
      <c r="A1007" s="37">
        <v>40</v>
      </c>
      <c r="B1007" s="38" t="s">
        <v>740</v>
      </c>
      <c r="C1007" s="51">
        <v>7896004769325</v>
      </c>
      <c r="D1007" s="40" t="s">
        <v>619</v>
      </c>
      <c r="E1007" s="40"/>
      <c r="F1007" s="40">
        <v>705</v>
      </c>
      <c r="G1007" s="38"/>
      <c r="H1007" s="38" t="s">
        <v>723</v>
      </c>
      <c r="I1007" s="38" t="s">
        <v>639</v>
      </c>
      <c r="J1007" s="38">
        <v>3</v>
      </c>
      <c r="K1007" s="38" t="s">
        <v>724</v>
      </c>
      <c r="L1007" s="52" t="s">
        <v>213</v>
      </c>
      <c r="M1007" s="53" t="s">
        <v>213</v>
      </c>
    </row>
    <row r="1008" spans="1:13" x14ac:dyDescent="0.3">
      <c r="A1008" s="37">
        <v>60</v>
      </c>
      <c r="B1008" s="38" t="s">
        <v>741</v>
      </c>
      <c r="C1008" s="51">
        <v>7898040321499</v>
      </c>
      <c r="D1008" s="40" t="s">
        <v>742</v>
      </c>
      <c r="E1008" s="40"/>
      <c r="F1008" s="40">
        <v>654</v>
      </c>
      <c r="G1008" s="38"/>
      <c r="H1008" s="38" t="s">
        <v>743</v>
      </c>
      <c r="I1008" s="38" t="s">
        <v>88</v>
      </c>
      <c r="J1008" s="38" t="s">
        <v>744</v>
      </c>
      <c r="K1008" s="38" t="s">
        <v>745</v>
      </c>
      <c r="L1008" s="52" t="s">
        <v>213</v>
      </c>
      <c r="M1008" s="53" t="s">
        <v>213</v>
      </c>
    </row>
    <row r="1009" spans="1:13" x14ac:dyDescent="0.3">
      <c r="A1009" s="37">
        <v>60</v>
      </c>
      <c r="B1009" s="38" t="s">
        <v>746</v>
      </c>
      <c r="C1009" s="51">
        <v>7898040322441</v>
      </c>
      <c r="D1009" s="40" t="s">
        <v>742</v>
      </c>
      <c r="E1009" s="40"/>
      <c r="F1009" s="40">
        <v>660</v>
      </c>
      <c r="G1009" s="38"/>
      <c r="H1009" s="38" t="s">
        <v>747</v>
      </c>
      <c r="I1009" s="38" t="s">
        <v>88</v>
      </c>
      <c r="J1009" s="38" t="s">
        <v>748</v>
      </c>
      <c r="K1009" s="38" t="s">
        <v>749</v>
      </c>
      <c r="L1009" s="52" t="s">
        <v>213</v>
      </c>
      <c r="M1009" s="53" t="s">
        <v>213</v>
      </c>
    </row>
    <row r="1010" spans="1:13" x14ac:dyDescent="0.3">
      <c r="A1010" s="37">
        <v>60</v>
      </c>
      <c r="B1010" s="38" t="s">
        <v>750</v>
      </c>
      <c r="C1010" s="51">
        <v>7898040325466</v>
      </c>
      <c r="D1010" s="40" t="s">
        <v>742</v>
      </c>
      <c r="E1010" s="40"/>
      <c r="F1010" s="40">
        <v>989</v>
      </c>
      <c r="G1010" s="38"/>
      <c r="H1010" s="38" t="s">
        <v>751</v>
      </c>
      <c r="I1010" s="38" t="s">
        <v>480</v>
      </c>
      <c r="J1010" s="49" t="s">
        <v>213</v>
      </c>
      <c r="K1010" s="38" t="s">
        <v>480</v>
      </c>
      <c r="L1010" s="49" t="s">
        <v>213</v>
      </c>
      <c r="M1010" s="54" t="s">
        <v>213</v>
      </c>
    </row>
    <row r="1011" spans="1:13" x14ac:dyDescent="0.3">
      <c r="A1011" s="37">
        <v>38</v>
      </c>
      <c r="B1011" s="38" t="s">
        <v>752</v>
      </c>
      <c r="C1011" s="51">
        <v>7894916507066</v>
      </c>
      <c r="D1011" s="40" t="s">
        <v>753</v>
      </c>
      <c r="E1011" s="40"/>
      <c r="F1011" s="40">
        <v>265</v>
      </c>
      <c r="G1011" s="38"/>
      <c r="H1011" s="38" t="s">
        <v>754</v>
      </c>
      <c r="I1011" s="38" t="s">
        <v>88</v>
      </c>
      <c r="J1011" s="38">
        <v>8</v>
      </c>
      <c r="K1011" s="56">
        <v>0.2</v>
      </c>
      <c r="L1011" s="52" t="s">
        <v>213</v>
      </c>
      <c r="M1011" s="53" t="s">
        <v>213</v>
      </c>
    </row>
    <row r="1012" spans="1:13" x14ac:dyDescent="0.3">
      <c r="A1012" s="37">
        <v>38</v>
      </c>
      <c r="B1012" s="38" t="s">
        <v>755</v>
      </c>
      <c r="C1012" s="51">
        <v>7894916507073</v>
      </c>
      <c r="D1012" s="40" t="s">
        <v>753</v>
      </c>
      <c r="E1012" s="40"/>
      <c r="F1012" s="40">
        <v>265</v>
      </c>
      <c r="G1012" s="38"/>
      <c r="H1012" s="38" t="s">
        <v>754</v>
      </c>
      <c r="I1012" s="38" t="s">
        <v>88</v>
      </c>
      <c r="J1012" s="38">
        <v>8</v>
      </c>
      <c r="K1012" s="56">
        <v>0.2</v>
      </c>
      <c r="L1012" s="52" t="s">
        <v>213</v>
      </c>
      <c r="M1012" s="53" t="s">
        <v>213</v>
      </c>
    </row>
    <row r="1013" spans="1:13" x14ac:dyDescent="0.3">
      <c r="A1013" s="37">
        <v>38</v>
      </c>
      <c r="B1013" s="38" t="s">
        <v>756</v>
      </c>
      <c r="C1013" s="51">
        <v>7896004729404</v>
      </c>
      <c r="D1013" s="40" t="s">
        <v>753</v>
      </c>
      <c r="E1013" s="40"/>
      <c r="F1013" s="40">
        <v>542</v>
      </c>
      <c r="G1013" s="38"/>
      <c r="H1013" s="38" t="s">
        <v>757</v>
      </c>
      <c r="I1013" s="38" t="s">
        <v>480</v>
      </c>
      <c r="J1013" s="49" t="s">
        <v>213</v>
      </c>
      <c r="K1013" s="38" t="s">
        <v>480</v>
      </c>
      <c r="L1013" s="49" t="s">
        <v>213</v>
      </c>
      <c r="M1013" s="54" t="s">
        <v>213</v>
      </c>
    </row>
    <row r="1014" spans="1:13" x14ac:dyDescent="0.3">
      <c r="A1014" s="37">
        <v>38</v>
      </c>
      <c r="B1014" s="38" t="s">
        <v>758</v>
      </c>
      <c r="C1014" s="51">
        <v>7896004729411</v>
      </c>
      <c r="D1014" s="40" t="s">
        <v>753</v>
      </c>
      <c r="E1014" s="40"/>
      <c r="F1014" s="40">
        <v>542</v>
      </c>
      <c r="G1014" s="38"/>
      <c r="H1014" s="38" t="s">
        <v>757</v>
      </c>
      <c r="I1014" s="38" t="s">
        <v>480</v>
      </c>
      <c r="J1014" s="49" t="s">
        <v>213</v>
      </c>
      <c r="K1014" s="38" t="s">
        <v>480</v>
      </c>
      <c r="L1014" s="49" t="s">
        <v>213</v>
      </c>
      <c r="M1014" s="54" t="s">
        <v>213</v>
      </c>
    </row>
    <row r="1015" spans="1:13" x14ac:dyDescent="0.3">
      <c r="A1015" s="37">
        <v>38</v>
      </c>
      <c r="B1015" s="38" t="s">
        <v>759</v>
      </c>
      <c r="C1015" s="51">
        <v>7896004743424</v>
      </c>
      <c r="D1015" s="40" t="s">
        <v>753</v>
      </c>
      <c r="E1015" s="40"/>
      <c r="F1015" s="40">
        <v>265</v>
      </c>
      <c r="G1015" s="38"/>
      <c r="H1015" s="38" t="s">
        <v>754</v>
      </c>
      <c r="I1015" s="38" t="s">
        <v>624</v>
      </c>
      <c r="J1015" s="38">
        <v>8</v>
      </c>
      <c r="K1015" s="38" t="s">
        <v>760</v>
      </c>
      <c r="L1015" s="52" t="s">
        <v>213</v>
      </c>
      <c r="M1015" s="53" t="s">
        <v>213</v>
      </c>
    </row>
    <row r="1016" spans="1:13" x14ac:dyDescent="0.3">
      <c r="A1016" s="37">
        <v>34</v>
      </c>
      <c r="B1016" s="38" t="s">
        <v>761</v>
      </c>
      <c r="C1016" s="51">
        <v>7896009419324</v>
      </c>
      <c r="D1016" s="40" t="s">
        <v>762</v>
      </c>
      <c r="E1016" s="40"/>
      <c r="F1016" s="40">
        <v>254</v>
      </c>
      <c r="G1016" s="38"/>
      <c r="H1016" s="38" t="s">
        <v>763</v>
      </c>
      <c r="I1016" s="38" t="s">
        <v>88</v>
      </c>
      <c r="J1016" s="38" t="s">
        <v>764</v>
      </c>
      <c r="K1016" s="38" t="s">
        <v>765</v>
      </c>
      <c r="L1016" s="52" t="s">
        <v>213</v>
      </c>
      <c r="M1016" s="53" t="s">
        <v>213</v>
      </c>
    </row>
    <row r="1017" spans="1:13" x14ac:dyDescent="0.3">
      <c r="A1017" s="37">
        <v>34</v>
      </c>
      <c r="B1017" s="38" t="s">
        <v>766</v>
      </c>
      <c r="C1017" s="51">
        <v>7896009490651</v>
      </c>
      <c r="D1017" s="40" t="s">
        <v>762</v>
      </c>
      <c r="E1017" s="40"/>
      <c r="F1017" s="40">
        <v>254</v>
      </c>
      <c r="G1017" s="38"/>
      <c r="H1017" s="38" t="s">
        <v>763</v>
      </c>
      <c r="I1017" s="38" t="s">
        <v>88</v>
      </c>
      <c r="J1017" s="38" t="s">
        <v>764</v>
      </c>
      <c r="K1017" s="38" t="s">
        <v>765</v>
      </c>
      <c r="L1017" s="52" t="s">
        <v>213</v>
      </c>
      <c r="M1017" s="53" t="s">
        <v>213</v>
      </c>
    </row>
    <row r="1018" spans="1:13" x14ac:dyDescent="0.3">
      <c r="A1018" s="37">
        <v>34</v>
      </c>
      <c r="B1018" s="38" t="s">
        <v>767</v>
      </c>
      <c r="C1018" s="51">
        <v>7896009490675</v>
      </c>
      <c r="D1018" s="40" t="s">
        <v>762</v>
      </c>
      <c r="E1018" s="40"/>
      <c r="F1018" s="40">
        <v>254</v>
      </c>
      <c r="G1018" s="38"/>
      <c r="H1018" s="38" t="s">
        <v>763</v>
      </c>
      <c r="I1018" s="38" t="s">
        <v>88</v>
      </c>
      <c r="J1018" s="38" t="s">
        <v>764</v>
      </c>
      <c r="K1018" s="38" t="s">
        <v>765</v>
      </c>
      <c r="L1018" s="52" t="s">
        <v>213</v>
      </c>
      <c r="M1018" s="53" t="s">
        <v>213</v>
      </c>
    </row>
    <row r="1019" spans="1:13" x14ac:dyDescent="0.3">
      <c r="A1019" s="37">
        <v>34</v>
      </c>
      <c r="B1019" s="38" t="s">
        <v>768</v>
      </c>
      <c r="C1019" s="51">
        <v>7896009490682</v>
      </c>
      <c r="D1019" s="40" t="s">
        <v>762</v>
      </c>
      <c r="E1019" s="40"/>
      <c r="F1019" s="40">
        <v>254</v>
      </c>
      <c r="G1019" s="38"/>
      <c r="H1019" s="38" t="s">
        <v>763</v>
      </c>
      <c r="I1019" s="38" t="s">
        <v>88</v>
      </c>
      <c r="J1019" s="38" t="s">
        <v>764</v>
      </c>
      <c r="K1019" s="38" t="s">
        <v>765</v>
      </c>
      <c r="L1019" s="52" t="s">
        <v>213</v>
      </c>
      <c r="M1019" s="53" t="s">
        <v>213</v>
      </c>
    </row>
    <row r="1020" spans="1:13" x14ac:dyDescent="0.3">
      <c r="A1020" s="37">
        <v>34</v>
      </c>
      <c r="B1020" s="38" t="s">
        <v>769</v>
      </c>
      <c r="C1020" s="51">
        <v>7896015511159</v>
      </c>
      <c r="D1020" s="40" t="s">
        <v>762</v>
      </c>
      <c r="E1020" s="40"/>
      <c r="F1020" s="40">
        <v>254</v>
      </c>
      <c r="G1020" s="38"/>
      <c r="H1020" s="38" t="s">
        <v>763</v>
      </c>
      <c r="I1020" s="38" t="s">
        <v>88</v>
      </c>
      <c r="J1020" s="38" t="s">
        <v>764</v>
      </c>
      <c r="K1020" s="38" t="s">
        <v>765</v>
      </c>
      <c r="L1020" s="52" t="s">
        <v>213</v>
      </c>
      <c r="M1020" s="53" t="s">
        <v>213</v>
      </c>
    </row>
    <row r="1021" spans="1:13" x14ac:dyDescent="0.3">
      <c r="A1021" s="37">
        <v>34</v>
      </c>
      <c r="B1021" s="38" t="s">
        <v>770</v>
      </c>
      <c r="C1021" s="51">
        <v>7896015511166</v>
      </c>
      <c r="D1021" s="40" t="s">
        <v>762</v>
      </c>
      <c r="E1021" s="40"/>
      <c r="F1021" s="40">
        <v>254</v>
      </c>
      <c r="G1021" s="38"/>
      <c r="H1021" s="38" t="s">
        <v>763</v>
      </c>
      <c r="I1021" s="38" t="s">
        <v>88</v>
      </c>
      <c r="J1021" s="38" t="s">
        <v>764</v>
      </c>
      <c r="K1021" s="38" t="s">
        <v>765</v>
      </c>
      <c r="L1021" s="52" t="s">
        <v>213</v>
      </c>
      <c r="M1021" s="53" t="s">
        <v>213</v>
      </c>
    </row>
    <row r="1022" spans="1:13" x14ac:dyDescent="0.3">
      <c r="A1022" s="37">
        <v>34</v>
      </c>
      <c r="B1022" s="38" t="s">
        <v>771</v>
      </c>
      <c r="C1022" s="51">
        <v>7896015516970</v>
      </c>
      <c r="D1022" s="40" t="s">
        <v>762</v>
      </c>
      <c r="E1022" s="40"/>
      <c r="F1022" s="40">
        <v>254</v>
      </c>
      <c r="G1022" s="38"/>
      <c r="H1022" s="38" t="s">
        <v>763</v>
      </c>
      <c r="I1022" s="38" t="s">
        <v>88</v>
      </c>
      <c r="J1022" s="38" t="s">
        <v>764</v>
      </c>
      <c r="K1022" s="38" t="s">
        <v>765</v>
      </c>
      <c r="L1022" s="52" t="s">
        <v>213</v>
      </c>
      <c r="M1022" s="53" t="s">
        <v>213</v>
      </c>
    </row>
    <row r="1023" spans="1:13" x14ac:dyDescent="0.3">
      <c r="A1023" s="37">
        <v>34</v>
      </c>
      <c r="B1023" s="38" t="s">
        <v>772</v>
      </c>
      <c r="C1023" s="51">
        <v>7896015517045</v>
      </c>
      <c r="D1023" s="40" t="s">
        <v>762</v>
      </c>
      <c r="E1023" s="40"/>
      <c r="F1023" s="40">
        <v>254</v>
      </c>
      <c r="G1023" s="38"/>
      <c r="H1023" s="38" t="s">
        <v>763</v>
      </c>
      <c r="I1023" s="38" t="s">
        <v>88</v>
      </c>
      <c r="J1023" s="38" t="s">
        <v>764</v>
      </c>
      <c r="K1023" s="38" t="s">
        <v>765</v>
      </c>
      <c r="L1023" s="52" t="s">
        <v>213</v>
      </c>
      <c r="M1023" s="53" t="s">
        <v>213</v>
      </c>
    </row>
    <row r="1024" spans="1:13" x14ac:dyDescent="0.3">
      <c r="A1024" s="37">
        <v>34</v>
      </c>
      <c r="B1024" s="38" t="s">
        <v>773</v>
      </c>
      <c r="C1024" s="51">
        <v>7896015517083</v>
      </c>
      <c r="D1024" s="40" t="s">
        <v>762</v>
      </c>
      <c r="E1024" s="40"/>
      <c r="F1024" s="40">
        <v>254</v>
      </c>
      <c r="G1024" s="38"/>
      <c r="H1024" s="38" t="s">
        <v>763</v>
      </c>
      <c r="I1024" s="38" t="s">
        <v>88</v>
      </c>
      <c r="J1024" s="38" t="s">
        <v>764</v>
      </c>
      <c r="K1024" s="38" t="s">
        <v>765</v>
      </c>
      <c r="L1024" s="52" t="s">
        <v>213</v>
      </c>
      <c r="M1024" s="53" t="s">
        <v>213</v>
      </c>
    </row>
    <row r="1025" spans="1:13" x14ac:dyDescent="0.3">
      <c r="A1025" s="37">
        <v>34</v>
      </c>
      <c r="B1025" s="38" t="s">
        <v>774</v>
      </c>
      <c r="C1025" s="51">
        <v>7896015517090</v>
      </c>
      <c r="D1025" s="40" t="s">
        <v>762</v>
      </c>
      <c r="E1025" s="40"/>
      <c r="F1025" s="40">
        <v>254</v>
      </c>
      <c r="G1025" s="38"/>
      <c r="H1025" s="38" t="s">
        <v>763</v>
      </c>
      <c r="I1025" s="38" t="s">
        <v>88</v>
      </c>
      <c r="J1025" s="38" t="s">
        <v>764</v>
      </c>
      <c r="K1025" s="38" t="s">
        <v>765</v>
      </c>
      <c r="L1025" s="52" t="s">
        <v>213</v>
      </c>
      <c r="M1025" s="53" t="s">
        <v>213</v>
      </c>
    </row>
    <row r="1026" spans="1:13" x14ac:dyDescent="0.3">
      <c r="A1026" s="37">
        <v>34</v>
      </c>
      <c r="B1026" s="38" t="s">
        <v>775</v>
      </c>
      <c r="C1026" s="51">
        <v>7896015518325</v>
      </c>
      <c r="D1026" s="40" t="s">
        <v>762</v>
      </c>
      <c r="E1026" s="40"/>
      <c r="F1026" s="40">
        <v>254</v>
      </c>
      <c r="G1026" s="38"/>
      <c r="H1026" s="38" t="s">
        <v>763</v>
      </c>
      <c r="I1026" s="38" t="s">
        <v>88</v>
      </c>
      <c r="J1026" s="38" t="s">
        <v>764</v>
      </c>
      <c r="K1026" s="38" t="s">
        <v>765</v>
      </c>
      <c r="L1026" s="52" t="s">
        <v>213</v>
      </c>
      <c r="M1026" s="53" t="s">
        <v>213</v>
      </c>
    </row>
    <row r="1027" spans="1:13" x14ac:dyDescent="0.3">
      <c r="A1027" s="37">
        <v>34</v>
      </c>
      <c r="B1027" s="38" t="s">
        <v>776</v>
      </c>
      <c r="C1027" s="51">
        <v>7896015518370</v>
      </c>
      <c r="D1027" s="40" t="s">
        <v>762</v>
      </c>
      <c r="E1027" s="40"/>
      <c r="F1027" s="40">
        <v>254</v>
      </c>
      <c r="G1027" s="38"/>
      <c r="H1027" s="38" t="s">
        <v>763</v>
      </c>
      <c r="I1027" s="38" t="s">
        <v>88</v>
      </c>
      <c r="J1027" s="38" t="s">
        <v>764</v>
      </c>
      <c r="K1027" s="38" t="s">
        <v>765</v>
      </c>
      <c r="L1027" s="52" t="s">
        <v>213</v>
      </c>
      <c r="M1027" s="53" t="s">
        <v>213</v>
      </c>
    </row>
    <row r="1028" spans="1:13" x14ac:dyDescent="0.3">
      <c r="A1028" s="37">
        <v>34</v>
      </c>
      <c r="B1028" s="38" t="s">
        <v>777</v>
      </c>
      <c r="C1028" s="51">
        <v>7896015518479</v>
      </c>
      <c r="D1028" s="40" t="s">
        <v>762</v>
      </c>
      <c r="E1028" s="40"/>
      <c r="F1028" s="40">
        <v>254</v>
      </c>
      <c r="G1028" s="38"/>
      <c r="H1028" s="38" t="s">
        <v>763</v>
      </c>
      <c r="I1028" s="38" t="s">
        <v>88</v>
      </c>
      <c r="J1028" s="38" t="s">
        <v>764</v>
      </c>
      <c r="K1028" s="38" t="s">
        <v>765</v>
      </c>
      <c r="L1028" s="52" t="s">
        <v>213</v>
      </c>
      <c r="M1028" s="53" t="s">
        <v>213</v>
      </c>
    </row>
    <row r="1029" spans="1:13" x14ac:dyDescent="0.3">
      <c r="A1029" s="37">
        <v>34</v>
      </c>
      <c r="B1029" s="38" t="s">
        <v>778</v>
      </c>
      <c r="C1029" s="51">
        <v>7896015519773</v>
      </c>
      <c r="D1029" s="40" t="s">
        <v>762</v>
      </c>
      <c r="E1029" s="40"/>
      <c r="F1029" s="40">
        <v>254</v>
      </c>
      <c r="G1029" s="38"/>
      <c r="H1029" s="38" t="s">
        <v>763</v>
      </c>
      <c r="I1029" s="38" t="s">
        <v>88</v>
      </c>
      <c r="J1029" s="38" t="s">
        <v>764</v>
      </c>
      <c r="K1029" s="38" t="s">
        <v>765</v>
      </c>
      <c r="L1029" s="52" t="s">
        <v>213</v>
      </c>
      <c r="M1029" s="53" t="s">
        <v>213</v>
      </c>
    </row>
    <row r="1030" spans="1:13" x14ac:dyDescent="0.3">
      <c r="A1030" s="37">
        <v>34</v>
      </c>
      <c r="B1030" s="38" t="s">
        <v>779</v>
      </c>
      <c r="C1030" s="51">
        <v>7896015520045</v>
      </c>
      <c r="D1030" s="40" t="s">
        <v>762</v>
      </c>
      <c r="E1030" s="40"/>
      <c r="F1030" s="40">
        <v>254</v>
      </c>
      <c r="G1030" s="38"/>
      <c r="H1030" s="38" t="s">
        <v>763</v>
      </c>
      <c r="I1030" s="38" t="s">
        <v>88</v>
      </c>
      <c r="J1030" s="38" t="s">
        <v>764</v>
      </c>
      <c r="K1030" s="38" t="s">
        <v>765</v>
      </c>
      <c r="L1030" s="52" t="s">
        <v>213</v>
      </c>
      <c r="M1030" s="53" t="s">
        <v>213</v>
      </c>
    </row>
    <row r="1031" spans="1:13" x14ac:dyDescent="0.3">
      <c r="A1031" s="37">
        <v>34</v>
      </c>
      <c r="B1031" s="38" t="s">
        <v>780</v>
      </c>
      <c r="C1031" s="51">
        <v>7896015521646</v>
      </c>
      <c r="D1031" s="40" t="s">
        <v>762</v>
      </c>
      <c r="E1031" s="40"/>
      <c r="F1031" s="40">
        <v>254</v>
      </c>
      <c r="G1031" s="38"/>
      <c r="H1031" s="38" t="s">
        <v>763</v>
      </c>
      <c r="I1031" s="38" t="s">
        <v>88</v>
      </c>
      <c r="J1031" s="38" t="s">
        <v>764</v>
      </c>
      <c r="K1031" s="38" t="s">
        <v>765</v>
      </c>
      <c r="L1031" s="52" t="s">
        <v>213</v>
      </c>
      <c r="M1031" s="53" t="s">
        <v>213</v>
      </c>
    </row>
    <row r="1032" spans="1:13" x14ac:dyDescent="0.3">
      <c r="A1032" s="37">
        <v>34</v>
      </c>
      <c r="B1032" s="38" t="s">
        <v>781</v>
      </c>
      <c r="C1032" s="51">
        <v>7896015524999</v>
      </c>
      <c r="D1032" s="40" t="s">
        <v>762</v>
      </c>
      <c r="E1032" s="40"/>
      <c r="F1032" s="40">
        <v>254</v>
      </c>
      <c r="G1032" s="38"/>
      <c r="H1032" s="38" t="s">
        <v>763</v>
      </c>
      <c r="I1032" s="38" t="s">
        <v>88</v>
      </c>
      <c r="J1032" s="38" t="s">
        <v>764</v>
      </c>
      <c r="K1032" s="38" t="s">
        <v>765</v>
      </c>
      <c r="L1032" s="52" t="s">
        <v>213</v>
      </c>
      <c r="M1032" s="53" t="s">
        <v>213</v>
      </c>
    </row>
    <row r="1033" spans="1:13" x14ac:dyDescent="0.3">
      <c r="A1033" s="37">
        <v>34</v>
      </c>
      <c r="B1033" s="38" t="s">
        <v>782</v>
      </c>
      <c r="C1033" s="51">
        <v>7896015525583</v>
      </c>
      <c r="D1033" s="40" t="s">
        <v>762</v>
      </c>
      <c r="E1033" s="40"/>
      <c r="F1033" s="40">
        <v>254</v>
      </c>
      <c r="G1033" s="38"/>
      <c r="H1033" s="38" t="s">
        <v>763</v>
      </c>
      <c r="I1033" s="38" t="s">
        <v>88</v>
      </c>
      <c r="J1033" s="38" t="s">
        <v>764</v>
      </c>
      <c r="K1033" s="38" t="s">
        <v>765</v>
      </c>
      <c r="L1033" s="52" t="s">
        <v>213</v>
      </c>
      <c r="M1033" s="53" t="s">
        <v>213</v>
      </c>
    </row>
    <row r="1034" spans="1:13" x14ac:dyDescent="0.3">
      <c r="A1034" s="37">
        <v>34</v>
      </c>
      <c r="B1034" s="38" t="s">
        <v>783</v>
      </c>
      <c r="C1034" s="51">
        <v>7896015525804</v>
      </c>
      <c r="D1034" s="40" t="s">
        <v>762</v>
      </c>
      <c r="E1034" s="40"/>
      <c r="F1034" s="40">
        <v>254</v>
      </c>
      <c r="G1034" s="38"/>
      <c r="H1034" s="38" t="s">
        <v>763</v>
      </c>
      <c r="I1034" s="38" t="s">
        <v>88</v>
      </c>
      <c r="J1034" s="38" t="s">
        <v>764</v>
      </c>
      <c r="K1034" s="38" t="s">
        <v>765</v>
      </c>
      <c r="L1034" s="52" t="s">
        <v>213</v>
      </c>
      <c r="M1034" s="53" t="s">
        <v>213</v>
      </c>
    </row>
    <row r="1035" spans="1:13" x14ac:dyDescent="0.3">
      <c r="A1035" s="37">
        <v>34</v>
      </c>
      <c r="B1035" s="38" t="s">
        <v>784</v>
      </c>
      <c r="C1035" s="51">
        <v>7896015526030</v>
      </c>
      <c r="D1035" s="40" t="s">
        <v>762</v>
      </c>
      <c r="E1035" s="40"/>
      <c r="F1035" s="40">
        <v>254</v>
      </c>
      <c r="G1035" s="38"/>
      <c r="H1035" s="38" t="s">
        <v>763</v>
      </c>
      <c r="I1035" s="38" t="s">
        <v>88</v>
      </c>
      <c r="J1035" s="38" t="s">
        <v>764</v>
      </c>
      <c r="K1035" s="38" t="s">
        <v>765</v>
      </c>
      <c r="L1035" s="52" t="s">
        <v>213</v>
      </c>
      <c r="M1035" s="53" t="s">
        <v>213</v>
      </c>
    </row>
    <row r="1036" spans="1:13" x14ac:dyDescent="0.3">
      <c r="A1036" s="37">
        <v>34</v>
      </c>
      <c r="B1036" s="38" t="s">
        <v>785</v>
      </c>
      <c r="C1036" s="51">
        <v>7896015526252</v>
      </c>
      <c r="D1036" s="40" t="s">
        <v>762</v>
      </c>
      <c r="E1036" s="40"/>
      <c r="F1036" s="40">
        <v>254</v>
      </c>
      <c r="G1036" s="38"/>
      <c r="H1036" s="38" t="s">
        <v>763</v>
      </c>
      <c r="I1036" s="38" t="s">
        <v>88</v>
      </c>
      <c r="J1036" s="38" t="s">
        <v>764</v>
      </c>
      <c r="K1036" s="38" t="s">
        <v>765</v>
      </c>
      <c r="L1036" s="52" t="s">
        <v>213</v>
      </c>
      <c r="M1036" s="53" t="s">
        <v>213</v>
      </c>
    </row>
    <row r="1037" spans="1:13" x14ac:dyDescent="0.3">
      <c r="A1037" s="37">
        <v>34</v>
      </c>
      <c r="B1037" s="38" t="s">
        <v>786</v>
      </c>
      <c r="C1037" s="51">
        <v>7896015527433</v>
      </c>
      <c r="D1037" s="40" t="s">
        <v>762</v>
      </c>
      <c r="E1037" s="40"/>
      <c r="F1037" s="40">
        <v>254</v>
      </c>
      <c r="G1037" s="38"/>
      <c r="H1037" s="38" t="s">
        <v>763</v>
      </c>
      <c r="I1037" s="38" t="s">
        <v>88</v>
      </c>
      <c r="J1037" s="38" t="s">
        <v>764</v>
      </c>
      <c r="K1037" s="38" t="s">
        <v>765</v>
      </c>
      <c r="L1037" s="52" t="s">
        <v>213</v>
      </c>
      <c r="M1037" s="53" t="s">
        <v>213</v>
      </c>
    </row>
    <row r="1038" spans="1:13" x14ac:dyDescent="0.3">
      <c r="A1038" s="37">
        <v>34</v>
      </c>
      <c r="B1038" s="38" t="s">
        <v>787</v>
      </c>
      <c r="C1038" s="51">
        <v>7896015527440</v>
      </c>
      <c r="D1038" s="40" t="s">
        <v>762</v>
      </c>
      <c r="E1038" s="40"/>
      <c r="F1038" s="40">
        <v>254</v>
      </c>
      <c r="G1038" s="38"/>
      <c r="H1038" s="38" t="s">
        <v>763</v>
      </c>
      <c r="I1038" s="38" t="s">
        <v>88</v>
      </c>
      <c r="J1038" s="38" t="s">
        <v>764</v>
      </c>
      <c r="K1038" s="38" t="s">
        <v>765</v>
      </c>
      <c r="L1038" s="52" t="s">
        <v>213</v>
      </c>
      <c r="M1038" s="53" t="s">
        <v>213</v>
      </c>
    </row>
    <row r="1039" spans="1:13" x14ac:dyDescent="0.3">
      <c r="A1039" s="37">
        <v>34</v>
      </c>
      <c r="B1039" s="38" t="s">
        <v>788</v>
      </c>
      <c r="C1039" s="51">
        <v>7896015527457</v>
      </c>
      <c r="D1039" s="40" t="s">
        <v>762</v>
      </c>
      <c r="E1039" s="40"/>
      <c r="F1039" s="40">
        <v>254</v>
      </c>
      <c r="G1039" s="38"/>
      <c r="H1039" s="38" t="s">
        <v>763</v>
      </c>
      <c r="I1039" s="38" t="s">
        <v>88</v>
      </c>
      <c r="J1039" s="38" t="s">
        <v>764</v>
      </c>
      <c r="K1039" s="38" t="s">
        <v>765</v>
      </c>
      <c r="L1039" s="52" t="s">
        <v>213</v>
      </c>
      <c r="M1039" s="53" t="s">
        <v>213</v>
      </c>
    </row>
    <row r="1040" spans="1:13" x14ac:dyDescent="0.3">
      <c r="A1040" s="37">
        <v>34</v>
      </c>
      <c r="B1040" s="38" t="s">
        <v>789</v>
      </c>
      <c r="C1040" s="51">
        <v>7896015527730</v>
      </c>
      <c r="D1040" s="40" t="s">
        <v>762</v>
      </c>
      <c r="E1040" s="40"/>
      <c r="F1040" s="40">
        <v>254</v>
      </c>
      <c r="G1040" s="38"/>
      <c r="H1040" s="38" t="s">
        <v>763</v>
      </c>
      <c r="I1040" s="38" t="s">
        <v>88</v>
      </c>
      <c r="J1040" s="38" t="s">
        <v>764</v>
      </c>
      <c r="K1040" s="38" t="s">
        <v>765</v>
      </c>
      <c r="L1040" s="52" t="s">
        <v>213</v>
      </c>
      <c r="M1040" s="53" t="s">
        <v>213</v>
      </c>
    </row>
    <row r="1041" spans="1:13" x14ac:dyDescent="0.3">
      <c r="A1041" s="37">
        <v>34</v>
      </c>
      <c r="B1041" s="38" t="s">
        <v>790</v>
      </c>
      <c r="C1041" s="51">
        <v>7896015528294</v>
      </c>
      <c r="D1041" s="40" t="s">
        <v>762</v>
      </c>
      <c r="E1041" s="40"/>
      <c r="F1041" s="40">
        <v>254</v>
      </c>
      <c r="G1041" s="38"/>
      <c r="H1041" s="38" t="s">
        <v>763</v>
      </c>
      <c r="I1041" s="38" t="s">
        <v>88</v>
      </c>
      <c r="J1041" s="38" t="s">
        <v>764</v>
      </c>
      <c r="K1041" s="38" t="s">
        <v>765</v>
      </c>
      <c r="L1041" s="52" t="s">
        <v>213</v>
      </c>
      <c r="M1041" s="53" t="s">
        <v>213</v>
      </c>
    </row>
    <row r="1042" spans="1:13" x14ac:dyDescent="0.3">
      <c r="A1042" s="37">
        <v>34</v>
      </c>
      <c r="B1042" s="38" t="s">
        <v>791</v>
      </c>
      <c r="C1042" s="51">
        <v>7896015528300</v>
      </c>
      <c r="D1042" s="40" t="s">
        <v>762</v>
      </c>
      <c r="E1042" s="40"/>
      <c r="F1042" s="40">
        <v>254</v>
      </c>
      <c r="G1042" s="38"/>
      <c r="H1042" s="38" t="s">
        <v>763</v>
      </c>
      <c r="I1042" s="38" t="s">
        <v>88</v>
      </c>
      <c r="J1042" s="38" t="s">
        <v>764</v>
      </c>
      <c r="K1042" s="38" t="s">
        <v>765</v>
      </c>
      <c r="L1042" s="52" t="s">
        <v>213</v>
      </c>
      <c r="M1042" s="53" t="s">
        <v>213</v>
      </c>
    </row>
    <row r="1043" spans="1:13" x14ac:dyDescent="0.3">
      <c r="A1043" s="37">
        <v>34</v>
      </c>
      <c r="B1043" s="38" t="s">
        <v>792</v>
      </c>
      <c r="C1043" s="51">
        <v>7896015528577</v>
      </c>
      <c r="D1043" s="40" t="s">
        <v>762</v>
      </c>
      <c r="E1043" s="40"/>
      <c r="F1043" s="40">
        <v>254</v>
      </c>
      <c r="G1043" s="38"/>
      <c r="H1043" s="38" t="s">
        <v>763</v>
      </c>
      <c r="I1043" s="38" t="s">
        <v>88</v>
      </c>
      <c r="J1043" s="38" t="s">
        <v>764</v>
      </c>
      <c r="K1043" s="38" t="s">
        <v>765</v>
      </c>
      <c r="L1043" s="52" t="s">
        <v>213</v>
      </c>
      <c r="M1043" s="53" t="s">
        <v>213</v>
      </c>
    </row>
    <row r="1044" spans="1:13" x14ac:dyDescent="0.3">
      <c r="A1044" s="37">
        <v>34</v>
      </c>
      <c r="B1044" s="38" t="s">
        <v>793</v>
      </c>
      <c r="C1044" s="51">
        <v>7896015528706</v>
      </c>
      <c r="D1044" s="40" t="s">
        <v>762</v>
      </c>
      <c r="E1044" s="40"/>
      <c r="F1044" s="40">
        <v>254</v>
      </c>
      <c r="G1044" s="38"/>
      <c r="H1044" s="38" t="s">
        <v>763</v>
      </c>
      <c r="I1044" s="38" t="s">
        <v>88</v>
      </c>
      <c r="J1044" s="38" t="s">
        <v>764</v>
      </c>
      <c r="K1044" s="38" t="s">
        <v>765</v>
      </c>
      <c r="L1044" s="52" t="s">
        <v>213</v>
      </c>
      <c r="M1044" s="53" t="s">
        <v>213</v>
      </c>
    </row>
    <row r="1045" spans="1:13" x14ac:dyDescent="0.3">
      <c r="A1045" s="37">
        <v>34</v>
      </c>
      <c r="B1045" s="38" t="s">
        <v>794</v>
      </c>
      <c r="C1045" s="51">
        <v>7896015528959</v>
      </c>
      <c r="D1045" s="40" t="s">
        <v>762</v>
      </c>
      <c r="E1045" s="40"/>
      <c r="F1045" s="40">
        <v>254</v>
      </c>
      <c r="G1045" s="38"/>
      <c r="H1045" s="38" t="s">
        <v>763</v>
      </c>
      <c r="I1045" s="38" t="s">
        <v>88</v>
      </c>
      <c r="J1045" s="38" t="s">
        <v>764</v>
      </c>
      <c r="K1045" s="38" t="s">
        <v>765</v>
      </c>
      <c r="L1045" s="52" t="s">
        <v>213</v>
      </c>
      <c r="M1045" s="53" t="s">
        <v>213</v>
      </c>
    </row>
    <row r="1046" spans="1:13" x14ac:dyDescent="0.3">
      <c r="A1046" s="37">
        <v>34</v>
      </c>
      <c r="B1046" s="38" t="s">
        <v>795</v>
      </c>
      <c r="C1046" s="51">
        <v>7896015529093</v>
      </c>
      <c r="D1046" s="40" t="s">
        <v>762</v>
      </c>
      <c r="E1046" s="40"/>
      <c r="F1046" s="40">
        <v>254</v>
      </c>
      <c r="G1046" s="38"/>
      <c r="H1046" s="38" t="s">
        <v>763</v>
      </c>
      <c r="I1046" s="38" t="s">
        <v>88</v>
      </c>
      <c r="J1046" s="38" t="s">
        <v>764</v>
      </c>
      <c r="K1046" s="38" t="s">
        <v>765</v>
      </c>
      <c r="L1046" s="52" t="s">
        <v>213</v>
      </c>
      <c r="M1046" s="53" t="s">
        <v>213</v>
      </c>
    </row>
    <row r="1047" spans="1:13" x14ac:dyDescent="0.3">
      <c r="A1047" s="37">
        <v>34</v>
      </c>
      <c r="B1047" s="38" t="s">
        <v>796</v>
      </c>
      <c r="C1047" s="51">
        <v>7896015529789</v>
      </c>
      <c r="D1047" s="40" t="s">
        <v>762</v>
      </c>
      <c r="E1047" s="40"/>
      <c r="F1047" s="40">
        <v>254</v>
      </c>
      <c r="G1047" s="38"/>
      <c r="H1047" s="38" t="s">
        <v>763</v>
      </c>
      <c r="I1047" s="38" t="s">
        <v>88</v>
      </c>
      <c r="J1047" s="38" t="s">
        <v>764</v>
      </c>
      <c r="K1047" s="38" t="s">
        <v>765</v>
      </c>
      <c r="L1047" s="52" t="s">
        <v>213</v>
      </c>
      <c r="M1047" s="53" t="s">
        <v>213</v>
      </c>
    </row>
    <row r="1048" spans="1:13" x14ac:dyDescent="0.3">
      <c r="A1048" s="37">
        <v>34</v>
      </c>
      <c r="B1048" s="38" t="s">
        <v>797</v>
      </c>
      <c r="C1048" s="51">
        <v>7896015530006</v>
      </c>
      <c r="D1048" s="40" t="s">
        <v>762</v>
      </c>
      <c r="E1048" s="40"/>
      <c r="F1048" s="40">
        <v>254</v>
      </c>
      <c r="G1048" s="38"/>
      <c r="H1048" s="38" t="s">
        <v>763</v>
      </c>
      <c r="I1048" s="38" t="s">
        <v>88</v>
      </c>
      <c r="J1048" s="38" t="s">
        <v>764</v>
      </c>
      <c r="K1048" s="38" t="s">
        <v>765</v>
      </c>
      <c r="L1048" s="52" t="s">
        <v>213</v>
      </c>
      <c r="M1048" s="53" t="s">
        <v>213</v>
      </c>
    </row>
    <row r="1049" spans="1:13" x14ac:dyDescent="0.3">
      <c r="A1049" s="37">
        <v>34</v>
      </c>
      <c r="B1049" s="38" t="s">
        <v>798</v>
      </c>
      <c r="C1049" s="51">
        <v>7896015530082</v>
      </c>
      <c r="D1049" s="40" t="s">
        <v>762</v>
      </c>
      <c r="E1049" s="40"/>
      <c r="F1049" s="40">
        <v>254</v>
      </c>
      <c r="G1049" s="38"/>
      <c r="H1049" s="38" t="s">
        <v>763</v>
      </c>
      <c r="I1049" s="38" t="s">
        <v>88</v>
      </c>
      <c r="J1049" s="38" t="s">
        <v>764</v>
      </c>
      <c r="K1049" s="38" t="s">
        <v>765</v>
      </c>
      <c r="L1049" s="52" t="s">
        <v>213</v>
      </c>
      <c r="M1049" s="53" t="s">
        <v>213</v>
      </c>
    </row>
    <row r="1050" spans="1:13" x14ac:dyDescent="0.3">
      <c r="A1050" s="37">
        <v>34</v>
      </c>
      <c r="B1050" s="38" t="s">
        <v>799</v>
      </c>
      <c r="C1050" s="51">
        <v>7896015530105</v>
      </c>
      <c r="D1050" s="40" t="s">
        <v>762</v>
      </c>
      <c r="E1050" s="40"/>
      <c r="F1050" s="40">
        <v>254</v>
      </c>
      <c r="G1050" s="38"/>
      <c r="H1050" s="38" t="s">
        <v>763</v>
      </c>
      <c r="I1050" s="38" t="s">
        <v>88</v>
      </c>
      <c r="J1050" s="38" t="s">
        <v>764</v>
      </c>
      <c r="K1050" s="38" t="s">
        <v>765</v>
      </c>
      <c r="L1050" s="52" t="s">
        <v>213</v>
      </c>
      <c r="M1050" s="53" t="s">
        <v>213</v>
      </c>
    </row>
    <row r="1051" spans="1:13" x14ac:dyDescent="0.3">
      <c r="A1051" s="37">
        <v>34</v>
      </c>
      <c r="B1051" s="38" t="s">
        <v>800</v>
      </c>
      <c r="C1051" s="51">
        <v>7896015530181</v>
      </c>
      <c r="D1051" s="40" t="s">
        <v>762</v>
      </c>
      <c r="E1051" s="40"/>
      <c r="F1051" s="40">
        <v>254</v>
      </c>
      <c r="G1051" s="38"/>
      <c r="H1051" s="38" t="s">
        <v>763</v>
      </c>
      <c r="I1051" s="38" t="s">
        <v>88</v>
      </c>
      <c r="J1051" s="38" t="s">
        <v>764</v>
      </c>
      <c r="K1051" s="38" t="s">
        <v>765</v>
      </c>
      <c r="L1051" s="52" t="s">
        <v>213</v>
      </c>
      <c r="M1051" s="53" t="s">
        <v>213</v>
      </c>
    </row>
    <row r="1052" spans="1:13" x14ac:dyDescent="0.3">
      <c r="A1052" s="37">
        <v>34</v>
      </c>
      <c r="B1052" s="38" t="s">
        <v>801</v>
      </c>
      <c r="C1052" s="51">
        <v>7896015530433</v>
      </c>
      <c r="D1052" s="40" t="s">
        <v>762</v>
      </c>
      <c r="E1052" s="40"/>
      <c r="F1052" s="40">
        <v>254</v>
      </c>
      <c r="G1052" s="38"/>
      <c r="H1052" s="38" t="s">
        <v>763</v>
      </c>
      <c r="I1052" s="38" t="s">
        <v>88</v>
      </c>
      <c r="J1052" s="38" t="s">
        <v>764</v>
      </c>
      <c r="K1052" s="38" t="s">
        <v>765</v>
      </c>
      <c r="L1052" s="52" t="s">
        <v>213</v>
      </c>
      <c r="M1052" s="53" t="s">
        <v>213</v>
      </c>
    </row>
    <row r="1053" spans="1:13" x14ac:dyDescent="0.3">
      <c r="A1053" s="37">
        <v>34</v>
      </c>
      <c r="B1053" s="38" t="s">
        <v>802</v>
      </c>
      <c r="C1053" s="51">
        <v>7896015530440</v>
      </c>
      <c r="D1053" s="40" t="s">
        <v>762</v>
      </c>
      <c r="E1053" s="40"/>
      <c r="F1053" s="40">
        <v>254</v>
      </c>
      <c r="G1053" s="38"/>
      <c r="H1053" s="38" t="s">
        <v>763</v>
      </c>
      <c r="I1053" s="38" t="s">
        <v>88</v>
      </c>
      <c r="J1053" s="38" t="s">
        <v>764</v>
      </c>
      <c r="K1053" s="38" t="s">
        <v>765</v>
      </c>
      <c r="L1053" s="52" t="s">
        <v>213</v>
      </c>
      <c r="M1053" s="53" t="s">
        <v>213</v>
      </c>
    </row>
    <row r="1054" spans="1:13" x14ac:dyDescent="0.3">
      <c r="A1054" s="37">
        <v>34</v>
      </c>
      <c r="B1054" s="38" t="s">
        <v>803</v>
      </c>
      <c r="C1054" s="51">
        <v>7896015530457</v>
      </c>
      <c r="D1054" s="40" t="s">
        <v>762</v>
      </c>
      <c r="E1054" s="40"/>
      <c r="F1054" s="40">
        <v>254</v>
      </c>
      <c r="G1054" s="38"/>
      <c r="H1054" s="38" t="s">
        <v>763</v>
      </c>
      <c r="I1054" s="38" t="s">
        <v>88</v>
      </c>
      <c r="J1054" s="38" t="s">
        <v>764</v>
      </c>
      <c r="K1054" s="38" t="s">
        <v>765</v>
      </c>
      <c r="L1054" s="52" t="s">
        <v>213</v>
      </c>
      <c r="M1054" s="53" t="s">
        <v>213</v>
      </c>
    </row>
    <row r="1055" spans="1:13" x14ac:dyDescent="0.3">
      <c r="A1055" s="37">
        <v>34</v>
      </c>
      <c r="B1055" s="38" t="s">
        <v>804</v>
      </c>
      <c r="C1055" s="51">
        <v>7896015560331</v>
      </c>
      <c r="D1055" s="40" t="s">
        <v>762</v>
      </c>
      <c r="E1055" s="40"/>
      <c r="F1055" s="40">
        <v>254</v>
      </c>
      <c r="G1055" s="38"/>
      <c r="H1055" s="38" t="s">
        <v>763</v>
      </c>
      <c r="I1055" s="38" t="s">
        <v>88</v>
      </c>
      <c r="J1055" s="38" t="s">
        <v>764</v>
      </c>
      <c r="K1055" s="38" t="s">
        <v>765</v>
      </c>
      <c r="L1055" s="52" t="s">
        <v>213</v>
      </c>
      <c r="M1055" s="53" t="s">
        <v>213</v>
      </c>
    </row>
    <row r="1056" spans="1:13" x14ac:dyDescent="0.3">
      <c r="A1056" s="37">
        <v>34</v>
      </c>
      <c r="B1056" s="38" t="s">
        <v>805</v>
      </c>
      <c r="C1056" s="51">
        <v>7896015590963</v>
      </c>
      <c r="D1056" s="40" t="s">
        <v>762</v>
      </c>
      <c r="E1056" s="40"/>
      <c r="F1056" s="40">
        <v>254</v>
      </c>
      <c r="G1056" s="38"/>
      <c r="H1056" s="38" t="s">
        <v>763</v>
      </c>
      <c r="I1056" s="38" t="s">
        <v>88</v>
      </c>
      <c r="J1056" s="38" t="s">
        <v>764</v>
      </c>
      <c r="K1056" s="38" t="s">
        <v>765</v>
      </c>
      <c r="L1056" s="52" t="s">
        <v>213</v>
      </c>
      <c r="M1056" s="53" t="s">
        <v>213</v>
      </c>
    </row>
    <row r="1057" spans="1:13" x14ac:dyDescent="0.3">
      <c r="A1057" s="37">
        <v>34</v>
      </c>
      <c r="B1057" s="38" t="s">
        <v>806</v>
      </c>
      <c r="C1057" s="51">
        <v>7896015590994</v>
      </c>
      <c r="D1057" s="40" t="s">
        <v>762</v>
      </c>
      <c r="E1057" s="40"/>
      <c r="F1057" s="40">
        <v>254</v>
      </c>
      <c r="G1057" s="38"/>
      <c r="H1057" s="38" t="s">
        <v>763</v>
      </c>
      <c r="I1057" s="38" t="s">
        <v>88</v>
      </c>
      <c r="J1057" s="38" t="s">
        <v>764</v>
      </c>
      <c r="K1057" s="38" t="s">
        <v>765</v>
      </c>
      <c r="L1057" s="52" t="s">
        <v>213</v>
      </c>
      <c r="M1057" s="53" t="s">
        <v>213</v>
      </c>
    </row>
    <row r="1058" spans="1:13" x14ac:dyDescent="0.3">
      <c r="A1058" s="37">
        <v>34</v>
      </c>
      <c r="B1058" s="38" t="s">
        <v>807</v>
      </c>
      <c r="C1058" s="51">
        <v>7896015591106</v>
      </c>
      <c r="D1058" s="40" t="s">
        <v>762</v>
      </c>
      <c r="E1058" s="40"/>
      <c r="F1058" s="40">
        <v>254</v>
      </c>
      <c r="G1058" s="38"/>
      <c r="H1058" s="38" t="s">
        <v>763</v>
      </c>
      <c r="I1058" s="38" t="s">
        <v>88</v>
      </c>
      <c r="J1058" s="38" t="s">
        <v>764</v>
      </c>
      <c r="K1058" s="38" t="s">
        <v>765</v>
      </c>
      <c r="L1058" s="52" t="s">
        <v>213</v>
      </c>
      <c r="M1058" s="53" t="s">
        <v>213</v>
      </c>
    </row>
    <row r="1059" spans="1:13" x14ac:dyDescent="0.3">
      <c r="A1059" s="37">
        <v>34</v>
      </c>
      <c r="B1059" s="38" t="s">
        <v>808</v>
      </c>
      <c r="C1059" s="51">
        <v>7896015591113</v>
      </c>
      <c r="D1059" s="40" t="s">
        <v>762</v>
      </c>
      <c r="E1059" s="40"/>
      <c r="F1059" s="40">
        <v>254</v>
      </c>
      <c r="G1059" s="38"/>
      <c r="H1059" s="38" t="s">
        <v>763</v>
      </c>
      <c r="I1059" s="38" t="s">
        <v>88</v>
      </c>
      <c r="J1059" s="38" t="s">
        <v>764</v>
      </c>
      <c r="K1059" s="38" t="s">
        <v>765</v>
      </c>
      <c r="L1059" s="52" t="s">
        <v>213</v>
      </c>
      <c r="M1059" s="53" t="s">
        <v>213</v>
      </c>
    </row>
    <row r="1060" spans="1:13" x14ac:dyDescent="0.3">
      <c r="A1060" s="37">
        <v>34</v>
      </c>
      <c r="B1060" s="38" t="s">
        <v>809</v>
      </c>
      <c r="C1060" s="51">
        <v>7896015591779</v>
      </c>
      <c r="D1060" s="40" t="s">
        <v>762</v>
      </c>
      <c r="E1060" s="40"/>
      <c r="F1060" s="40">
        <v>254</v>
      </c>
      <c r="G1060" s="38"/>
      <c r="H1060" s="38" t="s">
        <v>763</v>
      </c>
      <c r="I1060" s="38" t="s">
        <v>88</v>
      </c>
      <c r="J1060" s="38" t="s">
        <v>764</v>
      </c>
      <c r="K1060" s="38" t="s">
        <v>765</v>
      </c>
      <c r="L1060" s="52" t="s">
        <v>213</v>
      </c>
      <c r="M1060" s="53" t="s">
        <v>213</v>
      </c>
    </row>
    <row r="1061" spans="1:13" x14ac:dyDescent="0.3">
      <c r="A1061" s="37">
        <v>34</v>
      </c>
      <c r="B1061" s="38" t="s">
        <v>810</v>
      </c>
      <c r="C1061" s="51">
        <v>7896015591786</v>
      </c>
      <c r="D1061" s="40" t="s">
        <v>762</v>
      </c>
      <c r="E1061" s="40"/>
      <c r="F1061" s="40">
        <v>254</v>
      </c>
      <c r="G1061" s="38"/>
      <c r="H1061" s="38" t="s">
        <v>763</v>
      </c>
      <c r="I1061" s="38" t="s">
        <v>88</v>
      </c>
      <c r="J1061" s="38" t="s">
        <v>764</v>
      </c>
      <c r="K1061" s="38" t="s">
        <v>765</v>
      </c>
      <c r="L1061" s="52" t="s">
        <v>213</v>
      </c>
      <c r="M1061" s="53" t="s">
        <v>213</v>
      </c>
    </row>
    <row r="1062" spans="1:13" x14ac:dyDescent="0.3">
      <c r="A1062" s="37">
        <v>34</v>
      </c>
      <c r="B1062" s="38" t="s">
        <v>811</v>
      </c>
      <c r="C1062" s="51">
        <v>7896015591823</v>
      </c>
      <c r="D1062" s="40" t="s">
        <v>762</v>
      </c>
      <c r="E1062" s="40"/>
      <c r="F1062" s="40">
        <v>254</v>
      </c>
      <c r="G1062" s="38"/>
      <c r="H1062" s="38" t="s">
        <v>763</v>
      </c>
      <c r="I1062" s="38" t="s">
        <v>88</v>
      </c>
      <c r="J1062" s="38" t="s">
        <v>764</v>
      </c>
      <c r="K1062" s="38" t="s">
        <v>765</v>
      </c>
      <c r="L1062" s="52" t="s">
        <v>213</v>
      </c>
      <c r="M1062" s="53" t="s">
        <v>213</v>
      </c>
    </row>
    <row r="1063" spans="1:13" x14ac:dyDescent="0.3">
      <c r="A1063" s="37">
        <v>34</v>
      </c>
      <c r="B1063" s="38" t="s">
        <v>812</v>
      </c>
      <c r="C1063" s="51">
        <v>7896090611508</v>
      </c>
      <c r="D1063" s="40" t="s">
        <v>762</v>
      </c>
      <c r="E1063" s="40"/>
      <c r="F1063" s="40">
        <v>254</v>
      </c>
      <c r="G1063" s="38"/>
      <c r="H1063" s="38" t="s">
        <v>763</v>
      </c>
      <c r="I1063" s="38" t="s">
        <v>88</v>
      </c>
      <c r="J1063" s="38" t="s">
        <v>764</v>
      </c>
      <c r="K1063" s="38" t="s">
        <v>765</v>
      </c>
      <c r="L1063" s="52" t="s">
        <v>213</v>
      </c>
      <c r="M1063" s="53" t="s">
        <v>213</v>
      </c>
    </row>
    <row r="1064" spans="1:13" x14ac:dyDescent="0.3">
      <c r="A1064" s="37">
        <v>34</v>
      </c>
      <c r="B1064" s="38" t="s">
        <v>813</v>
      </c>
      <c r="C1064" s="51">
        <v>7896090611607</v>
      </c>
      <c r="D1064" s="40" t="s">
        <v>762</v>
      </c>
      <c r="E1064" s="40"/>
      <c r="F1064" s="40">
        <v>254</v>
      </c>
      <c r="G1064" s="38"/>
      <c r="H1064" s="38" t="s">
        <v>763</v>
      </c>
      <c r="I1064" s="38" t="s">
        <v>88</v>
      </c>
      <c r="J1064" s="38" t="s">
        <v>764</v>
      </c>
      <c r="K1064" s="38" t="s">
        <v>765</v>
      </c>
      <c r="L1064" s="52" t="s">
        <v>213</v>
      </c>
      <c r="M1064" s="53" t="s">
        <v>213</v>
      </c>
    </row>
    <row r="1065" spans="1:13" x14ac:dyDescent="0.3">
      <c r="A1065" s="37">
        <v>34</v>
      </c>
      <c r="B1065" s="38" t="s">
        <v>814</v>
      </c>
      <c r="C1065" s="51">
        <v>7896261005723</v>
      </c>
      <c r="D1065" s="40" t="s">
        <v>762</v>
      </c>
      <c r="E1065" s="40"/>
      <c r="F1065" s="40">
        <v>254</v>
      </c>
      <c r="G1065" s="38"/>
      <c r="H1065" s="38" t="s">
        <v>763</v>
      </c>
      <c r="I1065" s="38" t="s">
        <v>88</v>
      </c>
      <c r="J1065" s="38" t="s">
        <v>764</v>
      </c>
      <c r="K1065" s="38" t="s">
        <v>765</v>
      </c>
      <c r="L1065" s="52" t="s">
        <v>213</v>
      </c>
      <c r="M1065" s="53" t="s">
        <v>213</v>
      </c>
    </row>
    <row r="1066" spans="1:13" x14ac:dyDescent="0.3">
      <c r="A1066" s="37">
        <v>34</v>
      </c>
      <c r="B1066" s="38" t="s">
        <v>815</v>
      </c>
      <c r="C1066" s="51">
        <v>7896261005723</v>
      </c>
      <c r="D1066" s="40" t="s">
        <v>762</v>
      </c>
      <c r="E1066" s="40"/>
      <c r="F1066" s="40">
        <v>254</v>
      </c>
      <c r="G1066" s="38"/>
      <c r="H1066" s="38" t="s">
        <v>763</v>
      </c>
      <c r="I1066" s="38" t="s">
        <v>88</v>
      </c>
      <c r="J1066" s="38" t="s">
        <v>764</v>
      </c>
      <c r="K1066" s="38" t="s">
        <v>765</v>
      </c>
      <c r="L1066" s="52" t="s">
        <v>213</v>
      </c>
      <c r="M1066" s="53" t="s">
        <v>213</v>
      </c>
    </row>
    <row r="1067" spans="1:13" x14ac:dyDescent="0.3">
      <c r="A1067" s="37">
        <v>34</v>
      </c>
      <c r="B1067" s="38" t="s">
        <v>816</v>
      </c>
      <c r="C1067" s="51">
        <v>7896261005723</v>
      </c>
      <c r="D1067" s="40" t="s">
        <v>762</v>
      </c>
      <c r="E1067" s="40"/>
      <c r="F1067" s="40">
        <v>254</v>
      </c>
      <c r="G1067" s="38"/>
      <c r="H1067" s="38" t="s">
        <v>763</v>
      </c>
      <c r="I1067" s="38" t="s">
        <v>88</v>
      </c>
      <c r="J1067" s="38" t="s">
        <v>764</v>
      </c>
      <c r="K1067" s="38" t="s">
        <v>765</v>
      </c>
      <c r="L1067" s="52" t="s">
        <v>213</v>
      </c>
      <c r="M1067" s="53" t="s">
        <v>213</v>
      </c>
    </row>
    <row r="1068" spans="1:13" x14ac:dyDescent="0.3">
      <c r="A1068" s="37">
        <v>34</v>
      </c>
      <c r="B1068" s="38" t="s">
        <v>817</v>
      </c>
      <c r="C1068" s="51">
        <v>7896261014244</v>
      </c>
      <c r="D1068" s="40" t="s">
        <v>762</v>
      </c>
      <c r="E1068" s="40"/>
      <c r="F1068" s="40">
        <v>254</v>
      </c>
      <c r="G1068" s="38"/>
      <c r="H1068" s="38" t="s">
        <v>763</v>
      </c>
      <c r="I1068" s="38" t="s">
        <v>88</v>
      </c>
      <c r="J1068" s="38" t="s">
        <v>764</v>
      </c>
      <c r="K1068" s="38" t="s">
        <v>765</v>
      </c>
      <c r="L1068" s="52" t="s">
        <v>213</v>
      </c>
      <c r="M1068" s="53" t="s">
        <v>213</v>
      </c>
    </row>
    <row r="1069" spans="1:13" x14ac:dyDescent="0.3">
      <c r="A1069" s="37">
        <v>34</v>
      </c>
      <c r="B1069" s="38" t="s">
        <v>818</v>
      </c>
      <c r="C1069" s="51">
        <v>7896261014244</v>
      </c>
      <c r="D1069" s="40" t="s">
        <v>762</v>
      </c>
      <c r="E1069" s="40"/>
      <c r="F1069" s="40">
        <v>254</v>
      </c>
      <c r="G1069" s="38"/>
      <c r="H1069" s="38" t="s">
        <v>763</v>
      </c>
      <c r="I1069" s="38" t="s">
        <v>88</v>
      </c>
      <c r="J1069" s="38" t="s">
        <v>764</v>
      </c>
      <c r="K1069" s="38" t="s">
        <v>765</v>
      </c>
      <c r="L1069" s="52" t="s">
        <v>213</v>
      </c>
      <c r="M1069" s="53" t="s">
        <v>213</v>
      </c>
    </row>
    <row r="1070" spans="1:13" x14ac:dyDescent="0.3">
      <c r="A1070" s="37">
        <v>34</v>
      </c>
      <c r="B1070" s="38" t="s">
        <v>819</v>
      </c>
      <c r="C1070" s="51">
        <v>7896261014268</v>
      </c>
      <c r="D1070" s="40" t="s">
        <v>762</v>
      </c>
      <c r="E1070" s="40"/>
      <c r="F1070" s="40">
        <v>254</v>
      </c>
      <c r="G1070" s="38"/>
      <c r="H1070" s="38" t="s">
        <v>763</v>
      </c>
      <c r="I1070" s="38" t="s">
        <v>88</v>
      </c>
      <c r="J1070" s="38" t="s">
        <v>764</v>
      </c>
      <c r="K1070" s="38" t="s">
        <v>765</v>
      </c>
      <c r="L1070" s="52" t="s">
        <v>213</v>
      </c>
      <c r="M1070" s="53" t="s">
        <v>213</v>
      </c>
    </row>
    <row r="1071" spans="1:13" x14ac:dyDescent="0.3">
      <c r="A1071" s="37">
        <v>34</v>
      </c>
      <c r="B1071" s="38" t="s">
        <v>820</v>
      </c>
      <c r="C1071" s="51">
        <v>7896261014268</v>
      </c>
      <c r="D1071" s="40" t="s">
        <v>762</v>
      </c>
      <c r="E1071" s="40"/>
      <c r="F1071" s="40">
        <v>254</v>
      </c>
      <c r="G1071" s="38"/>
      <c r="H1071" s="38" t="s">
        <v>763</v>
      </c>
      <c r="I1071" s="38" t="s">
        <v>88</v>
      </c>
      <c r="J1071" s="38" t="s">
        <v>764</v>
      </c>
      <c r="K1071" s="38" t="s">
        <v>765</v>
      </c>
      <c r="L1071" s="52" t="s">
        <v>213</v>
      </c>
      <c r="M1071" s="53" t="s">
        <v>213</v>
      </c>
    </row>
    <row r="1072" spans="1:13" x14ac:dyDescent="0.3">
      <c r="A1072" s="37">
        <v>34</v>
      </c>
      <c r="B1072" s="38" t="s">
        <v>821</v>
      </c>
      <c r="C1072" s="51">
        <v>7896261018310</v>
      </c>
      <c r="D1072" s="40" t="s">
        <v>762</v>
      </c>
      <c r="E1072" s="40"/>
      <c r="F1072" s="40">
        <v>254</v>
      </c>
      <c r="G1072" s="38"/>
      <c r="H1072" s="38" t="s">
        <v>763</v>
      </c>
      <c r="I1072" s="38" t="s">
        <v>88</v>
      </c>
      <c r="J1072" s="38" t="s">
        <v>764</v>
      </c>
      <c r="K1072" s="38" t="s">
        <v>765</v>
      </c>
      <c r="L1072" s="52" t="s">
        <v>213</v>
      </c>
      <c r="M1072" s="53" t="s">
        <v>213</v>
      </c>
    </row>
    <row r="1073" spans="1:13" x14ac:dyDescent="0.3">
      <c r="A1073" s="37">
        <v>34</v>
      </c>
      <c r="B1073" s="38" t="s">
        <v>822</v>
      </c>
      <c r="C1073" s="51">
        <v>7896261018310</v>
      </c>
      <c r="D1073" s="40" t="s">
        <v>762</v>
      </c>
      <c r="E1073" s="40"/>
      <c r="F1073" s="40">
        <v>254</v>
      </c>
      <c r="G1073" s="38"/>
      <c r="H1073" s="38" t="s">
        <v>763</v>
      </c>
      <c r="I1073" s="38" t="s">
        <v>88</v>
      </c>
      <c r="J1073" s="38" t="s">
        <v>764</v>
      </c>
      <c r="K1073" s="38" t="s">
        <v>765</v>
      </c>
      <c r="L1073" s="52" t="s">
        <v>213</v>
      </c>
      <c r="M1073" s="53" t="s">
        <v>213</v>
      </c>
    </row>
    <row r="1074" spans="1:13" x14ac:dyDescent="0.3">
      <c r="A1074" s="37">
        <v>34</v>
      </c>
      <c r="B1074" s="38" t="s">
        <v>823</v>
      </c>
      <c r="C1074" s="51">
        <v>7896261018563</v>
      </c>
      <c r="D1074" s="40" t="s">
        <v>762</v>
      </c>
      <c r="E1074" s="40"/>
      <c r="F1074" s="40">
        <v>254</v>
      </c>
      <c r="G1074" s="38"/>
      <c r="H1074" s="38" t="s">
        <v>763</v>
      </c>
      <c r="I1074" s="38" t="s">
        <v>88</v>
      </c>
      <c r="J1074" s="38" t="s">
        <v>764</v>
      </c>
      <c r="K1074" s="38" t="s">
        <v>765</v>
      </c>
      <c r="L1074" s="52" t="s">
        <v>213</v>
      </c>
      <c r="M1074" s="53" t="s">
        <v>213</v>
      </c>
    </row>
    <row r="1075" spans="1:13" x14ac:dyDescent="0.3">
      <c r="A1075" s="37">
        <v>34</v>
      </c>
      <c r="B1075" s="38" t="s">
        <v>824</v>
      </c>
      <c r="C1075" s="51">
        <v>7896261019331</v>
      </c>
      <c r="D1075" s="40" t="s">
        <v>762</v>
      </c>
      <c r="E1075" s="40"/>
      <c r="F1075" s="40">
        <v>254</v>
      </c>
      <c r="G1075" s="38"/>
      <c r="H1075" s="38" t="s">
        <v>763</v>
      </c>
      <c r="I1075" s="38" t="s">
        <v>88</v>
      </c>
      <c r="J1075" s="38" t="s">
        <v>764</v>
      </c>
      <c r="K1075" s="38" t="s">
        <v>765</v>
      </c>
      <c r="L1075" s="52" t="s">
        <v>213</v>
      </c>
      <c r="M1075" s="53" t="s">
        <v>213</v>
      </c>
    </row>
    <row r="1076" spans="1:13" x14ac:dyDescent="0.3">
      <c r="A1076" s="37">
        <v>34</v>
      </c>
      <c r="B1076" s="38" t="s">
        <v>825</v>
      </c>
      <c r="C1076" s="51">
        <v>7896261019348</v>
      </c>
      <c r="D1076" s="40" t="s">
        <v>762</v>
      </c>
      <c r="E1076" s="40"/>
      <c r="F1076" s="40">
        <v>254</v>
      </c>
      <c r="G1076" s="38"/>
      <c r="H1076" s="38" t="s">
        <v>763</v>
      </c>
      <c r="I1076" s="38" t="s">
        <v>88</v>
      </c>
      <c r="J1076" s="38" t="s">
        <v>764</v>
      </c>
      <c r="K1076" s="38" t="s">
        <v>765</v>
      </c>
      <c r="L1076" s="52" t="s">
        <v>213</v>
      </c>
      <c r="M1076" s="53" t="s">
        <v>213</v>
      </c>
    </row>
    <row r="1077" spans="1:13" x14ac:dyDescent="0.3">
      <c r="A1077" s="37">
        <v>34</v>
      </c>
      <c r="B1077" s="38" t="s">
        <v>826</v>
      </c>
      <c r="C1077" s="51">
        <v>7896261019348</v>
      </c>
      <c r="D1077" s="40" t="s">
        <v>762</v>
      </c>
      <c r="E1077" s="40"/>
      <c r="F1077" s="40">
        <v>254</v>
      </c>
      <c r="G1077" s="38"/>
      <c r="H1077" s="38" t="s">
        <v>763</v>
      </c>
      <c r="I1077" s="38" t="s">
        <v>88</v>
      </c>
      <c r="J1077" s="38" t="s">
        <v>764</v>
      </c>
      <c r="K1077" s="38" t="s">
        <v>765</v>
      </c>
      <c r="L1077" s="52" t="s">
        <v>213</v>
      </c>
      <c r="M1077" s="53" t="s">
        <v>213</v>
      </c>
    </row>
    <row r="1078" spans="1:13" x14ac:dyDescent="0.3">
      <c r="A1078" s="37">
        <v>80</v>
      </c>
      <c r="B1078" s="38" t="s">
        <v>827</v>
      </c>
      <c r="C1078" s="51">
        <v>7896094904972</v>
      </c>
      <c r="D1078" s="40" t="s">
        <v>68</v>
      </c>
      <c r="E1078" s="40"/>
      <c r="F1078" s="40">
        <v>915</v>
      </c>
      <c r="G1078" s="38"/>
      <c r="H1078" s="38" t="s">
        <v>828</v>
      </c>
      <c r="I1078" s="38" t="s">
        <v>480</v>
      </c>
      <c r="J1078" s="49" t="s">
        <v>213</v>
      </c>
      <c r="K1078" s="38" t="s">
        <v>480</v>
      </c>
      <c r="L1078" s="49" t="s">
        <v>213</v>
      </c>
      <c r="M1078" s="54" t="s">
        <v>213</v>
      </c>
    </row>
    <row r="1079" spans="1:13" x14ac:dyDescent="0.3">
      <c r="A1079" s="37">
        <v>80</v>
      </c>
      <c r="B1079" s="38" t="s">
        <v>829</v>
      </c>
      <c r="C1079" s="51">
        <v>7896094904972</v>
      </c>
      <c r="D1079" s="40" t="s">
        <v>68</v>
      </c>
      <c r="E1079" s="40"/>
      <c r="F1079" s="40">
        <v>915</v>
      </c>
      <c r="G1079" s="38"/>
      <c r="H1079" s="38" t="s">
        <v>828</v>
      </c>
      <c r="I1079" s="38" t="s">
        <v>480</v>
      </c>
      <c r="J1079" s="49" t="s">
        <v>213</v>
      </c>
      <c r="K1079" s="38" t="s">
        <v>480</v>
      </c>
      <c r="L1079" s="49" t="s">
        <v>213</v>
      </c>
      <c r="M1079" s="54" t="s">
        <v>213</v>
      </c>
    </row>
    <row r="1080" spans="1:13" x14ac:dyDescent="0.3">
      <c r="A1080" s="37">
        <v>80</v>
      </c>
      <c r="B1080" s="38" t="s">
        <v>830</v>
      </c>
      <c r="C1080" s="51">
        <v>7896094904989</v>
      </c>
      <c r="D1080" s="40" t="s">
        <v>68</v>
      </c>
      <c r="E1080" s="40"/>
      <c r="F1080" s="40">
        <v>915</v>
      </c>
      <c r="G1080" s="38"/>
      <c r="H1080" s="38" t="s">
        <v>828</v>
      </c>
      <c r="I1080" s="38" t="s">
        <v>831</v>
      </c>
      <c r="J1080" s="38">
        <v>10</v>
      </c>
      <c r="K1080" s="38" t="s">
        <v>832</v>
      </c>
      <c r="L1080" s="52" t="s">
        <v>213</v>
      </c>
      <c r="M1080" s="53" t="s">
        <v>213</v>
      </c>
    </row>
    <row r="1081" spans="1:13" x14ac:dyDescent="0.3">
      <c r="A1081" s="37">
        <v>80</v>
      </c>
      <c r="B1081" s="38" t="s">
        <v>833</v>
      </c>
      <c r="C1081" s="51">
        <v>7896094904996</v>
      </c>
      <c r="D1081" s="40" t="s">
        <v>68</v>
      </c>
      <c r="E1081" s="40"/>
      <c r="F1081" s="40">
        <v>915</v>
      </c>
      <c r="G1081" s="38"/>
      <c r="H1081" s="38" t="s">
        <v>828</v>
      </c>
      <c r="I1081" s="38" t="s">
        <v>831</v>
      </c>
      <c r="J1081" s="38">
        <v>10</v>
      </c>
      <c r="K1081" s="38" t="s">
        <v>834</v>
      </c>
      <c r="L1081" s="52" t="s">
        <v>213</v>
      </c>
      <c r="M1081" s="53" t="s">
        <v>213</v>
      </c>
    </row>
    <row r="1082" spans="1:13" x14ac:dyDescent="0.3">
      <c r="A1082" s="37">
        <v>80</v>
      </c>
      <c r="B1082" s="38" t="s">
        <v>835</v>
      </c>
      <c r="C1082" s="51">
        <v>7896094916807</v>
      </c>
      <c r="D1082" s="40" t="s">
        <v>68</v>
      </c>
      <c r="E1082" s="40"/>
      <c r="F1082" s="40">
        <v>916</v>
      </c>
      <c r="G1082" s="38"/>
      <c r="H1082" s="38" t="s">
        <v>836</v>
      </c>
      <c r="I1082" s="38" t="s">
        <v>837</v>
      </c>
      <c r="J1082" s="38">
        <v>10</v>
      </c>
      <c r="K1082" s="38" t="s">
        <v>838</v>
      </c>
      <c r="L1082" s="52" t="s">
        <v>213</v>
      </c>
      <c r="M1082" s="53" t="s">
        <v>213</v>
      </c>
    </row>
    <row r="1083" spans="1:13" x14ac:dyDescent="0.3">
      <c r="A1083" s="37">
        <v>80</v>
      </c>
      <c r="B1083" s="38" t="s">
        <v>839</v>
      </c>
      <c r="C1083" s="51">
        <v>7896094916814</v>
      </c>
      <c r="D1083" s="40" t="s">
        <v>68</v>
      </c>
      <c r="E1083" s="40"/>
      <c r="F1083" s="40">
        <v>916</v>
      </c>
      <c r="G1083" s="38"/>
      <c r="H1083" s="38" t="s">
        <v>836</v>
      </c>
      <c r="I1083" s="38" t="s">
        <v>837</v>
      </c>
      <c r="J1083" s="38">
        <v>10</v>
      </c>
      <c r="K1083" s="38" t="s">
        <v>838</v>
      </c>
      <c r="L1083" s="52" t="s">
        <v>213</v>
      </c>
      <c r="M1083" s="53" t="s">
        <v>213</v>
      </c>
    </row>
    <row r="1084" spans="1:13" x14ac:dyDescent="0.3">
      <c r="A1084" s="37">
        <v>80</v>
      </c>
      <c r="B1084" s="38" t="s">
        <v>840</v>
      </c>
      <c r="C1084" s="51">
        <v>7896094918856</v>
      </c>
      <c r="D1084" s="40" t="s">
        <v>68</v>
      </c>
      <c r="E1084" s="40"/>
      <c r="F1084" s="40">
        <v>968</v>
      </c>
      <c r="G1084" s="38"/>
      <c r="H1084" s="38" t="s">
        <v>841</v>
      </c>
      <c r="I1084" s="38" t="s">
        <v>837</v>
      </c>
      <c r="J1084" s="38">
        <v>10</v>
      </c>
      <c r="K1084" s="38" t="s">
        <v>838</v>
      </c>
      <c r="L1084" s="52" t="s">
        <v>213</v>
      </c>
      <c r="M1084" s="53" t="s">
        <v>213</v>
      </c>
    </row>
    <row r="1085" spans="1:13" x14ac:dyDescent="0.3">
      <c r="A1085" s="37">
        <v>80</v>
      </c>
      <c r="B1085" s="38" t="s">
        <v>842</v>
      </c>
      <c r="C1085" s="51">
        <v>7896094918863</v>
      </c>
      <c r="D1085" s="40" t="s">
        <v>68</v>
      </c>
      <c r="E1085" s="40"/>
      <c r="F1085" s="40">
        <v>968</v>
      </c>
      <c r="G1085" s="38"/>
      <c r="H1085" s="38" t="s">
        <v>841</v>
      </c>
      <c r="I1085" s="38" t="s">
        <v>837</v>
      </c>
      <c r="J1085" s="38">
        <v>10</v>
      </c>
      <c r="K1085" s="38" t="s">
        <v>838</v>
      </c>
      <c r="L1085" s="52" t="s">
        <v>213</v>
      </c>
      <c r="M1085" s="53" t="s">
        <v>213</v>
      </c>
    </row>
    <row r="1086" spans="1:13" x14ac:dyDescent="0.3">
      <c r="A1086" s="37">
        <v>80</v>
      </c>
      <c r="B1086" s="38" t="s">
        <v>843</v>
      </c>
      <c r="C1086" s="51">
        <v>7896094920255</v>
      </c>
      <c r="D1086" s="40" t="s">
        <v>68</v>
      </c>
      <c r="E1086" s="40"/>
      <c r="F1086" s="40">
        <v>996</v>
      </c>
      <c r="G1086" s="38"/>
      <c r="H1086" s="38" t="s">
        <v>844</v>
      </c>
      <c r="I1086" s="38" t="s">
        <v>837</v>
      </c>
      <c r="J1086" s="38">
        <v>10</v>
      </c>
      <c r="K1086" s="38" t="s">
        <v>838</v>
      </c>
      <c r="L1086" s="52" t="s">
        <v>213</v>
      </c>
      <c r="M1086" s="53" t="s">
        <v>213</v>
      </c>
    </row>
    <row r="1087" spans="1:13" x14ac:dyDescent="0.3">
      <c r="A1087" s="37">
        <v>80</v>
      </c>
      <c r="B1087" s="38" t="s">
        <v>30</v>
      </c>
      <c r="C1087" s="51">
        <v>7896094920545</v>
      </c>
      <c r="D1087" s="40" t="s">
        <v>68</v>
      </c>
      <c r="E1087" s="40"/>
      <c r="F1087" s="40">
        <v>998</v>
      </c>
      <c r="G1087" s="38"/>
      <c r="H1087" s="38" t="s">
        <v>845</v>
      </c>
      <c r="I1087" s="38" t="s">
        <v>351</v>
      </c>
      <c r="J1087" s="38">
        <v>2</v>
      </c>
      <c r="K1087" s="38" t="s">
        <v>846</v>
      </c>
      <c r="L1087" s="52" t="s">
        <v>213</v>
      </c>
      <c r="M1087" s="53" t="s">
        <v>213</v>
      </c>
    </row>
    <row r="1088" spans="1:13" x14ac:dyDescent="0.3">
      <c r="A1088" s="37">
        <v>80</v>
      </c>
      <c r="B1088" s="38" t="s">
        <v>847</v>
      </c>
      <c r="C1088" s="51">
        <v>7896094920446</v>
      </c>
      <c r="D1088" s="40" t="s">
        <v>68</v>
      </c>
      <c r="E1088" s="40"/>
      <c r="F1088" s="40">
        <v>998</v>
      </c>
      <c r="G1088" s="38"/>
      <c r="H1088" s="38" t="s">
        <v>845</v>
      </c>
      <c r="I1088" s="38" t="s">
        <v>351</v>
      </c>
      <c r="J1088" s="38">
        <v>2</v>
      </c>
      <c r="K1088" s="38" t="s">
        <v>846</v>
      </c>
      <c r="L1088" s="52" t="s">
        <v>213</v>
      </c>
      <c r="M1088" s="53" t="s">
        <v>213</v>
      </c>
    </row>
    <row r="1089" spans="1:13" x14ac:dyDescent="0.3">
      <c r="A1089" s="37">
        <v>80</v>
      </c>
      <c r="B1089" s="38" t="s">
        <v>848</v>
      </c>
      <c r="C1089" s="51">
        <v>7896094917415</v>
      </c>
      <c r="D1089" s="40" t="s">
        <v>68</v>
      </c>
      <c r="E1089" s="40"/>
      <c r="F1089" s="40">
        <v>998</v>
      </c>
      <c r="G1089" s="38"/>
      <c r="H1089" s="38" t="s">
        <v>845</v>
      </c>
      <c r="I1089" s="38" t="s">
        <v>351</v>
      </c>
      <c r="J1089" s="38">
        <v>2</v>
      </c>
      <c r="K1089" s="38" t="s">
        <v>846</v>
      </c>
      <c r="L1089" s="52" t="s">
        <v>213</v>
      </c>
      <c r="M1089" s="53" t="s">
        <v>213</v>
      </c>
    </row>
    <row r="1090" spans="1:13" x14ac:dyDescent="0.3">
      <c r="A1090" s="37">
        <v>80</v>
      </c>
      <c r="B1090" s="38" t="s">
        <v>849</v>
      </c>
      <c r="C1090" s="51">
        <v>7896094920682</v>
      </c>
      <c r="D1090" s="40" t="s">
        <v>68</v>
      </c>
      <c r="E1090" s="40"/>
      <c r="F1090" s="40">
        <v>997</v>
      </c>
      <c r="G1090" s="38"/>
      <c r="H1090" s="38" t="s">
        <v>850</v>
      </c>
      <c r="I1090" s="38" t="s">
        <v>837</v>
      </c>
      <c r="J1090" s="38">
        <v>10</v>
      </c>
      <c r="K1090" s="38" t="s">
        <v>838</v>
      </c>
      <c r="L1090" s="52" t="s">
        <v>213</v>
      </c>
      <c r="M1090" s="53" t="s">
        <v>213</v>
      </c>
    </row>
    <row r="1091" spans="1:13" x14ac:dyDescent="0.3">
      <c r="A1091" s="37">
        <v>57</v>
      </c>
      <c r="B1091" s="38" t="s">
        <v>851</v>
      </c>
      <c r="C1091" s="51">
        <v>7896382701290</v>
      </c>
      <c r="D1091" s="40" t="s">
        <v>852</v>
      </c>
      <c r="E1091" s="40"/>
      <c r="F1091" s="40">
        <v>45</v>
      </c>
      <c r="G1091" s="38"/>
      <c r="H1091" s="38" t="s">
        <v>853</v>
      </c>
      <c r="I1091" s="38" t="s">
        <v>88</v>
      </c>
      <c r="J1091" s="38" t="s">
        <v>559</v>
      </c>
      <c r="K1091" s="38" t="s">
        <v>854</v>
      </c>
      <c r="L1091" s="52" t="s">
        <v>213</v>
      </c>
      <c r="M1091" s="53" t="s">
        <v>213</v>
      </c>
    </row>
    <row r="1092" spans="1:13" x14ac:dyDescent="0.3">
      <c r="A1092" s="37">
        <v>57</v>
      </c>
      <c r="B1092" s="38" t="s">
        <v>851</v>
      </c>
      <c r="C1092" s="51">
        <v>7896382701290</v>
      </c>
      <c r="D1092" s="40" t="s">
        <v>852</v>
      </c>
      <c r="E1092" s="40"/>
      <c r="F1092" s="40">
        <v>752</v>
      </c>
      <c r="G1092" s="38"/>
      <c r="H1092" s="38" t="s">
        <v>855</v>
      </c>
      <c r="I1092" s="38" t="s">
        <v>88</v>
      </c>
      <c r="J1092" s="38" t="s">
        <v>559</v>
      </c>
      <c r="K1092" s="38" t="s">
        <v>854</v>
      </c>
      <c r="L1092" s="52" t="s">
        <v>213</v>
      </c>
      <c r="M1092" s="53" t="s">
        <v>213</v>
      </c>
    </row>
    <row r="1093" spans="1:13" x14ac:dyDescent="0.3">
      <c r="A1093" s="37">
        <v>57</v>
      </c>
      <c r="B1093" s="38" t="s">
        <v>856</v>
      </c>
      <c r="C1093" s="51">
        <v>7896382701344</v>
      </c>
      <c r="D1093" s="40" t="s">
        <v>852</v>
      </c>
      <c r="E1093" s="40"/>
      <c r="F1093" s="40">
        <v>44</v>
      </c>
      <c r="G1093" s="38"/>
      <c r="H1093" s="38" t="s">
        <v>857</v>
      </c>
      <c r="I1093" s="38" t="s">
        <v>88</v>
      </c>
      <c r="J1093" s="38" t="s">
        <v>858</v>
      </c>
      <c r="K1093" s="38" t="s">
        <v>854</v>
      </c>
      <c r="L1093" s="52" t="s">
        <v>213</v>
      </c>
      <c r="M1093" s="53" t="s">
        <v>213</v>
      </c>
    </row>
    <row r="1094" spans="1:13" x14ac:dyDescent="0.3">
      <c r="A1094" s="37">
        <v>57</v>
      </c>
      <c r="B1094" s="38" t="s">
        <v>856</v>
      </c>
      <c r="C1094" s="51">
        <v>7896382701344</v>
      </c>
      <c r="D1094" s="40" t="s">
        <v>852</v>
      </c>
      <c r="E1094" s="40"/>
      <c r="F1094" s="40">
        <v>45</v>
      </c>
      <c r="G1094" s="38"/>
      <c r="H1094" s="38" t="s">
        <v>853</v>
      </c>
      <c r="I1094" s="38" t="s">
        <v>88</v>
      </c>
      <c r="J1094" s="38" t="s">
        <v>858</v>
      </c>
      <c r="K1094" s="38" t="s">
        <v>854</v>
      </c>
      <c r="L1094" s="52" t="s">
        <v>213</v>
      </c>
      <c r="M1094" s="53" t="s">
        <v>213</v>
      </c>
    </row>
    <row r="1095" spans="1:13" x14ac:dyDescent="0.3">
      <c r="A1095" s="37">
        <v>57</v>
      </c>
      <c r="B1095" s="38" t="s">
        <v>856</v>
      </c>
      <c r="C1095" s="51">
        <v>7896382701344</v>
      </c>
      <c r="D1095" s="40" t="s">
        <v>852</v>
      </c>
      <c r="E1095" s="40"/>
      <c r="F1095" s="40">
        <v>752</v>
      </c>
      <c r="G1095" s="38"/>
      <c r="H1095" s="38" t="s">
        <v>855</v>
      </c>
      <c r="I1095" s="38" t="s">
        <v>88</v>
      </c>
      <c r="J1095" s="38" t="s">
        <v>858</v>
      </c>
      <c r="K1095" s="38" t="s">
        <v>854</v>
      </c>
      <c r="L1095" s="52" t="s">
        <v>213</v>
      </c>
      <c r="M1095" s="53" t="s">
        <v>213</v>
      </c>
    </row>
    <row r="1096" spans="1:13" x14ac:dyDescent="0.3">
      <c r="A1096" s="37">
        <v>57</v>
      </c>
      <c r="B1096" s="38" t="s">
        <v>859</v>
      </c>
      <c r="C1096" s="51">
        <v>7896382703119</v>
      </c>
      <c r="D1096" s="40" t="s">
        <v>852</v>
      </c>
      <c r="E1096" s="40"/>
      <c r="F1096" s="40">
        <v>45</v>
      </c>
      <c r="G1096" s="38"/>
      <c r="H1096" s="38" t="s">
        <v>853</v>
      </c>
      <c r="I1096" s="38" t="s">
        <v>88</v>
      </c>
      <c r="J1096" s="38" t="s">
        <v>860</v>
      </c>
      <c r="K1096" s="38" t="s">
        <v>854</v>
      </c>
      <c r="L1096" s="52" t="s">
        <v>213</v>
      </c>
      <c r="M1096" s="53" t="s">
        <v>213</v>
      </c>
    </row>
    <row r="1097" spans="1:13" x14ac:dyDescent="0.3">
      <c r="A1097" s="37">
        <v>57</v>
      </c>
      <c r="B1097" s="38" t="s">
        <v>859</v>
      </c>
      <c r="C1097" s="51">
        <v>7896382703119</v>
      </c>
      <c r="D1097" s="40" t="s">
        <v>852</v>
      </c>
      <c r="E1097" s="40"/>
      <c r="F1097" s="40">
        <v>752</v>
      </c>
      <c r="G1097" s="38"/>
      <c r="H1097" s="38" t="s">
        <v>855</v>
      </c>
      <c r="I1097" s="38" t="s">
        <v>88</v>
      </c>
      <c r="J1097" s="38" t="s">
        <v>860</v>
      </c>
      <c r="K1097" s="38" t="s">
        <v>854</v>
      </c>
      <c r="L1097" s="52" t="s">
        <v>213</v>
      </c>
      <c r="M1097" s="53" t="s">
        <v>213</v>
      </c>
    </row>
    <row r="1098" spans="1:13" x14ac:dyDescent="0.3">
      <c r="A1098" s="37">
        <v>57</v>
      </c>
      <c r="B1098" s="38" t="s">
        <v>861</v>
      </c>
      <c r="C1098" s="51">
        <v>7896382703126</v>
      </c>
      <c r="D1098" s="40" t="s">
        <v>852</v>
      </c>
      <c r="E1098" s="40"/>
      <c r="F1098" s="40">
        <v>43</v>
      </c>
      <c r="G1098" s="38"/>
      <c r="H1098" s="38" t="s">
        <v>862</v>
      </c>
      <c r="I1098" s="38" t="s">
        <v>88</v>
      </c>
      <c r="J1098" s="38" t="s">
        <v>863</v>
      </c>
      <c r="K1098" s="38" t="s">
        <v>854</v>
      </c>
      <c r="L1098" s="52" t="s">
        <v>213</v>
      </c>
      <c r="M1098" s="53" t="s">
        <v>213</v>
      </c>
    </row>
    <row r="1099" spans="1:13" x14ac:dyDescent="0.3">
      <c r="A1099" s="37">
        <v>57</v>
      </c>
      <c r="B1099" s="38" t="s">
        <v>861</v>
      </c>
      <c r="C1099" s="51">
        <v>7896382703126</v>
      </c>
      <c r="D1099" s="40" t="s">
        <v>852</v>
      </c>
      <c r="E1099" s="40"/>
      <c r="F1099" s="40">
        <v>45</v>
      </c>
      <c r="G1099" s="38"/>
      <c r="H1099" s="38" t="s">
        <v>853</v>
      </c>
      <c r="I1099" s="38" t="s">
        <v>88</v>
      </c>
      <c r="J1099" s="38" t="s">
        <v>863</v>
      </c>
      <c r="K1099" s="38" t="s">
        <v>854</v>
      </c>
      <c r="L1099" s="52" t="s">
        <v>213</v>
      </c>
      <c r="M1099" s="53" t="s">
        <v>213</v>
      </c>
    </row>
    <row r="1100" spans="1:13" x14ac:dyDescent="0.3">
      <c r="A1100" s="37">
        <v>57</v>
      </c>
      <c r="B1100" s="38" t="s">
        <v>861</v>
      </c>
      <c r="C1100" s="51">
        <v>7896382703126</v>
      </c>
      <c r="D1100" s="40" t="s">
        <v>852</v>
      </c>
      <c r="E1100" s="40"/>
      <c r="F1100" s="40">
        <v>46</v>
      </c>
      <c r="G1100" s="38"/>
      <c r="H1100" s="38" t="s">
        <v>864</v>
      </c>
      <c r="I1100" s="38" t="s">
        <v>88</v>
      </c>
      <c r="J1100" s="38" t="s">
        <v>863</v>
      </c>
      <c r="K1100" s="38" t="s">
        <v>854</v>
      </c>
      <c r="L1100" s="52" t="s">
        <v>213</v>
      </c>
      <c r="M1100" s="53" t="s">
        <v>213</v>
      </c>
    </row>
    <row r="1101" spans="1:13" x14ac:dyDescent="0.3">
      <c r="A1101" s="37">
        <v>57</v>
      </c>
      <c r="B1101" s="38" t="s">
        <v>861</v>
      </c>
      <c r="C1101" s="51">
        <v>7896382703126</v>
      </c>
      <c r="D1101" s="40" t="s">
        <v>852</v>
      </c>
      <c r="E1101" s="40"/>
      <c r="F1101" s="40">
        <v>752</v>
      </c>
      <c r="G1101" s="38"/>
      <c r="H1101" s="38" t="s">
        <v>855</v>
      </c>
      <c r="I1101" s="38" t="s">
        <v>88</v>
      </c>
      <c r="J1101" s="38" t="s">
        <v>863</v>
      </c>
      <c r="K1101" s="38" t="s">
        <v>854</v>
      </c>
      <c r="L1101" s="52" t="s">
        <v>213</v>
      </c>
      <c r="M1101" s="53" t="s">
        <v>213</v>
      </c>
    </row>
    <row r="1102" spans="1:13" x14ac:dyDescent="0.3">
      <c r="A1102" s="37">
        <v>57</v>
      </c>
      <c r="B1102" s="38" t="s">
        <v>865</v>
      </c>
      <c r="C1102" s="51">
        <v>7896382705168</v>
      </c>
      <c r="D1102" s="40" t="s">
        <v>852</v>
      </c>
      <c r="E1102" s="40"/>
      <c r="F1102" s="40">
        <v>42</v>
      </c>
      <c r="G1102" s="38"/>
      <c r="H1102" s="38" t="s">
        <v>866</v>
      </c>
      <c r="I1102" s="38" t="s">
        <v>88</v>
      </c>
      <c r="J1102" s="38" t="s">
        <v>559</v>
      </c>
      <c r="K1102" s="38" t="s">
        <v>854</v>
      </c>
      <c r="L1102" s="52" t="s">
        <v>213</v>
      </c>
      <c r="M1102" s="53" t="s">
        <v>213</v>
      </c>
    </row>
    <row r="1103" spans="1:13" x14ac:dyDescent="0.3">
      <c r="A1103" s="37">
        <v>57</v>
      </c>
      <c r="B1103" s="38" t="s">
        <v>865</v>
      </c>
      <c r="C1103" s="51">
        <v>7896382705168</v>
      </c>
      <c r="D1103" s="40" t="s">
        <v>852</v>
      </c>
      <c r="E1103" s="40"/>
      <c r="F1103" s="40">
        <v>43</v>
      </c>
      <c r="G1103" s="38"/>
      <c r="H1103" s="38" t="s">
        <v>862</v>
      </c>
      <c r="I1103" s="38" t="s">
        <v>88</v>
      </c>
      <c r="J1103" s="38" t="s">
        <v>559</v>
      </c>
      <c r="K1103" s="38" t="s">
        <v>854</v>
      </c>
      <c r="L1103" s="52" t="s">
        <v>213</v>
      </c>
      <c r="M1103" s="53" t="s">
        <v>213</v>
      </c>
    </row>
    <row r="1104" spans="1:13" x14ac:dyDescent="0.3">
      <c r="A1104" s="37">
        <v>57</v>
      </c>
      <c r="B1104" s="38" t="s">
        <v>865</v>
      </c>
      <c r="C1104" s="51">
        <v>7896382705168</v>
      </c>
      <c r="D1104" s="40" t="s">
        <v>852</v>
      </c>
      <c r="E1104" s="40"/>
      <c r="F1104" s="40">
        <v>44</v>
      </c>
      <c r="G1104" s="38"/>
      <c r="H1104" s="38" t="s">
        <v>857</v>
      </c>
      <c r="I1104" s="38" t="s">
        <v>88</v>
      </c>
      <c r="J1104" s="38" t="s">
        <v>559</v>
      </c>
      <c r="K1104" s="38" t="s">
        <v>854</v>
      </c>
      <c r="L1104" s="52" t="s">
        <v>213</v>
      </c>
      <c r="M1104" s="53" t="s">
        <v>213</v>
      </c>
    </row>
    <row r="1105" spans="1:13" x14ac:dyDescent="0.3">
      <c r="A1105" s="37">
        <v>57</v>
      </c>
      <c r="B1105" s="38" t="s">
        <v>865</v>
      </c>
      <c r="C1105" s="51">
        <v>7896382705168</v>
      </c>
      <c r="D1105" s="40" t="s">
        <v>852</v>
      </c>
      <c r="E1105" s="40"/>
      <c r="F1105" s="40">
        <v>45</v>
      </c>
      <c r="G1105" s="38"/>
      <c r="H1105" s="38" t="s">
        <v>853</v>
      </c>
      <c r="I1105" s="38" t="s">
        <v>88</v>
      </c>
      <c r="J1105" s="38" t="s">
        <v>559</v>
      </c>
      <c r="K1105" s="38" t="s">
        <v>854</v>
      </c>
      <c r="L1105" s="52" t="s">
        <v>213</v>
      </c>
      <c r="M1105" s="53" t="s">
        <v>213</v>
      </c>
    </row>
    <row r="1106" spans="1:13" x14ac:dyDescent="0.3">
      <c r="A1106" s="37">
        <v>57</v>
      </c>
      <c r="B1106" s="38" t="s">
        <v>865</v>
      </c>
      <c r="C1106" s="51">
        <v>7896382705168</v>
      </c>
      <c r="D1106" s="40" t="s">
        <v>852</v>
      </c>
      <c r="E1106" s="40"/>
      <c r="F1106" s="40">
        <v>46</v>
      </c>
      <c r="G1106" s="38"/>
      <c r="H1106" s="38" t="s">
        <v>864</v>
      </c>
      <c r="I1106" s="38" t="s">
        <v>88</v>
      </c>
      <c r="J1106" s="38" t="s">
        <v>559</v>
      </c>
      <c r="K1106" s="38" t="s">
        <v>854</v>
      </c>
      <c r="L1106" s="52" t="s">
        <v>213</v>
      </c>
      <c r="M1106" s="53" t="s">
        <v>213</v>
      </c>
    </row>
    <row r="1107" spans="1:13" x14ac:dyDescent="0.3">
      <c r="A1107" s="37">
        <v>57</v>
      </c>
      <c r="B1107" s="38" t="s">
        <v>865</v>
      </c>
      <c r="C1107" s="51">
        <v>7896382705168</v>
      </c>
      <c r="D1107" s="40" t="s">
        <v>852</v>
      </c>
      <c r="E1107" s="40"/>
      <c r="F1107" s="40">
        <v>48</v>
      </c>
      <c r="G1107" s="38"/>
      <c r="H1107" s="38" t="s">
        <v>867</v>
      </c>
      <c r="I1107" s="38" t="s">
        <v>88</v>
      </c>
      <c r="J1107" s="38" t="s">
        <v>559</v>
      </c>
      <c r="K1107" s="38" t="s">
        <v>854</v>
      </c>
      <c r="L1107" s="52" t="s">
        <v>213</v>
      </c>
      <c r="M1107" s="53" t="s">
        <v>213</v>
      </c>
    </row>
    <row r="1108" spans="1:13" x14ac:dyDescent="0.3">
      <c r="A1108" s="37">
        <v>57</v>
      </c>
      <c r="B1108" s="38" t="s">
        <v>865</v>
      </c>
      <c r="C1108" s="51">
        <v>7896382705168</v>
      </c>
      <c r="D1108" s="40" t="s">
        <v>852</v>
      </c>
      <c r="E1108" s="40"/>
      <c r="F1108" s="40">
        <v>752</v>
      </c>
      <c r="G1108" s="38"/>
      <c r="H1108" s="38" t="s">
        <v>855</v>
      </c>
      <c r="I1108" s="38" t="s">
        <v>88</v>
      </c>
      <c r="J1108" s="38" t="s">
        <v>559</v>
      </c>
      <c r="K1108" s="38" t="s">
        <v>854</v>
      </c>
      <c r="L1108" s="52" t="s">
        <v>213</v>
      </c>
      <c r="M1108" s="53" t="s">
        <v>213</v>
      </c>
    </row>
    <row r="1109" spans="1:13" x14ac:dyDescent="0.3">
      <c r="A1109" s="37">
        <v>57</v>
      </c>
      <c r="B1109" s="38" t="s">
        <v>868</v>
      </c>
      <c r="C1109" s="51">
        <v>7896382705199</v>
      </c>
      <c r="D1109" s="40" t="s">
        <v>852</v>
      </c>
      <c r="E1109" s="40"/>
      <c r="F1109" s="40">
        <v>42</v>
      </c>
      <c r="G1109" s="38"/>
      <c r="H1109" s="38" t="s">
        <v>866</v>
      </c>
      <c r="I1109" s="38" t="s">
        <v>88</v>
      </c>
      <c r="J1109" s="38" t="s">
        <v>858</v>
      </c>
      <c r="K1109" s="38" t="s">
        <v>854</v>
      </c>
      <c r="L1109" s="52" t="s">
        <v>213</v>
      </c>
      <c r="M1109" s="53" t="s">
        <v>213</v>
      </c>
    </row>
    <row r="1110" spans="1:13" x14ac:dyDescent="0.3">
      <c r="A1110" s="37">
        <v>57</v>
      </c>
      <c r="B1110" s="38" t="s">
        <v>868</v>
      </c>
      <c r="C1110" s="51">
        <v>7896382705199</v>
      </c>
      <c r="D1110" s="40" t="s">
        <v>852</v>
      </c>
      <c r="E1110" s="40"/>
      <c r="F1110" s="40">
        <v>43</v>
      </c>
      <c r="G1110" s="38"/>
      <c r="H1110" s="38" t="s">
        <v>862</v>
      </c>
      <c r="I1110" s="38" t="s">
        <v>88</v>
      </c>
      <c r="J1110" s="38" t="s">
        <v>858</v>
      </c>
      <c r="K1110" s="38" t="s">
        <v>854</v>
      </c>
      <c r="L1110" s="52" t="s">
        <v>213</v>
      </c>
      <c r="M1110" s="53" t="s">
        <v>213</v>
      </c>
    </row>
    <row r="1111" spans="1:13" x14ac:dyDescent="0.3">
      <c r="A1111" s="37">
        <v>57</v>
      </c>
      <c r="B1111" s="38" t="s">
        <v>868</v>
      </c>
      <c r="C1111" s="51">
        <v>7896382705199</v>
      </c>
      <c r="D1111" s="40" t="s">
        <v>852</v>
      </c>
      <c r="E1111" s="40"/>
      <c r="F1111" s="40">
        <v>44</v>
      </c>
      <c r="G1111" s="38"/>
      <c r="H1111" s="38" t="s">
        <v>857</v>
      </c>
      <c r="I1111" s="38" t="s">
        <v>88</v>
      </c>
      <c r="J1111" s="38" t="s">
        <v>858</v>
      </c>
      <c r="K1111" s="38" t="s">
        <v>854</v>
      </c>
      <c r="L1111" s="52" t="s">
        <v>213</v>
      </c>
      <c r="M1111" s="53" t="s">
        <v>213</v>
      </c>
    </row>
    <row r="1112" spans="1:13" x14ac:dyDescent="0.3">
      <c r="A1112" s="37">
        <v>57</v>
      </c>
      <c r="B1112" s="38" t="s">
        <v>868</v>
      </c>
      <c r="C1112" s="51">
        <v>7896382705199</v>
      </c>
      <c r="D1112" s="40" t="s">
        <v>852</v>
      </c>
      <c r="E1112" s="40"/>
      <c r="F1112" s="40">
        <v>45</v>
      </c>
      <c r="G1112" s="38"/>
      <c r="H1112" s="38" t="s">
        <v>853</v>
      </c>
      <c r="I1112" s="38" t="s">
        <v>88</v>
      </c>
      <c r="J1112" s="38" t="s">
        <v>858</v>
      </c>
      <c r="K1112" s="38" t="s">
        <v>854</v>
      </c>
      <c r="L1112" s="52" t="s">
        <v>213</v>
      </c>
      <c r="M1112" s="53" t="s">
        <v>213</v>
      </c>
    </row>
    <row r="1113" spans="1:13" x14ac:dyDescent="0.3">
      <c r="A1113" s="37">
        <v>57</v>
      </c>
      <c r="B1113" s="38" t="s">
        <v>868</v>
      </c>
      <c r="C1113" s="51">
        <v>7896382705199</v>
      </c>
      <c r="D1113" s="40" t="s">
        <v>852</v>
      </c>
      <c r="E1113" s="40"/>
      <c r="F1113" s="40">
        <v>46</v>
      </c>
      <c r="G1113" s="38"/>
      <c r="H1113" s="38" t="s">
        <v>864</v>
      </c>
      <c r="I1113" s="38" t="s">
        <v>88</v>
      </c>
      <c r="J1113" s="38" t="s">
        <v>858</v>
      </c>
      <c r="K1113" s="38" t="s">
        <v>854</v>
      </c>
      <c r="L1113" s="52" t="s">
        <v>213</v>
      </c>
      <c r="M1113" s="53" t="s">
        <v>213</v>
      </c>
    </row>
    <row r="1114" spans="1:13" x14ac:dyDescent="0.3">
      <c r="A1114" s="37">
        <v>57</v>
      </c>
      <c r="B1114" s="38" t="s">
        <v>868</v>
      </c>
      <c r="C1114" s="51">
        <v>7896382705199</v>
      </c>
      <c r="D1114" s="40" t="s">
        <v>852</v>
      </c>
      <c r="E1114" s="40"/>
      <c r="F1114" s="40">
        <v>47</v>
      </c>
      <c r="G1114" s="38"/>
      <c r="H1114" s="38" t="s">
        <v>869</v>
      </c>
      <c r="I1114" s="38" t="s">
        <v>88</v>
      </c>
      <c r="J1114" s="38" t="s">
        <v>858</v>
      </c>
      <c r="K1114" s="38" t="s">
        <v>854</v>
      </c>
      <c r="L1114" s="52" t="s">
        <v>213</v>
      </c>
      <c r="M1114" s="53" t="s">
        <v>213</v>
      </c>
    </row>
    <row r="1115" spans="1:13" x14ac:dyDescent="0.3">
      <c r="A1115" s="37">
        <v>57</v>
      </c>
      <c r="B1115" s="38" t="s">
        <v>868</v>
      </c>
      <c r="C1115" s="51">
        <v>7896382705199</v>
      </c>
      <c r="D1115" s="40" t="s">
        <v>852</v>
      </c>
      <c r="E1115" s="40"/>
      <c r="F1115" s="40">
        <v>48</v>
      </c>
      <c r="G1115" s="38"/>
      <c r="H1115" s="38" t="s">
        <v>867</v>
      </c>
      <c r="I1115" s="38" t="s">
        <v>88</v>
      </c>
      <c r="J1115" s="38" t="s">
        <v>858</v>
      </c>
      <c r="K1115" s="38" t="s">
        <v>854</v>
      </c>
      <c r="L1115" s="52" t="s">
        <v>213</v>
      </c>
      <c r="M1115" s="53" t="s">
        <v>213</v>
      </c>
    </row>
    <row r="1116" spans="1:13" x14ac:dyDescent="0.3">
      <c r="A1116" s="37">
        <v>57</v>
      </c>
      <c r="B1116" s="38" t="s">
        <v>868</v>
      </c>
      <c r="C1116" s="51">
        <v>7896382705199</v>
      </c>
      <c r="D1116" s="40" t="s">
        <v>852</v>
      </c>
      <c r="E1116" s="40"/>
      <c r="F1116" s="40">
        <v>752</v>
      </c>
      <c r="G1116" s="38"/>
      <c r="H1116" s="38" t="s">
        <v>855</v>
      </c>
      <c r="I1116" s="38" t="s">
        <v>88</v>
      </c>
      <c r="J1116" s="38" t="s">
        <v>858</v>
      </c>
      <c r="K1116" s="38" t="s">
        <v>854</v>
      </c>
      <c r="L1116" s="52" t="s">
        <v>213</v>
      </c>
      <c r="M1116" s="53" t="s">
        <v>213</v>
      </c>
    </row>
    <row r="1117" spans="1:13" x14ac:dyDescent="0.3">
      <c r="A1117" s="37">
        <v>57</v>
      </c>
      <c r="B1117" s="38" t="s">
        <v>868</v>
      </c>
      <c r="C1117" s="51">
        <v>7896382705199</v>
      </c>
      <c r="D1117" s="40" t="s">
        <v>852</v>
      </c>
      <c r="E1117" s="40"/>
      <c r="F1117" s="40">
        <v>826</v>
      </c>
      <c r="G1117" s="38"/>
      <c r="H1117" s="38" t="s">
        <v>870</v>
      </c>
      <c r="I1117" s="38" t="s">
        <v>88</v>
      </c>
      <c r="J1117" s="38" t="s">
        <v>858</v>
      </c>
      <c r="K1117" s="38" t="s">
        <v>854</v>
      </c>
      <c r="L1117" s="52" t="s">
        <v>213</v>
      </c>
      <c r="M1117" s="53" t="s">
        <v>213</v>
      </c>
    </row>
    <row r="1118" spans="1:13" x14ac:dyDescent="0.3">
      <c r="A1118" s="37">
        <v>57</v>
      </c>
      <c r="B1118" s="38" t="s">
        <v>871</v>
      </c>
      <c r="C1118" s="51">
        <v>7896382706066</v>
      </c>
      <c r="D1118" s="40" t="s">
        <v>852</v>
      </c>
      <c r="E1118" s="40"/>
      <c r="F1118" s="40">
        <v>14</v>
      </c>
      <c r="G1118" s="38"/>
      <c r="H1118" s="38" t="s">
        <v>872</v>
      </c>
      <c r="I1118" s="38" t="s">
        <v>480</v>
      </c>
      <c r="J1118" s="49" t="s">
        <v>213</v>
      </c>
      <c r="K1118" s="38" t="s">
        <v>480</v>
      </c>
      <c r="L1118" s="49" t="s">
        <v>213</v>
      </c>
      <c r="M1118" s="54" t="s">
        <v>213</v>
      </c>
    </row>
    <row r="1119" spans="1:13" x14ac:dyDescent="0.3">
      <c r="A1119" s="37">
        <v>57</v>
      </c>
      <c r="B1119" s="38" t="s">
        <v>871</v>
      </c>
      <c r="C1119" s="51">
        <v>7896382706066</v>
      </c>
      <c r="D1119" s="40" t="s">
        <v>852</v>
      </c>
      <c r="E1119" s="40"/>
      <c r="F1119" s="40">
        <v>187</v>
      </c>
      <c r="G1119" s="38"/>
      <c r="H1119" s="38" t="s">
        <v>873</v>
      </c>
      <c r="I1119" s="38" t="s">
        <v>480</v>
      </c>
      <c r="J1119" s="49" t="s">
        <v>213</v>
      </c>
      <c r="K1119" s="38" t="s">
        <v>480</v>
      </c>
      <c r="L1119" s="49" t="s">
        <v>213</v>
      </c>
      <c r="M1119" s="54" t="s">
        <v>213</v>
      </c>
    </row>
    <row r="1120" spans="1:13" x14ac:dyDescent="0.3">
      <c r="A1120" s="37">
        <v>57</v>
      </c>
      <c r="B1120" s="38" t="s">
        <v>871</v>
      </c>
      <c r="C1120" s="51">
        <v>7896382706066</v>
      </c>
      <c r="D1120" s="40" t="s">
        <v>852</v>
      </c>
      <c r="E1120" s="40"/>
      <c r="F1120" s="40">
        <v>190</v>
      </c>
      <c r="G1120" s="38"/>
      <c r="H1120" s="38" t="s">
        <v>874</v>
      </c>
      <c r="I1120" s="38" t="s">
        <v>480</v>
      </c>
      <c r="J1120" s="49" t="s">
        <v>213</v>
      </c>
      <c r="K1120" s="38" t="s">
        <v>480</v>
      </c>
      <c r="L1120" s="49" t="s">
        <v>213</v>
      </c>
      <c r="M1120" s="54" t="s">
        <v>213</v>
      </c>
    </row>
    <row r="1121" spans="1:13" x14ac:dyDescent="0.3">
      <c r="A1121" s="37">
        <v>57</v>
      </c>
      <c r="B1121" s="38" t="s">
        <v>871</v>
      </c>
      <c r="C1121" s="51">
        <v>7896382706066</v>
      </c>
      <c r="D1121" s="40" t="s">
        <v>852</v>
      </c>
      <c r="E1121" s="40"/>
      <c r="F1121" s="40">
        <v>236</v>
      </c>
      <c r="G1121" s="38"/>
      <c r="H1121" s="38" t="s">
        <v>875</v>
      </c>
      <c r="I1121" s="38" t="s">
        <v>480</v>
      </c>
      <c r="J1121" s="49" t="s">
        <v>213</v>
      </c>
      <c r="K1121" s="38" t="s">
        <v>480</v>
      </c>
      <c r="L1121" s="49" t="s">
        <v>213</v>
      </c>
      <c r="M1121" s="54" t="s">
        <v>213</v>
      </c>
    </row>
    <row r="1122" spans="1:13" x14ac:dyDescent="0.3">
      <c r="A1122" s="37">
        <v>57</v>
      </c>
      <c r="B1122" s="38" t="s">
        <v>876</v>
      </c>
      <c r="C1122" s="51">
        <v>7896382706370</v>
      </c>
      <c r="D1122" s="40" t="s">
        <v>852</v>
      </c>
      <c r="E1122" s="40"/>
      <c r="F1122" s="40">
        <v>9</v>
      </c>
      <c r="G1122" s="38"/>
      <c r="H1122" s="38" t="s">
        <v>877</v>
      </c>
      <c r="I1122" s="38" t="s">
        <v>480</v>
      </c>
      <c r="J1122" s="49" t="s">
        <v>213</v>
      </c>
      <c r="K1122" s="38" t="s">
        <v>480</v>
      </c>
      <c r="L1122" s="49" t="s">
        <v>213</v>
      </c>
      <c r="M1122" s="54" t="s">
        <v>213</v>
      </c>
    </row>
    <row r="1123" spans="1:13" x14ac:dyDescent="0.3">
      <c r="A1123" s="37">
        <v>57</v>
      </c>
      <c r="B1123" s="38" t="s">
        <v>876</v>
      </c>
      <c r="C1123" s="51">
        <v>7896382706370</v>
      </c>
      <c r="D1123" s="40" t="s">
        <v>852</v>
      </c>
      <c r="E1123" s="40"/>
      <c r="F1123" s="40">
        <v>10</v>
      </c>
      <c r="G1123" s="38"/>
      <c r="H1123" s="38" t="s">
        <v>878</v>
      </c>
      <c r="I1123" s="38" t="s">
        <v>480</v>
      </c>
      <c r="J1123" s="49" t="s">
        <v>213</v>
      </c>
      <c r="K1123" s="38" t="s">
        <v>480</v>
      </c>
      <c r="L1123" s="49" t="s">
        <v>213</v>
      </c>
      <c r="M1123" s="54" t="s">
        <v>213</v>
      </c>
    </row>
    <row r="1124" spans="1:13" x14ac:dyDescent="0.3">
      <c r="A1124" s="37">
        <v>57</v>
      </c>
      <c r="B1124" s="38" t="s">
        <v>876</v>
      </c>
      <c r="C1124" s="51">
        <v>7896382706370</v>
      </c>
      <c r="D1124" s="40" t="s">
        <v>852</v>
      </c>
      <c r="E1124" s="40"/>
      <c r="F1124" s="40">
        <v>11</v>
      </c>
      <c r="G1124" s="38"/>
      <c r="H1124" s="38" t="s">
        <v>879</v>
      </c>
      <c r="I1124" s="38" t="s">
        <v>480</v>
      </c>
      <c r="J1124" s="49" t="s">
        <v>213</v>
      </c>
      <c r="K1124" s="38" t="s">
        <v>480</v>
      </c>
      <c r="L1124" s="49" t="s">
        <v>213</v>
      </c>
      <c r="M1124" s="54" t="s">
        <v>213</v>
      </c>
    </row>
    <row r="1125" spans="1:13" x14ac:dyDescent="0.3">
      <c r="A1125" s="37">
        <v>57</v>
      </c>
      <c r="B1125" s="38" t="s">
        <v>876</v>
      </c>
      <c r="C1125" s="51">
        <v>7896382706370</v>
      </c>
      <c r="D1125" s="40" t="s">
        <v>852</v>
      </c>
      <c r="E1125" s="40"/>
      <c r="F1125" s="40">
        <v>12</v>
      </c>
      <c r="G1125" s="38"/>
      <c r="H1125" s="38" t="s">
        <v>880</v>
      </c>
      <c r="I1125" s="38" t="s">
        <v>480</v>
      </c>
      <c r="J1125" s="49" t="s">
        <v>213</v>
      </c>
      <c r="K1125" s="38" t="s">
        <v>480</v>
      </c>
      <c r="L1125" s="49" t="s">
        <v>213</v>
      </c>
      <c r="M1125" s="54" t="s">
        <v>213</v>
      </c>
    </row>
    <row r="1126" spans="1:13" x14ac:dyDescent="0.3">
      <c r="A1126" s="37">
        <v>57</v>
      </c>
      <c r="B1126" s="38" t="s">
        <v>876</v>
      </c>
      <c r="C1126" s="51">
        <v>7896382706370</v>
      </c>
      <c r="D1126" s="40" t="s">
        <v>852</v>
      </c>
      <c r="E1126" s="40"/>
      <c r="F1126" s="40">
        <v>13</v>
      </c>
      <c r="G1126" s="38"/>
      <c r="H1126" s="38" t="s">
        <v>881</v>
      </c>
      <c r="I1126" s="38" t="s">
        <v>480</v>
      </c>
      <c r="J1126" s="49" t="s">
        <v>213</v>
      </c>
      <c r="K1126" s="38" t="s">
        <v>480</v>
      </c>
      <c r="L1126" s="49" t="s">
        <v>213</v>
      </c>
      <c r="M1126" s="54" t="s">
        <v>213</v>
      </c>
    </row>
    <row r="1127" spans="1:13" x14ac:dyDescent="0.3">
      <c r="A1127" s="37">
        <v>57</v>
      </c>
      <c r="B1127" s="38" t="s">
        <v>876</v>
      </c>
      <c r="C1127" s="51">
        <v>7896382706370</v>
      </c>
      <c r="D1127" s="40" t="s">
        <v>852</v>
      </c>
      <c r="E1127" s="40"/>
      <c r="F1127" s="40">
        <v>14</v>
      </c>
      <c r="G1127" s="38"/>
      <c r="H1127" s="38" t="s">
        <v>872</v>
      </c>
      <c r="I1127" s="38" t="s">
        <v>480</v>
      </c>
      <c r="J1127" s="49" t="s">
        <v>213</v>
      </c>
      <c r="K1127" s="38" t="s">
        <v>480</v>
      </c>
      <c r="L1127" s="49" t="s">
        <v>213</v>
      </c>
      <c r="M1127" s="54" t="s">
        <v>213</v>
      </c>
    </row>
    <row r="1128" spans="1:13" x14ac:dyDescent="0.3">
      <c r="A1128" s="37">
        <v>57</v>
      </c>
      <c r="B1128" s="38" t="s">
        <v>876</v>
      </c>
      <c r="C1128" s="51">
        <v>7896382706370</v>
      </c>
      <c r="D1128" s="40" t="s">
        <v>852</v>
      </c>
      <c r="E1128" s="40"/>
      <c r="F1128" s="40">
        <v>15</v>
      </c>
      <c r="G1128" s="38"/>
      <c r="H1128" s="38" t="s">
        <v>882</v>
      </c>
      <c r="I1128" s="38" t="s">
        <v>480</v>
      </c>
      <c r="J1128" s="49" t="s">
        <v>213</v>
      </c>
      <c r="K1128" s="38" t="s">
        <v>480</v>
      </c>
      <c r="L1128" s="49" t="s">
        <v>213</v>
      </c>
      <c r="M1128" s="54" t="s">
        <v>213</v>
      </c>
    </row>
    <row r="1129" spans="1:13" x14ac:dyDescent="0.3">
      <c r="A1129" s="37">
        <v>57</v>
      </c>
      <c r="B1129" s="38" t="s">
        <v>876</v>
      </c>
      <c r="C1129" s="51">
        <v>7896382706370</v>
      </c>
      <c r="D1129" s="40" t="s">
        <v>852</v>
      </c>
      <c r="E1129" s="40"/>
      <c r="F1129" s="40">
        <v>101</v>
      </c>
      <c r="G1129" s="38"/>
      <c r="H1129" s="38" t="s">
        <v>883</v>
      </c>
      <c r="I1129" s="38" t="s">
        <v>480</v>
      </c>
      <c r="J1129" s="49" t="s">
        <v>213</v>
      </c>
      <c r="K1129" s="38" t="s">
        <v>480</v>
      </c>
      <c r="L1129" s="49" t="s">
        <v>213</v>
      </c>
      <c r="M1129" s="54" t="s">
        <v>213</v>
      </c>
    </row>
    <row r="1130" spans="1:13" x14ac:dyDescent="0.3">
      <c r="A1130" s="37">
        <v>57</v>
      </c>
      <c r="B1130" s="38" t="s">
        <v>876</v>
      </c>
      <c r="C1130" s="51">
        <v>7896382706370</v>
      </c>
      <c r="D1130" s="40" t="s">
        <v>852</v>
      </c>
      <c r="E1130" s="40"/>
      <c r="F1130" s="40">
        <v>102</v>
      </c>
      <c r="G1130" s="38"/>
      <c r="H1130" s="38" t="s">
        <v>884</v>
      </c>
      <c r="I1130" s="38" t="s">
        <v>480</v>
      </c>
      <c r="J1130" s="49" t="s">
        <v>213</v>
      </c>
      <c r="K1130" s="38" t="s">
        <v>480</v>
      </c>
      <c r="L1130" s="49" t="s">
        <v>213</v>
      </c>
      <c r="M1130" s="54" t="s">
        <v>213</v>
      </c>
    </row>
    <row r="1131" spans="1:13" x14ac:dyDescent="0.3">
      <c r="A1131" s="37">
        <v>57</v>
      </c>
      <c r="B1131" s="38" t="s">
        <v>876</v>
      </c>
      <c r="C1131" s="51">
        <v>7896382706370</v>
      </c>
      <c r="D1131" s="40" t="s">
        <v>852</v>
      </c>
      <c r="E1131" s="40"/>
      <c r="F1131" s="40">
        <v>103</v>
      </c>
      <c r="G1131" s="38"/>
      <c r="H1131" s="38" t="s">
        <v>885</v>
      </c>
      <c r="I1131" s="38" t="s">
        <v>480</v>
      </c>
      <c r="J1131" s="49" t="s">
        <v>213</v>
      </c>
      <c r="K1131" s="38" t="s">
        <v>480</v>
      </c>
      <c r="L1131" s="49" t="s">
        <v>213</v>
      </c>
      <c r="M1131" s="54" t="s">
        <v>213</v>
      </c>
    </row>
    <row r="1132" spans="1:13" x14ac:dyDescent="0.3">
      <c r="A1132" s="37">
        <v>57</v>
      </c>
      <c r="B1132" s="38" t="s">
        <v>876</v>
      </c>
      <c r="C1132" s="51">
        <v>7896382706370</v>
      </c>
      <c r="D1132" s="40" t="s">
        <v>852</v>
      </c>
      <c r="E1132" s="40"/>
      <c r="F1132" s="40">
        <v>104</v>
      </c>
      <c r="G1132" s="38"/>
      <c r="H1132" s="38" t="s">
        <v>886</v>
      </c>
      <c r="I1132" s="38" t="s">
        <v>480</v>
      </c>
      <c r="J1132" s="49" t="s">
        <v>213</v>
      </c>
      <c r="K1132" s="38" t="s">
        <v>480</v>
      </c>
      <c r="L1132" s="49" t="s">
        <v>213</v>
      </c>
      <c r="M1132" s="54" t="s">
        <v>213</v>
      </c>
    </row>
    <row r="1133" spans="1:13" x14ac:dyDescent="0.3">
      <c r="A1133" s="37">
        <v>57</v>
      </c>
      <c r="B1133" s="38" t="s">
        <v>876</v>
      </c>
      <c r="C1133" s="51">
        <v>7896382706370</v>
      </c>
      <c r="D1133" s="40" t="s">
        <v>852</v>
      </c>
      <c r="E1133" s="40"/>
      <c r="F1133" s="40">
        <v>105</v>
      </c>
      <c r="G1133" s="38"/>
      <c r="H1133" s="38" t="s">
        <v>887</v>
      </c>
      <c r="I1133" s="38" t="s">
        <v>480</v>
      </c>
      <c r="J1133" s="49" t="s">
        <v>213</v>
      </c>
      <c r="K1133" s="38" t="s">
        <v>480</v>
      </c>
      <c r="L1133" s="49" t="s">
        <v>213</v>
      </c>
      <c r="M1133" s="54" t="s">
        <v>213</v>
      </c>
    </row>
    <row r="1134" spans="1:13" x14ac:dyDescent="0.3">
      <c r="A1134" s="37">
        <v>57</v>
      </c>
      <c r="B1134" s="38" t="s">
        <v>876</v>
      </c>
      <c r="C1134" s="51">
        <v>7896382706370</v>
      </c>
      <c r="D1134" s="40" t="s">
        <v>852</v>
      </c>
      <c r="E1134" s="40"/>
      <c r="F1134" s="40">
        <v>106</v>
      </c>
      <c r="G1134" s="38"/>
      <c r="H1134" s="38" t="s">
        <v>888</v>
      </c>
      <c r="I1134" s="38" t="s">
        <v>480</v>
      </c>
      <c r="J1134" s="49" t="s">
        <v>213</v>
      </c>
      <c r="K1134" s="38" t="s">
        <v>480</v>
      </c>
      <c r="L1134" s="49" t="s">
        <v>213</v>
      </c>
      <c r="M1134" s="54" t="s">
        <v>213</v>
      </c>
    </row>
    <row r="1135" spans="1:13" x14ac:dyDescent="0.3">
      <c r="A1135" s="37">
        <v>57</v>
      </c>
      <c r="B1135" s="38" t="s">
        <v>876</v>
      </c>
      <c r="C1135" s="51">
        <v>7896382706370</v>
      </c>
      <c r="D1135" s="40" t="s">
        <v>852</v>
      </c>
      <c r="E1135" s="40"/>
      <c r="F1135" s="40">
        <v>107</v>
      </c>
      <c r="G1135" s="38"/>
      <c r="H1135" s="38" t="s">
        <v>889</v>
      </c>
      <c r="I1135" s="38" t="s">
        <v>480</v>
      </c>
      <c r="J1135" s="49" t="s">
        <v>213</v>
      </c>
      <c r="K1135" s="38" t="s">
        <v>480</v>
      </c>
      <c r="L1135" s="49" t="s">
        <v>213</v>
      </c>
      <c r="M1135" s="54" t="s">
        <v>213</v>
      </c>
    </row>
    <row r="1136" spans="1:13" x14ac:dyDescent="0.3">
      <c r="A1136" s="37">
        <v>57</v>
      </c>
      <c r="B1136" s="38" t="s">
        <v>876</v>
      </c>
      <c r="C1136" s="51">
        <v>7896382706370</v>
      </c>
      <c r="D1136" s="40" t="s">
        <v>852</v>
      </c>
      <c r="E1136" s="40"/>
      <c r="F1136" s="40">
        <v>170</v>
      </c>
      <c r="G1136" s="38"/>
      <c r="H1136" s="38" t="s">
        <v>890</v>
      </c>
      <c r="I1136" s="38" t="s">
        <v>480</v>
      </c>
      <c r="J1136" s="49" t="s">
        <v>213</v>
      </c>
      <c r="K1136" s="38" t="s">
        <v>480</v>
      </c>
      <c r="L1136" s="49" t="s">
        <v>213</v>
      </c>
      <c r="M1136" s="54" t="s">
        <v>213</v>
      </c>
    </row>
    <row r="1137" spans="1:13" x14ac:dyDescent="0.3">
      <c r="A1137" s="37">
        <v>57</v>
      </c>
      <c r="B1137" s="38" t="s">
        <v>876</v>
      </c>
      <c r="C1137" s="51">
        <v>7896382706370</v>
      </c>
      <c r="D1137" s="40" t="s">
        <v>852</v>
      </c>
      <c r="E1137" s="40"/>
      <c r="F1137" s="40">
        <v>171</v>
      </c>
      <c r="G1137" s="38"/>
      <c r="H1137" s="38" t="s">
        <v>891</v>
      </c>
      <c r="I1137" s="38" t="s">
        <v>480</v>
      </c>
      <c r="J1137" s="49" t="s">
        <v>213</v>
      </c>
      <c r="K1137" s="38" t="s">
        <v>480</v>
      </c>
      <c r="L1137" s="49" t="s">
        <v>213</v>
      </c>
      <c r="M1137" s="54" t="s">
        <v>213</v>
      </c>
    </row>
    <row r="1138" spans="1:13" x14ac:dyDescent="0.3">
      <c r="A1138" s="37">
        <v>57</v>
      </c>
      <c r="B1138" s="38" t="s">
        <v>876</v>
      </c>
      <c r="C1138" s="51">
        <v>7896382706370</v>
      </c>
      <c r="D1138" s="40" t="s">
        <v>852</v>
      </c>
      <c r="E1138" s="40"/>
      <c r="F1138" s="40">
        <v>172</v>
      </c>
      <c r="G1138" s="38"/>
      <c r="H1138" s="38" t="s">
        <v>892</v>
      </c>
      <c r="I1138" s="38" t="s">
        <v>480</v>
      </c>
      <c r="J1138" s="49" t="s">
        <v>213</v>
      </c>
      <c r="K1138" s="38" t="s">
        <v>480</v>
      </c>
      <c r="L1138" s="49" t="s">
        <v>213</v>
      </c>
      <c r="M1138" s="54" t="s">
        <v>213</v>
      </c>
    </row>
    <row r="1139" spans="1:13" x14ac:dyDescent="0.3">
      <c r="A1139" s="37">
        <v>57</v>
      </c>
      <c r="B1139" s="38" t="s">
        <v>876</v>
      </c>
      <c r="C1139" s="51">
        <v>7896382706370</v>
      </c>
      <c r="D1139" s="40" t="s">
        <v>852</v>
      </c>
      <c r="E1139" s="40"/>
      <c r="F1139" s="40">
        <v>173</v>
      </c>
      <c r="G1139" s="38"/>
      <c r="H1139" s="38" t="s">
        <v>893</v>
      </c>
      <c r="I1139" s="38" t="s">
        <v>480</v>
      </c>
      <c r="J1139" s="49" t="s">
        <v>213</v>
      </c>
      <c r="K1139" s="38" t="s">
        <v>480</v>
      </c>
      <c r="L1139" s="49" t="s">
        <v>213</v>
      </c>
      <c r="M1139" s="54" t="s">
        <v>213</v>
      </c>
    </row>
    <row r="1140" spans="1:13" x14ac:dyDescent="0.3">
      <c r="A1140" s="37">
        <v>57</v>
      </c>
      <c r="B1140" s="38" t="s">
        <v>876</v>
      </c>
      <c r="C1140" s="51">
        <v>7896382706370</v>
      </c>
      <c r="D1140" s="40" t="s">
        <v>852</v>
      </c>
      <c r="E1140" s="40"/>
      <c r="F1140" s="40">
        <v>174</v>
      </c>
      <c r="G1140" s="38"/>
      <c r="H1140" s="38" t="s">
        <v>894</v>
      </c>
      <c r="I1140" s="38" t="s">
        <v>480</v>
      </c>
      <c r="J1140" s="49" t="s">
        <v>213</v>
      </c>
      <c r="K1140" s="38" t="s">
        <v>480</v>
      </c>
      <c r="L1140" s="49" t="s">
        <v>213</v>
      </c>
      <c r="M1140" s="54" t="s">
        <v>213</v>
      </c>
    </row>
    <row r="1141" spans="1:13" x14ac:dyDescent="0.3">
      <c r="A1141" s="37">
        <v>57</v>
      </c>
      <c r="B1141" s="38" t="s">
        <v>876</v>
      </c>
      <c r="C1141" s="51">
        <v>7896382706370</v>
      </c>
      <c r="D1141" s="40" t="s">
        <v>852</v>
      </c>
      <c r="E1141" s="40"/>
      <c r="F1141" s="40">
        <v>175</v>
      </c>
      <c r="G1141" s="38"/>
      <c r="H1141" s="38" t="s">
        <v>895</v>
      </c>
      <c r="I1141" s="38" t="s">
        <v>480</v>
      </c>
      <c r="J1141" s="49" t="s">
        <v>213</v>
      </c>
      <c r="K1141" s="38" t="s">
        <v>480</v>
      </c>
      <c r="L1141" s="49" t="s">
        <v>213</v>
      </c>
      <c r="M1141" s="54" t="s">
        <v>213</v>
      </c>
    </row>
    <row r="1142" spans="1:13" x14ac:dyDescent="0.3">
      <c r="A1142" s="37">
        <v>57</v>
      </c>
      <c r="B1142" s="38" t="s">
        <v>876</v>
      </c>
      <c r="C1142" s="51">
        <v>7896382706370</v>
      </c>
      <c r="D1142" s="40" t="s">
        <v>852</v>
      </c>
      <c r="E1142" s="40"/>
      <c r="F1142" s="40">
        <v>176</v>
      </c>
      <c r="G1142" s="38"/>
      <c r="H1142" s="38" t="s">
        <v>896</v>
      </c>
      <c r="I1142" s="38" t="s">
        <v>480</v>
      </c>
      <c r="J1142" s="49" t="s">
        <v>213</v>
      </c>
      <c r="K1142" s="38" t="s">
        <v>480</v>
      </c>
      <c r="L1142" s="49" t="s">
        <v>213</v>
      </c>
      <c r="M1142" s="54" t="s">
        <v>213</v>
      </c>
    </row>
    <row r="1143" spans="1:13" x14ac:dyDescent="0.3">
      <c r="A1143" s="37">
        <v>57</v>
      </c>
      <c r="B1143" s="38" t="s">
        <v>876</v>
      </c>
      <c r="C1143" s="51">
        <v>7896382706370</v>
      </c>
      <c r="D1143" s="40" t="s">
        <v>852</v>
      </c>
      <c r="E1143" s="40"/>
      <c r="F1143" s="40">
        <v>183</v>
      </c>
      <c r="G1143" s="38"/>
      <c r="H1143" s="38" t="s">
        <v>897</v>
      </c>
      <c r="I1143" s="38" t="s">
        <v>480</v>
      </c>
      <c r="J1143" s="49" t="s">
        <v>213</v>
      </c>
      <c r="K1143" s="38" t="s">
        <v>480</v>
      </c>
      <c r="L1143" s="49" t="s">
        <v>213</v>
      </c>
      <c r="M1143" s="54" t="s">
        <v>213</v>
      </c>
    </row>
    <row r="1144" spans="1:13" x14ac:dyDescent="0.3">
      <c r="A1144" s="37">
        <v>57</v>
      </c>
      <c r="B1144" s="38" t="s">
        <v>876</v>
      </c>
      <c r="C1144" s="51">
        <v>7896382706370</v>
      </c>
      <c r="D1144" s="40" t="s">
        <v>852</v>
      </c>
      <c r="E1144" s="40"/>
      <c r="F1144" s="40">
        <v>184</v>
      </c>
      <c r="G1144" s="38"/>
      <c r="H1144" s="38" t="s">
        <v>898</v>
      </c>
      <c r="I1144" s="38" t="s">
        <v>480</v>
      </c>
      <c r="J1144" s="49" t="s">
        <v>213</v>
      </c>
      <c r="K1144" s="38" t="s">
        <v>480</v>
      </c>
      <c r="L1144" s="49" t="s">
        <v>213</v>
      </c>
      <c r="M1144" s="54" t="s">
        <v>213</v>
      </c>
    </row>
    <row r="1145" spans="1:13" x14ac:dyDescent="0.3">
      <c r="A1145" s="37">
        <v>57</v>
      </c>
      <c r="B1145" s="38" t="s">
        <v>876</v>
      </c>
      <c r="C1145" s="51">
        <v>7896382706370</v>
      </c>
      <c r="D1145" s="40" t="s">
        <v>852</v>
      </c>
      <c r="E1145" s="40"/>
      <c r="F1145" s="40">
        <v>185</v>
      </c>
      <c r="G1145" s="38"/>
      <c r="H1145" s="38" t="s">
        <v>899</v>
      </c>
      <c r="I1145" s="38" t="s">
        <v>480</v>
      </c>
      <c r="J1145" s="49" t="s">
        <v>213</v>
      </c>
      <c r="K1145" s="38" t="s">
        <v>480</v>
      </c>
      <c r="L1145" s="49" t="s">
        <v>213</v>
      </c>
      <c r="M1145" s="54" t="s">
        <v>213</v>
      </c>
    </row>
    <row r="1146" spans="1:13" x14ac:dyDescent="0.3">
      <c r="A1146" s="37">
        <v>57</v>
      </c>
      <c r="B1146" s="38" t="s">
        <v>876</v>
      </c>
      <c r="C1146" s="51">
        <v>7896382706370</v>
      </c>
      <c r="D1146" s="40" t="s">
        <v>852</v>
      </c>
      <c r="E1146" s="40"/>
      <c r="F1146" s="40">
        <v>186</v>
      </c>
      <c r="G1146" s="38"/>
      <c r="H1146" s="38" t="s">
        <v>900</v>
      </c>
      <c r="I1146" s="38" t="s">
        <v>480</v>
      </c>
      <c r="J1146" s="49" t="s">
        <v>213</v>
      </c>
      <c r="K1146" s="38" t="s">
        <v>480</v>
      </c>
      <c r="L1146" s="49" t="s">
        <v>213</v>
      </c>
      <c r="M1146" s="54" t="s">
        <v>213</v>
      </c>
    </row>
    <row r="1147" spans="1:13" x14ac:dyDescent="0.3">
      <c r="A1147" s="37">
        <v>57</v>
      </c>
      <c r="B1147" s="38" t="s">
        <v>876</v>
      </c>
      <c r="C1147" s="51">
        <v>7896382706370</v>
      </c>
      <c r="D1147" s="40" t="s">
        <v>852</v>
      </c>
      <c r="E1147" s="40"/>
      <c r="F1147" s="40">
        <v>187</v>
      </c>
      <c r="G1147" s="38"/>
      <c r="H1147" s="38" t="s">
        <v>873</v>
      </c>
      <c r="I1147" s="38" t="s">
        <v>480</v>
      </c>
      <c r="J1147" s="49" t="s">
        <v>213</v>
      </c>
      <c r="K1147" s="38" t="s">
        <v>480</v>
      </c>
      <c r="L1147" s="49" t="s">
        <v>213</v>
      </c>
      <c r="M1147" s="54" t="s">
        <v>213</v>
      </c>
    </row>
    <row r="1148" spans="1:13" x14ac:dyDescent="0.3">
      <c r="A1148" s="37">
        <v>57</v>
      </c>
      <c r="B1148" s="38" t="s">
        <v>876</v>
      </c>
      <c r="C1148" s="51">
        <v>7896382706370</v>
      </c>
      <c r="D1148" s="40" t="s">
        <v>852</v>
      </c>
      <c r="E1148" s="40"/>
      <c r="F1148" s="40">
        <v>188</v>
      </c>
      <c r="G1148" s="38"/>
      <c r="H1148" s="38" t="s">
        <v>901</v>
      </c>
      <c r="I1148" s="38" t="s">
        <v>480</v>
      </c>
      <c r="J1148" s="49" t="s">
        <v>213</v>
      </c>
      <c r="K1148" s="38" t="s">
        <v>480</v>
      </c>
      <c r="L1148" s="49" t="s">
        <v>213</v>
      </c>
      <c r="M1148" s="54" t="s">
        <v>213</v>
      </c>
    </row>
    <row r="1149" spans="1:13" x14ac:dyDescent="0.3">
      <c r="A1149" s="37">
        <v>57</v>
      </c>
      <c r="B1149" s="38" t="s">
        <v>876</v>
      </c>
      <c r="C1149" s="51">
        <v>7896382706370</v>
      </c>
      <c r="D1149" s="40" t="s">
        <v>852</v>
      </c>
      <c r="E1149" s="40"/>
      <c r="F1149" s="40">
        <v>189</v>
      </c>
      <c r="G1149" s="38"/>
      <c r="H1149" s="38" t="s">
        <v>902</v>
      </c>
      <c r="I1149" s="38" t="s">
        <v>480</v>
      </c>
      <c r="J1149" s="49" t="s">
        <v>213</v>
      </c>
      <c r="K1149" s="38" t="s">
        <v>480</v>
      </c>
      <c r="L1149" s="49" t="s">
        <v>213</v>
      </c>
      <c r="M1149" s="54" t="s">
        <v>213</v>
      </c>
    </row>
    <row r="1150" spans="1:13" x14ac:dyDescent="0.3">
      <c r="A1150" s="37">
        <v>57</v>
      </c>
      <c r="B1150" s="38" t="s">
        <v>876</v>
      </c>
      <c r="C1150" s="51">
        <v>7896382706370</v>
      </c>
      <c r="D1150" s="40" t="s">
        <v>852</v>
      </c>
      <c r="E1150" s="40"/>
      <c r="F1150" s="40">
        <v>190</v>
      </c>
      <c r="G1150" s="38"/>
      <c r="H1150" s="38" t="s">
        <v>874</v>
      </c>
      <c r="I1150" s="38" t="s">
        <v>480</v>
      </c>
      <c r="J1150" s="49" t="s">
        <v>213</v>
      </c>
      <c r="K1150" s="38" t="s">
        <v>480</v>
      </c>
      <c r="L1150" s="49" t="s">
        <v>213</v>
      </c>
      <c r="M1150" s="54" t="s">
        <v>213</v>
      </c>
    </row>
    <row r="1151" spans="1:13" x14ac:dyDescent="0.3">
      <c r="A1151" s="37">
        <v>57</v>
      </c>
      <c r="B1151" s="38" t="s">
        <v>876</v>
      </c>
      <c r="C1151" s="51">
        <v>7896382706370</v>
      </c>
      <c r="D1151" s="40" t="s">
        <v>852</v>
      </c>
      <c r="E1151" s="40"/>
      <c r="F1151" s="40">
        <v>236</v>
      </c>
      <c r="G1151" s="38"/>
      <c r="H1151" s="38" t="s">
        <v>875</v>
      </c>
      <c r="I1151" s="38" t="s">
        <v>480</v>
      </c>
      <c r="J1151" s="49" t="s">
        <v>213</v>
      </c>
      <c r="K1151" s="38" t="s">
        <v>480</v>
      </c>
      <c r="L1151" s="49" t="s">
        <v>213</v>
      </c>
      <c r="M1151" s="54" t="s">
        <v>213</v>
      </c>
    </row>
    <row r="1152" spans="1:13" x14ac:dyDescent="0.3">
      <c r="A1152" s="37">
        <v>57</v>
      </c>
      <c r="B1152" s="38" t="s">
        <v>876</v>
      </c>
      <c r="C1152" s="51">
        <v>7896382706370</v>
      </c>
      <c r="D1152" s="40" t="s">
        <v>852</v>
      </c>
      <c r="E1152" s="40"/>
      <c r="F1152" s="40">
        <v>930</v>
      </c>
      <c r="G1152" s="38"/>
      <c r="H1152" s="38" t="s">
        <v>903</v>
      </c>
      <c r="I1152" s="38" t="s">
        <v>480</v>
      </c>
      <c r="J1152" s="49" t="s">
        <v>213</v>
      </c>
      <c r="K1152" s="38" t="s">
        <v>480</v>
      </c>
      <c r="L1152" s="49" t="s">
        <v>213</v>
      </c>
      <c r="M1152" s="54" t="s">
        <v>213</v>
      </c>
    </row>
    <row r="1153" spans="1:13" x14ac:dyDescent="0.3">
      <c r="A1153" s="37">
        <v>57</v>
      </c>
      <c r="B1153" s="38" t="s">
        <v>904</v>
      </c>
      <c r="C1153" s="51">
        <v>7896382706684</v>
      </c>
      <c r="D1153" s="40" t="s">
        <v>852</v>
      </c>
      <c r="E1153" s="40"/>
      <c r="F1153" s="40">
        <v>41</v>
      </c>
      <c r="G1153" s="38"/>
      <c r="H1153" s="38" t="s">
        <v>905</v>
      </c>
      <c r="I1153" s="38" t="s">
        <v>88</v>
      </c>
      <c r="J1153" s="38" t="s">
        <v>863</v>
      </c>
      <c r="K1153" s="38" t="s">
        <v>854</v>
      </c>
      <c r="L1153" s="52" t="s">
        <v>213</v>
      </c>
      <c r="M1153" s="53" t="s">
        <v>213</v>
      </c>
    </row>
    <row r="1154" spans="1:13" x14ac:dyDescent="0.3">
      <c r="A1154" s="37">
        <v>57</v>
      </c>
      <c r="B1154" s="38" t="s">
        <v>904</v>
      </c>
      <c r="C1154" s="51">
        <v>7896382706684</v>
      </c>
      <c r="D1154" s="40" t="s">
        <v>852</v>
      </c>
      <c r="E1154" s="40"/>
      <c r="F1154" s="40">
        <v>42</v>
      </c>
      <c r="G1154" s="38"/>
      <c r="H1154" s="38" t="s">
        <v>866</v>
      </c>
      <c r="I1154" s="38" t="s">
        <v>88</v>
      </c>
      <c r="J1154" s="38" t="s">
        <v>863</v>
      </c>
      <c r="K1154" s="38" t="s">
        <v>854</v>
      </c>
      <c r="L1154" s="52" t="s">
        <v>213</v>
      </c>
      <c r="M1154" s="53" t="s">
        <v>213</v>
      </c>
    </row>
    <row r="1155" spans="1:13" x14ac:dyDescent="0.3">
      <c r="A1155" s="37">
        <v>57</v>
      </c>
      <c r="B1155" s="38" t="s">
        <v>904</v>
      </c>
      <c r="C1155" s="51">
        <v>7896382706684</v>
      </c>
      <c r="D1155" s="40" t="s">
        <v>852</v>
      </c>
      <c r="E1155" s="40"/>
      <c r="F1155" s="40">
        <v>43</v>
      </c>
      <c r="G1155" s="38"/>
      <c r="H1155" s="38" t="s">
        <v>862</v>
      </c>
      <c r="I1155" s="38" t="s">
        <v>88</v>
      </c>
      <c r="J1155" s="38" t="s">
        <v>863</v>
      </c>
      <c r="K1155" s="38" t="s">
        <v>854</v>
      </c>
      <c r="L1155" s="52" t="s">
        <v>213</v>
      </c>
      <c r="M1155" s="53" t="s">
        <v>213</v>
      </c>
    </row>
    <row r="1156" spans="1:13" x14ac:dyDescent="0.3">
      <c r="A1156" s="37">
        <v>57</v>
      </c>
      <c r="B1156" s="38" t="s">
        <v>904</v>
      </c>
      <c r="C1156" s="51">
        <v>7896382706684</v>
      </c>
      <c r="D1156" s="40" t="s">
        <v>852</v>
      </c>
      <c r="E1156" s="40"/>
      <c r="F1156" s="40">
        <v>44</v>
      </c>
      <c r="G1156" s="38"/>
      <c r="H1156" s="38" t="s">
        <v>857</v>
      </c>
      <c r="I1156" s="38" t="s">
        <v>88</v>
      </c>
      <c r="J1156" s="38" t="s">
        <v>863</v>
      </c>
      <c r="K1156" s="38" t="s">
        <v>854</v>
      </c>
      <c r="L1156" s="52" t="s">
        <v>213</v>
      </c>
      <c r="M1156" s="53" t="s">
        <v>213</v>
      </c>
    </row>
    <row r="1157" spans="1:13" x14ac:dyDescent="0.3">
      <c r="A1157" s="37">
        <v>57</v>
      </c>
      <c r="B1157" s="38" t="s">
        <v>904</v>
      </c>
      <c r="C1157" s="51">
        <v>7896382706684</v>
      </c>
      <c r="D1157" s="40" t="s">
        <v>852</v>
      </c>
      <c r="E1157" s="40"/>
      <c r="F1157" s="40">
        <v>45</v>
      </c>
      <c r="G1157" s="38"/>
      <c r="H1157" s="38" t="s">
        <v>853</v>
      </c>
      <c r="I1157" s="38" t="s">
        <v>88</v>
      </c>
      <c r="J1157" s="38" t="s">
        <v>863</v>
      </c>
      <c r="K1157" s="38" t="s">
        <v>854</v>
      </c>
      <c r="L1157" s="52" t="s">
        <v>213</v>
      </c>
      <c r="M1157" s="53" t="s">
        <v>213</v>
      </c>
    </row>
    <row r="1158" spans="1:13" x14ac:dyDescent="0.3">
      <c r="A1158" s="37">
        <v>57</v>
      </c>
      <c r="B1158" s="38" t="s">
        <v>904</v>
      </c>
      <c r="C1158" s="51">
        <v>7896382706684</v>
      </c>
      <c r="D1158" s="40" t="s">
        <v>852</v>
      </c>
      <c r="E1158" s="40"/>
      <c r="F1158" s="40">
        <v>46</v>
      </c>
      <c r="G1158" s="38"/>
      <c r="H1158" s="38" t="s">
        <v>864</v>
      </c>
      <c r="I1158" s="38" t="s">
        <v>88</v>
      </c>
      <c r="J1158" s="38" t="s">
        <v>863</v>
      </c>
      <c r="K1158" s="38" t="s">
        <v>854</v>
      </c>
      <c r="L1158" s="52" t="s">
        <v>213</v>
      </c>
      <c r="M1158" s="53" t="s">
        <v>213</v>
      </c>
    </row>
    <row r="1159" spans="1:13" x14ac:dyDescent="0.3">
      <c r="A1159" s="37">
        <v>57</v>
      </c>
      <c r="B1159" s="38" t="s">
        <v>904</v>
      </c>
      <c r="C1159" s="51">
        <v>7896382706684</v>
      </c>
      <c r="D1159" s="40" t="s">
        <v>852</v>
      </c>
      <c r="E1159" s="40"/>
      <c r="F1159" s="40">
        <v>47</v>
      </c>
      <c r="G1159" s="38"/>
      <c r="H1159" s="38" t="s">
        <v>869</v>
      </c>
      <c r="I1159" s="38" t="s">
        <v>88</v>
      </c>
      <c r="J1159" s="38" t="s">
        <v>863</v>
      </c>
      <c r="K1159" s="38" t="s">
        <v>854</v>
      </c>
      <c r="L1159" s="52" t="s">
        <v>213</v>
      </c>
      <c r="M1159" s="53" t="s">
        <v>213</v>
      </c>
    </row>
    <row r="1160" spans="1:13" x14ac:dyDescent="0.3">
      <c r="A1160" s="37">
        <v>57</v>
      </c>
      <c r="B1160" s="38" t="s">
        <v>904</v>
      </c>
      <c r="C1160" s="51">
        <v>7896382706684</v>
      </c>
      <c r="D1160" s="40" t="s">
        <v>852</v>
      </c>
      <c r="E1160" s="40"/>
      <c r="F1160" s="40">
        <v>48</v>
      </c>
      <c r="G1160" s="38"/>
      <c r="H1160" s="38" t="s">
        <v>867</v>
      </c>
      <c r="I1160" s="38" t="s">
        <v>88</v>
      </c>
      <c r="J1160" s="38" t="s">
        <v>863</v>
      </c>
      <c r="K1160" s="38" t="s">
        <v>854</v>
      </c>
      <c r="L1160" s="52" t="s">
        <v>213</v>
      </c>
      <c r="M1160" s="53" t="s">
        <v>213</v>
      </c>
    </row>
    <row r="1161" spans="1:13" x14ac:dyDescent="0.3">
      <c r="A1161" s="37">
        <v>57</v>
      </c>
      <c r="B1161" s="38" t="s">
        <v>904</v>
      </c>
      <c r="C1161" s="51">
        <v>7896382706684</v>
      </c>
      <c r="D1161" s="40" t="s">
        <v>852</v>
      </c>
      <c r="E1161" s="40"/>
      <c r="F1161" s="40">
        <v>752</v>
      </c>
      <c r="G1161" s="38"/>
      <c r="H1161" s="38" t="s">
        <v>855</v>
      </c>
      <c r="I1161" s="38" t="s">
        <v>88</v>
      </c>
      <c r="J1161" s="38" t="s">
        <v>863</v>
      </c>
      <c r="K1161" s="38" t="s">
        <v>854</v>
      </c>
      <c r="L1161" s="52" t="s">
        <v>213</v>
      </c>
      <c r="M1161" s="53" t="s">
        <v>213</v>
      </c>
    </row>
    <row r="1162" spans="1:13" x14ac:dyDescent="0.3">
      <c r="A1162" s="37">
        <v>57</v>
      </c>
      <c r="B1162" s="38" t="s">
        <v>906</v>
      </c>
      <c r="C1162" s="51">
        <v>7896382706691</v>
      </c>
      <c r="D1162" s="40" t="s">
        <v>852</v>
      </c>
      <c r="E1162" s="40"/>
      <c r="F1162" s="40">
        <v>41</v>
      </c>
      <c r="G1162" s="38"/>
      <c r="H1162" s="38" t="s">
        <v>905</v>
      </c>
      <c r="I1162" s="38" t="s">
        <v>88</v>
      </c>
      <c r="J1162" s="38" t="s">
        <v>559</v>
      </c>
      <c r="K1162" s="38" t="s">
        <v>854</v>
      </c>
      <c r="L1162" s="52" t="s">
        <v>213</v>
      </c>
      <c r="M1162" s="53" t="s">
        <v>213</v>
      </c>
    </row>
    <row r="1163" spans="1:13" x14ac:dyDescent="0.3">
      <c r="A1163" s="37">
        <v>57</v>
      </c>
      <c r="B1163" s="38" t="s">
        <v>906</v>
      </c>
      <c r="C1163" s="51">
        <v>7896382706691</v>
      </c>
      <c r="D1163" s="40" t="s">
        <v>852</v>
      </c>
      <c r="E1163" s="40"/>
      <c r="F1163" s="40">
        <v>42</v>
      </c>
      <c r="G1163" s="38"/>
      <c r="H1163" s="38" t="s">
        <v>866</v>
      </c>
      <c r="I1163" s="38" t="s">
        <v>88</v>
      </c>
      <c r="J1163" s="38" t="s">
        <v>559</v>
      </c>
      <c r="K1163" s="38" t="s">
        <v>854</v>
      </c>
      <c r="L1163" s="52" t="s">
        <v>213</v>
      </c>
      <c r="M1163" s="53" t="s">
        <v>213</v>
      </c>
    </row>
    <row r="1164" spans="1:13" x14ac:dyDescent="0.3">
      <c r="A1164" s="37">
        <v>57</v>
      </c>
      <c r="B1164" s="38" t="s">
        <v>906</v>
      </c>
      <c r="C1164" s="51">
        <v>7896382706691</v>
      </c>
      <c r="D1164" s="40" t="s">
        <v>852</v>
      </c>
      <c r="E1164" s="40"/>
      <c r="F1164" s="40">
        <v>43</v>
      </c>
      <c r="G1164" s="38"/>
      <c r="H1164" s="38" t="s">
        <v>862</v>
      </c>
      <c r="I1164" s="38" t="s">
        <v>88</v>
      </c>
      <c r="J1164" s="38" t="s">
        <v>559</v>
      </c>
      <c r="K1164" s="38" t="s">
        <v>854</v>
      </c>
      <c r="L1164" s="52" t="s">
        <v>213</v>
      </c>
      <c r="M1164" s="53" t="s">
        <v>213</v>
      </c>
    </row>
    <row r="1165" spans="1:13" x14ac:dyDescent="0.3">
      <c r="A1165" s="37">
        <v>57</v>
      </c>
      <c r="B1165" s="38" t="s">
        <v>906</v>
      </c>
      <c r="C1165" s="51">
        <v>7896382706691</v>
      </c>
      <c r="D1165" s="40" t="s">
        <v>852</v>
      </c>
      <c r="E1165" s="40"/>
      <c r="F1165" s="40">
        <v>44</v>
      </c>
      <c r="G1165" s="38"/>
      <c r="H1165" s="38" t="s">
        <v>857</v>
      </c>
      <c r="I1165" s="38" t="s">
        <v>88</v>
      </c>
      <c r="J1165" s="38" t="s">
        <v>559</v>
      </c>
      <c r="K1165" s="38" t="s">
        <v>854</v>
      </c>
      <c r="L1165" s="52" t="s">
        <v>213</v>
      </c>
      <c r="M1165" s="53" t="s">
        <v>213</v>
      </c>
    </row>
    <row r="1166" spans="1:13" x14ac:dyDescent="0.3">
      <c r="A1166" s="37">
        <v>57</v>
      </c>
      <c r="B1166" s="38" t="s">
        <v>906</v>
      </c>
      <c r="C1166" s="51">
        <v>7896382706691</v>
      </c>
      <c r="D1166" s="40" t="s">
        <v>852</v>
      </c>
      <c r="E1166" s="40"/>
      <c r="F1166" s="40">
        <v>45</v>
      </c>
      <c r="G1166" s="38"/>
      <c r="H1166" s="38" t="s">
        <v>853</v>
      </c>
      <c r="I1166" s="38" t="s">
        <v>88</v>
      </c>
      <c r="J1166" s="38" t="s">
        <v>559</v>
      </c>
      <c r="K1166" s="38" t="s">
        <v>854</v>
      </c>
      <c r="L1166" s="52" t="s">
        <v>213</v>
      </c>
      <c r="M1166" s="53" t="s">
        <v>213</v>
      </c>
    </row>
    <row r="1167" spans="1:13" x14ac:dyDescent="0.3">
      <c r="A1167" s="37">
        <v>57</v>
      </c>
      <c r="B1167" s="38" t="s">
        <v>906</v>
      </c>
      <c r="C1167" s="51">
        <v>7896382706691</v>
      </c>
      <c r="D1167" s="40" t="s">
        <v>852</v>
      </c>
      <c r="E1167" s="40"/>
      <c r="F1167" s="40">
        <v>46</v>
      </c>
      <c r="G1167" s="38"/>
      <c r="H1167" s="38" t="s">
        <v>864</v>
      </c>
      <c r="I1167" s="38" t="s">
        <v>88</v>
      </c>
      <c r="J1167" s="38" t="s">
        <v>559</v>
      </c>
      <c r="K1167" s="38" t="s">
        <v>854</v>
      </c>
      <c r="L1167" s="52" t="s">
        <v>213</v>
      </c>
      <c r="M1167" s="53" t="s">
        <v>213</v>
      </c>
    </row>
    <row r="1168" spans="1:13" x14ac:dyDescent="0.3">
      <c r="A1168" s="37">
        <v>57</v>
      </c>
      <c r="B1168" s="38" t="s">
        <v>906</v>
      </c>
      <c r="C1168" s="51">
        <v>7896382706691</v>
      </c>
      <c r="D1168" s="40" t="s">
        <v>852</v>
      </c>
      <c r="E1168" s="40"/>
      <c r="F1168" s="40">
        <v>47</v>
      </c>
      <c r="G1168" s="38"/>
      <c r="H1168" s="38" t="s">
        <v>869</v>
      </c>
      <c r="I1168" s="38" t="s">
        <v>88</v>
      </c>
      <c r="J1168" s="38" t="s">
        <v>559</v>
      </c>
      <c r="K1168" s="38" t="s">
        <v>854</v>
      </c>
      <c r="L1168" s="52" t="s">
        <v>213</v>
      </c>
      <c r="M1168" s="53" t="s">
        <v>213</v>
      </c>
    </row>
    <row r="1169" spans="1:13" x14ac:dyDescent="0.3">
      <c r="A1169" s="37">
        <v>57</v>
      </c>
      <c r="B1169" s="38" t="s">
        <v>906</v>
      </c>
      <c r="C1169" s="51">
        <v>7896382706691</v>
      </c>
      <c r="D1169" s="40" t="s">
        <v>852</v>
      </c>
      <c r="E1169" s="40"/>
      <c r="F1169" s="40">
        <v>48</v>
      </c>
      <c r="G1169" s="38"/>
      <c r="H1169" s="38" t="s">
        <v>867</v>
      </c>
      <c r="I1169" s="38" t="s">
        <v>88</v>
      </c>
      <c r="J1169" s="38" t="s">
        <v>559</v>
      </c>
      <c r="K1169" s="38" t="s">
        <v>854</v>
      </c>
      <c r="L1169" s="52" t="s">
        <v>213</v>
      </c>
      <c r="M1169" s="53" t="s">
        <v>213</v>
      </c>
    </row>
    <row r="1170" spans="1:13" x14ac:dyDescent="0.3">
      <c r="A1170" s="37">
        <v>57</v>
      </c>
      <c r="B1170" s="38" t="s">
        <v>906</v>
      </c>
      <c r="C1170" s="51">
        <v>7896382706691</v>
      </c>
      <c r="D1170" s="40" t="s">
        <v>852</v>
      </c>
      <c r="E1170" s="40"/>
      <c r="F1170" s="40">
        <v>752</v>
      </c>
      <c r="G1170" s="38"/>
      <c r="H1170" s="38" t="s">
        <v>855</v>
      </c>
      <c r="I1170" s="38" t="s">
        <v>88</v>
      </c>
      <c r="J1170" s="38" t="s">
        <v>559</v>
      </c>
      <c r="K1170" s="38" t="s">
        <v>854</v>
      </c>
      <c r="L1170" s="52" t="s">
        <v>213</v>
      </c>
      <c r="M1170" s="53" t="s">
        <v>213</v>
      </c>
    </row>
    <row r="1171" spans="1:13" x14ac:dyDescent="0.3">
      <c r="A1171" s="37">
        <v>57</v>
      </c>
      <c r="B1171" s="38" t="s">
        <v>907</v>
      </c>
      <c r="C1171" s="51">
        <v>7896382706707</v>
      </c>
      <c r="D1171" s="40" t="s">
        <v>852</v>
      </c>
      <c r="E1171" s="40"/>
      <c r="F1171" s="40">
        <v>41</v>
      </c>
      <c r="G1171" s="38"/>
      <c r="H1171" s="38" t="s">
        <v>905</v>
      </c>
      <c r="I1171" s="38" t="s">
        <v>88</v>
      </c>
      <c r="J1171" s="38" t="s">
        <v>858</v>
      </c>
      <c r="K1171" s="38" t="s">
        <v>854</v>
      </c>
      <c r="L1171" s="52" t="s">
        <v>213</v>
      </c>
      <c r="M1171" s="53" t="s">
        <v>213</v>
      </c>
    </row>
    <row r="1172" spans="1:13" x14ac:dyDescent="0.3">
      <c r="A1172" s="37">
        <v>57</v>
      </c>
      <c r="B1172" s="38" t="s">
        <v>907</v>
      </c>
      <c r="C1172" s="51">
        <v>7896382706707</v>
      </c>
      <c r="D1172" s="40" t="s">
        <v>852</v>
      </c>
      <c r="E1172" s="40"/>
      <c r="F1172" s="40">
        <v>42</v>
      </c>
      <c r="G1172" s="38"/>
      <c r="H1172" s="38" t="s">
        <v>866</v>
      </c>
      <c r="I1172" s="38" t="s">
        <v>88</v>
      </c>
      <c r="J1172" s="38" t="s">
        <v>858</v>
      </c>
      <c r="K1172" s="38" t="s">
        <v>854</v>
      </c>
      <c r="L1172" s="52" t="s">
        <v>213</v>
      </c>
      <c r="M1172" s="53" t="s">
        <v>213</v>
      </c>
    </row>
    <row r="1173" spans="1:13" x14ac:dyDescent="0.3">
      <c r="A1173" s="37">
        <v>57</v>
      </c>
      <c r="B1173" s="38" t="s">
        <v>907</v>
      </c>
      <c r="C1173" s="51">
        <v>7896382706707</v>
      </c>
      <c r="D1173" s="40" t="s">
        <v>852</v>
      </c>
      <c r="E1173" s="40"/>
      <c r="F1173" s="40">
        <v>43</v>
      </c>
      <c r="G1173" s="38"/>
      <c r="H1173" s="38" t="s">
        <v>862</v>
      </c>
      <c r="I1173" s="38" t="s">
        <v>88</v>
      </c>
      <c r="J1173" s="38" t="s">
        <v>858</v>
      </c>
      <c r="K1173" s="38" t="s">
        <v>854</v>
      </c>
      <c r="L1173" s="52" t="s">
        <v>213</v>
      </c>
      <c r="M1173" s="53" t="s">
        <v>213</v>
      </c>
    </row>
    <row r="1174" spans="1:13" x14ac:dyDescent="0.3">
      <c r="A1174" s="37">
        <v>57</v>
      </c>
      <c r="B1174" s="38" t="s">
        <v>907</v>
      </c>
      <c r="C1174" s="51">
        <v>7896382706707</v>
      </c>
      <c r="D1174" s="40" t="s">
        <v>852</v>
      </c>
      <c r="E1174" s="40"/>
      <c r="F1174" s="40">
        <v>44</v>
      </c>
      <c r="G1174" s="38"/>
      <c r="H1174" s="38" t="s">
        <v>857</v>
      </c>
      <c r="I1174" s="38" t="s">
        <v>88</v>
      </c>
      <c r="J1174" s="38" t="s">
        <v>858</v>
      </c>
      <c r="K1174" s="38" t="s">
        <v>854</v>
      </c>
      <c r="L1174" s="52" t="s">
        <v>213</v>
      </c>
      <c r="M1174" s="53" t="s">
        <v>213</v>
      </c>
    </row>
    <row r="1175" spans="1:13" x14ac:dyDescent="0.3">
      <c r="A1175" s="37">
        <v>57</v>
      </c>
      <c r="B1175" s="38" t="s">
        <v>907</v>
      </c>
      <c r="C1175" s="51">
        <v>7896382706707</v>
      </c>
      <c r="D1175" s="40" t="s">
        <v>852</v>
      </c>
      <c r="E1175" s="40"/>
      <c r="F1175" s="40">
        <v>45</v>
      </c>
      <c r="G1175" s="38"/>
      <c r="H1175" s="38" t="s">
        <v>853</v>
      </c>
      <c r="I1175" s="38" t="s">
        <v>88</v>
      </c>
      <c r="J1175" s="38" t="s">
        <v>858</v>
      </c>
      <c r="K1175" s="38" t="s">
        <v>854</v>
      </c>
      <c r="L1175" s="52" t="s">
        <v>213</v>
      </c>
      <c r="M1175" s="53" t="s">
        <v>213</v>
      </c>
    </row>
    <row r="1176" spans="1:13" x14ac:dyDescent="0.3">
      <c r="A1176" s="37">
        <v>57</v>
      </c>
      <c r="B1176" s="38" t="s">
        <v>907</v>
      </c>
      <c r="C1176" s="51">
        <v>7896382706707</v>
      </c>
      <c r="D1176" s="40" t="s">
        <v>852</v>
      </c>
      <c r="E1176" s="40"/>
      <c r="F1176" s="40">
        <v>46</v>
      </c>
      <c r="G1176" s="38"/>
      <c r="H1176" s="38" t="s">
        <v>864</v>
      </c>
      <c r="I1176" s="38" t="s">
        <v>88</v>
      </c>
      <c r="J1176" s="38" t="s">
        <v>858</v>
      </c>
      <c r="K1176" s="38" t="s">
        <v>854</v>
      </c>
      <c r="L1176" s="52" t="s">
        <v>213</v>
      </c>
      <c r="M1176" s="53" t="s">
        <v>213</v>
      </c>
    </row>
    <row r="1177" spans="1:13" x14ac:dyDescent="0.3">
      <c r="A1177" s="37">
        <v>57</v>
      </c>
      <c r="B1177" s="38" t="s">
        <v>907</v>
      </c>
      <c r="C1177" s="51">
        <v>7896382706707</v>
      </c>
      <c r="D1177" s="40" t="s">
        <v>852</v>
      </c>
      <c r="E1177" s="40"/>
      <c r="F1177" s="40">
        <v>47</v>
      </c>
      <c r="G1177" s="38"/>
      <c r="H1177" s="38" t="s">
        <v>869</v>
      </c>
      <c r="I1177" s="38" t="s">
        <v>88</v>
      </c>
      <c r="J1177" s="38" t="s">
        <v>858</v>
      </c>
      <c r="K1177" s="38" t="s">
        <v>854</v>
      </c>
      <c r="L1177" s="52" t="s">
        <v>213</v>
      </c>
      <c r="M1177" s="53" t="s">
        <v>213</v>
      </c>
    </row>
    <row r="1178" spans="1:13" x14ac:dyDescent="0.3">
      <c r="A1178" s="37">
        <v>57</v>
      </c>
      <c r="B1178" s="38" t="s">
        <v>907</v>
      </c>
      <c r="C1178" s="51">
        <v>7896382706707</v>
      </c>
      <c r="D1178" s="40" t="s">
        <v>852</v>
      </c>
      <c r="E1178" s="40"/>
      <c r="F1178" s="40">
        <v>48</v>
      </c>
      <c r="G1178" s="38"/>
      <c r="H1178" s="38" t="s">
        <v>867</v>
      </c>
      <c r="I1178" s="38" t="s">
        <v>88</v>
      </c>
      <c r="J1178" s="38" t="s">
        <v>858</v>
      </c>
      <c r="K1178" s="38" t="s">
        <v>854</v>
      </c>
      <c r="L1178" s="52" t="s">
        <v>213</v>
      </c>
      <c r="M1178" s="53" t="s">
        <v>213</v>
      </c>
    </row>
    <row r="1179" spans="1:13" x14ac:dyDescent="0.3">
      <c r="A1179" s="37">
        <v>57</v>
      </c>
      <c r="B1179" s="38" t="s">
        <v>907</v>
      </c>
      <c r="C1179" s="51">
        <v>7896382706707</v>
      </c>
      <c r="D1179" s="40" t="s">
        <v>852</v>
      </c>
      <c r="E1179" s="40"/>
      <c r="F1179" s="40">
        <v>665</v>
      </c>
      <c r="G1179" s="38"/>
      <c r="H1179" s="38" t="s">
        <v>908</v>
      </c>
      <c r="I1179" s="38" t="s">
        <v>88</v>
      </c>
      <c r="J1179" s="38" t="s">
        <v>858</v>
      </c>
      <c r="K1179" s="38" t="s">
        <v>854</v>
      </c>
      <c r="L1179" s="52" t="s">
        <v>213</v>
      </c>
      <c r="M1179" s="53" t="s">
        <v>213</v>
      </c>
    </row>
    <row r="1180" spans="1:13" x14ac:dyDescent="0.3">
      <c r="A1180" s="37">
        <v>57</v>
      </c>
      <c r="B1180" s="38" t="s">
        <v>907</v>
      </c>
      <c r="C1180" s="51">
        <v>7896382706707</v>
      </c>
      <c r="D1180" s="40" t="s">
        <v>852</v>
      </c>
      <c r="E1180" s="40"/>
      <c r="F1180" s="40">
        <v>680</v>
      </c>
      <c r="G1180" s="38"/>
      <c r="H1180" s="38" t="s">
        <v>909</v>
      </c>
      <c r="I1180" s="38" t="s">
        <v>88</v>
      </c>
      <c r="J1180" s="38" t="s">
        <v>858</v>
      </c>
      <c r="K1180" s="38" t="s">
        <v>854</v>
      </c>
      <c r="L1180" s="52" t="s">
        <v>213</v>
      </c>
      <c r="M1180" s="53" t="s">
        <v>213</v>
      </c>
    </row>
    <row r="1181" spans="1:13" x14ac:dyDescent="0.3">
      <c r="A1181" s="37">
        <v>57</v>
      </c>
      <c r="B1181" s="38" t="s">
        <v>907</v>
      </c>
      <c r="C1181" s="51">
        <v>7896382706707</v>
      </c>
      <c r="D1181" s="40" t="s">
        <v>852</v>
      </c>
      <c r="E1181" s="40"/>
      <c r="F1181" s="40">
        <v>690</v>
      </c>
      <c r="G1181" s="38"/>
      <c r="H1181" s="38" t="s">
        <v>910</v>
      </c>
      <c r="I1181" s="38" t="s">
        <v>88</v>
      </c>
      <c r="J1181" s="38" t="s">
        <v>858</v>
      </c>
      <c r="K1181" s="38" t="s">
        <v>854</v>
      </c>
      <c r="L1181" s="52" t="s">
        <v>213</v>
      </c>
      <c r="M1181" s="53" t="s">
        <v>213</v>
      </c>
    </row>
    <row r="1182" spans="1:13" x14ac:dyDescent="0.3">
      <c r="A1182" s="37">
        <v>57</v>
      </c>
      <c r="B1182" s="38" t="s">
        <v>907</v>
      </c>
      <c r="C1182" s="51">
        <v>7896382706707</v>
      </c>
      <c r="D1182" s="40" t="s">
        <v>852</v>
      </c>
      <c r="E1182" s="40"/>
      <c r="F1182" s="40">
        <v>752</v>
      </c>
      <c r="G1182" s="38"/>
      <c r="H1182" s="38" t="s">
        <v>855</v>
      </c>
      <c r="I1182" s="38" t="s">
        <v>88</v>
      </c>
      <c r="J1182" s="38" t="s">
        <v>858</v>
      </c>
      <c r="K1182" s="38" t="s">
        <v>854</v>
      </c>
      <c r="L1182" s="52" t="s">
        <v>213</v>
      </c>
      <c r="M1182" s="53" t="s">
        <v>213</v>
      </c>
    </row>
    <row r="1183" spans="1:13" x14ac:dyDescent="0.3">
      <c r="A1183" s="37">
        <v>57</v>
      </c>
      <c r="B1183" s="38" t="s">
        <v>911</v>
      </c>
      <c r="C1183" s="51">
        <v>7896382706769</v>
      </c>
      <c r="D1183" s="40" t="s">
        <v>852</v>
      </c>
      <c r="E1183" s="40"/>
      <c r="F1183" s="40">
        <v>212</v>
      </c>
      <c r="G1183" s="38"/>
      <c r="H1183" s="38" t="s">
        <v>912</v>
      </c>
      <c r="I1183" s="38" t="s">
        <v>913</v>
      </c>
      <c r="J1183" s="38" t="s">
        <v>914</v>
      </c>
      <c r="K1183" s="38" t="s">
        <v>915</v>
      </c>
      <c r="L1183" s="52" t="s">
        <v>213</v>
      </c>
      <c r="M1183" s="53" t="s">
        <v>213</v>
      </c>
    </row>
    <row r="1184" spans="1:13" x14ac:dyDescent="0.3">
      <c r="A1184" s="37">
        <v>57</v>
      </c>
      <c r="B1184" s="38" t="s">
        <v>911</v>
      </c>
      <c r="C1184" s="51">
        <v>7896382706769</v>
      </c>
      <c r="D1184" s="40" t="s">
        <v>852</v>
      </c>
      <c r="E1184" s="40"/>
      <c r="F1184" s="40">
        <v>213</v>
      </c>
      <c r="G1184" s="38"/>
      <c r="H1184" s="38" t="s">
        <v>916</v>
      </c>
      <c r="I1184" s="38" t="s">
        <v>913</v>
      </c>
      <c r="J1184" s="38" t="s">
        <v>914</v>
      </c>
      <c r="K1184" s="38" t="s">
        <v>915</v>
      </c>
      <c r="L1184" s="52" t="s">
        <v>213</v>
      </c>
      <c r="M1184" s="53" t="s">
        <v>213</v>
      </c>
    </row>
    <row r="1185" spans="1:13" x14ac:dyDescent="0.3">
      <c r="A1185" s="37">
        <v>57</v>
      </c>
      <c r="B1185" s="38" t="s">
        <v>911</v>
      </c>
      <c r="C1185" s="51">
        <v>7896382706769</v>
      </c>
      <c r="D1185" s="40" t="s">
        <v>852</v>
      </c>
      <c r="E1185" s="40"/>
      <c r="F1185" s="40">
        <v>214</v>
      </c>
      <c r="G1185" s="38"/>
      <c r="H1185" s="38" t="s">
        <v>917</v>
      </c>
      <c r="I1185" s="38" t="s">
        <v>913</v>
      </c>
      <c r="J1185" s="38" t="s">
        <v>914</v>
      </c>
      <c r="K1185" s="38" t="s">
        <v>915</v>
      </c>
      <c r="L1185" s="52" t="s">
        <v>213</v>
      </c>
      <c r="M1185" s="53" t="s">
        <v>213</v>
      </c>
    </row>
    <row r="1186" spans="1:13" x14ac:dyDescent="0.3">
      <c r="A1186" s="37">
        <v>57</v>
      </c>
      <c r="B1186" s="38" t="s">
        <v>911</v>
      </c>
      <c r="C1186" s="51">
        <v>7896382706769</v>
      </c>
      <c r="D1186" s="40" t="s">
        <v>852</v>
      </c>
      <c r="E1186" s="40"/>
      <c r="F1186" s="40">
        <v>215</v>
      </c>
      <c r="G1186" s="38"/>
      <c r="H1186" s="38" t="s">
        <v>918</v>
      </c>
      <c r="I1186" s="38" t="s">
        <v>913</v>
      </c>
      <c r="J1186" s="38" t="s">
        <v>914</v>
      </c>
      <c r="K1186" s="38" t="s">
        <v>915</v>
      </c>
      <c r="L1186" s="52" t="s">
        <v>213</v>
      </c>
      <c r="M1186" s="53" t="s">
        <v>213</v>
      </c>
    </row>
    <row r="1187" spans="1:13" x14ac:dyDescent="0.3">
      <c r="A1187" s="37">
        <v>57</v>
      </c>
      <c r="B1187" s="38" t="s">
        <v>911</v>
      </c>
      <c r="C1187" s="51">
        <v>7896382706769</v>
      </c>
      <c r="D1187" s="40" t="s">
        <v>852</v>
      </c>
      <c r="E1187" s="40"/>
      <c r="F1187" s="40">
        <v>216</v>
      </c>
      <c r="G1187" s="38"/>
      <c r="H1187" s="38" t="s">
        <v>919</v>
      </c>
      <c r="I1187" s="38" t="s">
        <v>913</v>
      </c>
      <c r="J1187" s="38" t="s">
        <v>914</v>
      </c>
      <c r="K1187" s="38" t="s">
        <v>915</v>
      </c>
      <c r="L1187" s="52" t="s">
        <v>213</v>
      </c>
      <c r="M1187" s="53" t="s">
        <v>213</v>
      </c>
    </row>
    <row r="1188" spans="1:13" x14ac:dyDescent="0.3">
      <c r="A1188" s="37">
        <v>57</v>
      </c>
      <c r="B1188" s="38" t="s">
        <v>911</v>
      </c>
      <c r="C1188" s="51">
        <v>7896382706769</v>
      </c>
      <c r="D1188" s="40" t="s">
        <v>852</v>
      </c>
      <c r="E1188" s="40"/>
      <c r="F1188" s="40">
        <v>217</v>
      </c>
      <c r="G1188" s="38"/>
      <c r="H1188" s="38" t="s">
        <v>920</v>
      </c>
      <c r="I1188" s="38" t="s">
        <v>913</v>
      </c>
      <c r="J1188" s="38" t="s">
        <v>914</v>
      </c>
      <c r="K1188" s="38" t="s">
        <v>915</v>
      </c>
      <c r="L1188" s="52" t="s">
        <v>213</v>
      </c>
      <c r="M1188" s="53" t="s">
        <v>213</v>
      </c>
    </row>
    <row r="1189" spans="1:13" x14ac:dyDescent="0.3">
      <c r="A1189" s="37">
        <v>57</v>
      </c>
      <c r="B1189" s="38" t="s">
        <v>911</v>
      </c>
      <c r="C1189" s="51">
        <v>7896382706769</v>
      </c>
      <c r="D1189" s="40" t="s">
        <v>852</v>
      </c>
      <c r="E1189" s="40"/>
      <c r="F1189" s="40">
        <v>218</v>
      </c>
      <c r="G1189" s="38"/>
      <c r="H1189" s="38" t="s">
        <v>921</v>
      </c>
      <c r="I1189" s="38" t="s">
        <v>913</v>
      </c>
      <c r="J1189" s="38" t="s">
        <v>914</v>
      </c>
      <c r="K1189" s="38" t="s">
        <v>915</v>
      </c>
      <c r="L1189" s="52" t="s">
        <v>213</v>
      </c>
      <c r="M1189" s="53" t="s">
        <v>213</v>
      </c>
    </row>
    <row r="1190" spans="1:13" x14ac:dyDescent="0.3">
      <c r="A1190" s="37">
        <v>57</v>
      </c>
      <c r="B1190" s="38" t="s">
        <v>911</v>
      </c>
      <c r="C1190" s="51">
        <v>7896382706769</v>
      </c>
      <c r="D1190" s="40" t="s">
        <v>852</v>
      </c>
      <c r="E1190" s="40"/>
      <c r="F1190" s="40">
        <v>219</v>
      </c>
      <c r="G1190" s="38"/>
      <c r="H1190" s="38" t="s">
        <v>922</v>
      </c>
      <c r="I1190" s="38" t="s">
        <v>913</v>
      </c>
      <c r="J1190" s="38" t="s">
        <v>914</v>
      </c>
      <c r="K1190" s="38" t="s">
        <v>915</v>
      </c>
      <c r="L1190" s="52" t="s">
        <v>213</v>
      </c>
      <c r="M1190" s="53" t="s">
        <v>213</v>
      </c>
    </row>
    <row r="1191" spans="1:13" x14ac:dyDescent="0.3">
      <c r="A1191" s="37">
        <v>57</v>
      </c>
      <c r="B1191" s="38" t="s">
        <v>911</v>
      </c>
      <c r="C1191" s="51">
        <v>7896382706769</v>
      </c>
      <c r="D1191" s="40" t="s">
        <v>852</v>
      </c>
      <c r="E1191" s="40"/>
      <c r="F1191" s="40">
        <v>681</v>
      </c>
      <c r="G1191" s="38"/>
      <c r="H1191" s="38" t="s">
        <v>923</v>
      </c>
      <c r="I1191" s="38" t="s">
        <v>913</v>
      </c>
      <c r="J1191" s="38" t="s">
        <v>914</v>
      </c>
      <c r="K1191" s="38" t="s">
        <v>915</v>
      </c>
      <c r="L1191" s="52" t="s">
        <v>213</v>
      </c>
      <c r="M1191" s="53" t="s">
        <v>213</v>
      </c>
    </row>
    <row r="1192" spans="1:13" x14ac:dyDescent="0.3">
      <c r="A1192" s="37">
        <v>57</v>
      </c>
      <c r="B1192" s="38" t="s">
        <v>911</v>
      </c>
      <c r="C1192" s="51">
        <v>7896382706769</v>
      </c>
      <c r="D1192" s="40" t="s">
        <v>852</v>
      </c>
      <c r="E1192" s="40"/>
      <c r="F1192" s="40">
        <v>682</v>
      </c>
      <c r="G1192" s="38"/>
      <c r="H1192" s="38" t="s">
        <v>924</v>
      </c>
      <c r="I1192" s="38" t="s">
        <v>913</v>
      </c>
      <c r="J1192" s="38" t="s">
        <v>914</v>
      </c>
      <c r="K1192" s="38" t="s">
        <v>915</v>
      </c>
      <c r="L1192" s="52" t="s">
        <v>213</v>
      </c>
      <c r="M1192" s="53" t="s">
        <v>213</v>
      </c>
    </row>
    <row r="1193" spans="1:13" x14ac:dyDescent="0.3">
      <c r="A1193" s="37">
        <v>57</v>
      </c>
      <c r="B1193" s="38" t="s">
        <v>911</v>
      </c>
      <c r="C1193" s="51">
        <v>7896382706769</v>
      </c>
      <c r="D1193" s="40" t="s">
        <v>852</v>
      </c>
      <c r="E1193" s="40"/>
      <c r="F1193" s="40">
        <v>940</v>
      </c>
      <c r="G1193" s="38"/>
      <c r="H1193" s="38" t="s">
        <v>925</v>
      </c>
      <c r="I1193" s="38" t="s">
        <v>913</v>
      </c>
      <c r="J1193" s="38" t="s">
        <v>914</v>
      </c>
      <c r="K1193" s="38" t="s">
        <v>926</v>
      </c>
      <c r="L1193" s="52" t="s">
        <v>213</v>
      </c>
      <c r="M1193" s="53" t="s">
        <v>213</v>
      </c>
    </row>
    <row r="1194" spans="1:13" x14ac:dyDescent="0.3">
      <c r="A1194" s="37">
        <v>57</v>
      </c>
      <c r="B1194" s="38" t="s">
        <v>927</v>
      </c>
      <c r="C1194" s="51">
        <v>7896382708541</v>
      </c>
      <c r="D1194" s="40" t="s">
        <v>852</v>
      </c>
      <c r="E1194" s="40"/>
      <c r="F1194" s="40">
        <v>664</v>
      </c>
      <c r="G1194" s="38"/>
      <c r="H1194" s="38" t="s">
        <v>928</v>
      </c>
      <c r="I1194" s="38" t="s">
        <v>322</v>
      </c>
      <c r="J1194" s="38" t="s">
        <v>488</v>
      </c>
      <c r="K1194" s="38" t="s">
        <v>929</v>
      </c>
      <c r="L1194" s="52" t="s">
        <v>213</v>
      </c>
      <c r="M1194" s="53" t="s">
        <v>213</v>
      </c>
    </row>
    <row r="1195" spans="1:13" x14ac:dyDescent="0.3">
      <c r="A1195" s="37">
        <v>27</v>
      </c>
      <c r="B1195" s="38" t="s">
        <v>930</v>
      </c>
      <c r="C1195" s="51">
        <v>7896261000117</v>
      </c>
      <c r="D1195" s="40" t="s">
        <v>70</v>
      </c>
      <c r="E1195" s="40"/>
      <c r="F1195" s="40">
        <v>129</v>
      </c>
      <c r="G1195" s="38"/>
      <c r="H1195" s="38" t="s">
        <v>931</v>
      </c>
      <c r="I1195" s="38" t="s">
        <v>311</v>
      </c>
      <c r="J1195" s="38" t="s">
        <v>932</v>
      </c>
      <c r="K1195" s="38" t="s">
        <v>933</v>
      </c>
      <c r="L1195" s="52" t="s">
        <v>213</v>
      </c>
      <c r="M1195" s="53" t="s">
        <v>213</v>
      </c>
    </row>
    <row r="1196" spans="1:13" x14ac:dyDescent="0.3">
      <c r="A1196" s="37">
        <v>27</v>
      </c>
      <c r="B1196" s="38" t="s">
        <v>934</v>
      </c>
      <c r="C1196" s="51">
        <v>7896261000124</v>
      </c>
      <c r="D1196" s="40" t="s">
        <v>70</v>
      </c>
      <c r="E1196" s="40"/>
      <c r="F1196" s="40">
        <v>129</v>
      </c>
      <c r="G1196" s="38"/>
      <c r="H1196" s="38" t="s">
        <v>931</v>
      </c>
      <c r="I1196" s="38" t="s">
        <v>311</v>
      </c>
      <c r="J1196" s="38" t="s">
        <v>932</v>
      </c>
      <c r="K1196" s="38" t="s">
        <v>933</v>
      </c>
      <c r="L1196" s="52" t="s">
        <v>213</v>
      </c>
      <c r="M1196" s="53" t="s">
        <v>213</v>
      </c>
    </row>
    <row r="1197" spans="1:13" x14ac:dyDescent="0.3">
      <c r="A1197" s="37">
        <v>27</v>
      </c>
      <c r="B1197" s="38" t="s">
        <v>935</v>
      </c>
      <c r="C1197" s="51">
        <v>7896261000834</v>
      </c>
      <c r="D1197" s="40" t="s">
        <v>70</v>
      </c>
      <c r="E1197" s="40"/>
      <c r="F1197" s="40">
        <v>210</v>
      </c>
      <c r="G1197" s="38"/>
      <c r="H1197" s="38" t="s">
        <v>936</v>
      </c>
      <c r="I1197" s="38" t="s">
        <v>311</v>
      </c>
      <c r="J1197" s="38" t="s">
        <v>937</v>
      </c>
      <c r="K1197" s="38" t="s">
        <v>938</v>
      </c>
      <c r="L1197" s="52" t="s">
        <v>213</v>
      </c>
      <c r="M1197" s="53" t="s">
        <v>213</v>
      </c>
    </row>
    <row r="1198" spans="1:13" x14ac:dyDescent="0.3">
      <c r="A1198" s="37">
        <v>27</v>
      </c>
      <c r="B1198" s="38" t="s">
        <v>939</v>
      </c>
      <c r="C1198" s="51">
        <v>7896261000841</v>
      </c>
      <c r="D1198" s="40" t="s">
        <v>70</v>
      </c>
      <c r="E1198" s="40"/>
      <c r="F1198" s="40">
        <v>210</v>
      </c>
      <c r="G1198" s="38"/>
      <c r="H1198" s="38" t="s">
        <v>936</v>
      </c>
      <c r="I1198" s="38" t="s">
        <v>311</v>
      </c>
      <c r="J1198" s="38" t="s">
        <v>937</v>
      </c>
      <c r="K1198" s="38" t="s">
        <v>938</v>
      </c>
      <c r="L1198" s="52" t="s">
        <v>213</v>
      </c>
      <c r="M1198" s="53" t="s">
        <v>213</v>
      </c>
    </row>
    <row r="1199" spans="1:13" x14ac:dyDescent="0.3">
      <c r="A1199" s="37">
        <v>27</v>
      </c>
      <c r="B1199" s="38" t="s">
        <v>36</v>
      </c>
      <c r="C1199" s="51">
        <v>7896261001145</v>
      </c>
      <c r="D1199" s="40" t="s">
        <v>70</v>
      </c>
      <c r="E1199" s="40"/>
      <c r="F1199" s="40">
        <v>94</v>
      </c>
      <c r="G1199" s="38"/>
      <c r="H1199" s="38" t="s">
        <v>940</v>
      </c>
      <c r="I1199" s="38" t="s">
        <v>311</v>
      </c>
      <c r="J1199" s="38">
        <v>0</v>
      </c>
      <c r="K1199" s="38" t="s">
        <v>941</v>
      </c>
      <c r="L1199" s="52" t="s">
        <v>213</v>
      </c>
      <c r="M1199" s="53" t="s">
        <v>213</v>
      </c>
    </row>
    <row r="1200" spans="1:13" x14ac:dyDescent="0.3">
      <c r="A1200" s="37">
        <v>27</v>
      </c>
      <c r="B1200" s="38" t="s">
        <v>36</v>
      </c>
      <c r="C1200" s="51">
        <v>7896261001145</v>
      </c>
      <c r="D1200" s="40" t="s">
        <v>70</v>
      </c>
      <c r="E1200" s="40"/>
      <c r="F1200" s="40">
        <v>159</v>
      </c>
      <c r="G1200" s="38"/>
      <c r="H1200" s="38" t="s">
        <v>942</v>
      </c>
      <c r="I1200" s="38" t="s">
        <v>311</v>
      </c>
      <c r="J1200" s="38">
        <v>0</v>
      </c>
      <c r="K1200" s="38" t="s">
        <v>943</v>
      </c>
      <c r="L1200" s="52" t="s">
        <v>213</v>
      </c>
      <c r="M1200" s="53" t="s">
        <v>213</v>
      </c>
    </row>
    <row r="1201" spans="1:13" x14ac:dyDescent="0.3">
      <c r="A1201" s="37">
        <v>27</v>
      </c>
      <c r="B1201" s="38" t="s">
        <v>36</v>
      </c>
      <c r="C1201" s="51">
        <v>7896261001145</v>
      </c>
      <c r="D1201" s="40" t="s">
        <v>70</v>
      </c>
      <c r="E1201" s="40"/>
      <c r="F1201" s="40">
        <v>164</v>
      </c>
      <c r="G1201" s="38"/>
      <c r="H1201" s="38" t="s">
        <v>944</v>
      </c>
      <c r="I1201" s="38" t="s">
        <v>311</v>
      </c>
      <c r="J1201" s="38">
        <v>0</v>
      </c>
      <c r="K1201" s="38" t="s">
        <v>943</v>
      </c>
      <c r="L1201" s="52" t="s">
        <v>213</v>
      </c>
      <c r="M1201" s="53" t="s">
        <v>213</v>
      </c>
    </row>
    <row r="1202" spans="1:13" x14ac:dyDescent="0.3">
      <c r="A1202" s="37">
        <v>27</v>
      </c>
      <c r="B1202" s="38" t="s">
        <v>36</v>
      </c>
      <c r="C1202" s="51">
        <v>7896261001145</v>
      </c>
      <c r="D1202" s="40" t="s">
        <v>70</v>
      </c>
      <c r="E1202" s="40"/>
      <c r="F1202" s="40">
        <v>174</v>
      </c>
      <c r="G1202" s="38"/>
      <c r="H1202" s="38" t="s">
        <v>945</v>
      </c>
      <c r="I1202" s="38" t="s">
        <v>311</v>
      </c>
      <c r="J1202" s="38">
        <v>0</v>
      </c>
      <c r="K1202" s="38" t="s">
        <v>943</v>
      </c>
      <c r="L1202" s="52" t="s">
        <v>213</v>
      </c>
      <c r="M1202" s="53" t="s">
        <v>213</v>
      </c>
    </row>
    <row r="1203" spans="1:13" x14ac:dyDescent="0.3">
      <c r="A1203" s="37">
        <v>27</v>
      </c>
      <c r="B1203" s="38" t="s">
        <v>36</v>
      </c>
      <c r="C1203" s="51">
        <v>7896261001145</v>
      </c>
      <c r="D1203" s="40" t="s">
        <v>70</v>
      </c>
      <c r="E1203" s="40"/>
      <c r="F1203" s="40">
        <v>178</v>
      </c>
      <c r="G1203" s="38"/>
      <c r="H1203" s="38" t="s">
        <v>946</v>
      </c>
      <c r="I1203" s="38" t="s">
        <v>424</v>
      </c>
      <c r="J1203" s="38" t="s">
        <v>947</v>
      </c>
      <c r="K1203" s="56">
        <v>0.59</v>
      </c>
      <c r="L1203" s="52" t="s">
        <v>213</v>
      </c>
      <c r="M1203" s="53" t="s">
        <v>213</v>
      </c>
    </row>
    <row r="1204" spans="1:13" x14ac:dyDescent="0.3">
      <c r="A1204" s="37">
        <v>27</v>
      </c>
      <c r="B1204" s="38" t="s">
        <v>36</v>
      </c>
      <c r="C1204" s="51">
        <v>7896261001145</v>
      </c>
      <c r="D1204" s="40" t="s">
        <v>70</v>
      </c>
      <c r="E1204" s="40"/>
      <c r="F1204" s="40">
        <v>179</v>
      </c>
      <c r="G1204" s="38"/>
      <c r="H1204" s="38" t="s">
        <v>948</v>
      </c>
      <c r="I1204" s="38" t="s">
        <v>424</v>
      </c>
      <c r="J1204" s="38" t="s">
        <v>947</v>
      </c>
      <c r="K1204" s="56">
        <v>0.69</v>
      </c>
      <c r="L1204" s="52" t="s">
        <v>213</v>
      </c>
      <c r="M1204" s="53" t="s">
        <v>213</v>
      </c>
    </row>
    <row r="1205" spans="1:13" x14ac:dyDescent="0.3">
      <c r="A1205" s="37">
        <v>27</v>
      </c>
      <c r="B1205" s="38" t="s">
        <v>36</v>
      </c>
      <c r="C1205" s="51">
        <v>7896261001145</v>
      </c>
      <c r="D1205" s="40" t="s">
        <v>70</v>
      </c>
      <c r="E1205" s="40"/>
      <c r="F1205" s="40">
        <v>196</v>
      </c>
      <c r="G1205" s="38"/>
      <c r="H1205" s="38" t="s">
        <v>949</v>
      </c>
      <c r="I1205" s="38" t="s">
        <v>311</v>
      </c>
      <c r="J1205" s="38" t="s">
        <v>947</v>
      </c>
      <c r="K1205" s="38" t="s">
        <v>950</v>
      </c>
      <c r="L1205" s="52" t="s">
        <v>213</v>
      </c>
      <c r="M1205" s="53" t="s">
        <v>213</v>
      </c>
    </row>
    <row r="1206" spans="1:13" x14ac:dyDescent="0.3">
      <c r="A1206" s="37">
        <v>27</v>
      </c>
      <c r="B1206" s="38" t="s">
        <v>36</v>
      </c>
      <c r="C1206" s="51">
        <v>7896261001145</v>
      </c>
      <c r="D1206" s="40" t="s">
        <v>70</v>
      </c>
      <c r="E1206" s="40"/>
      <c r="F1206" s="40">
        <v>197</v>
      </c>
      <c r="G1206" s="38"/>
      <c r="H1206" s="38" t="s">
        <v>951</v>
      </c>
      <c r="I1206" s="38" t="s">
        <v>311</v>
      </c>
      <c r="J1206" s="38" t="s">
        <v>947</v>
      </c>
      <c r="K1206" s="38" t="s">
        <v>950</v>
      </c>
      <c r="L1206" s="52" t="s">
        <v>213</v>
      </c>
      <c r="M1206" s="53" t="s">
        <v>213</v>
      </c>
    </row>
    <row r="1207" spans="1:13" x14ac:dyDescent="0.3">
      <c r="A1207" s="37">
        <v>27</v>
      </c>
      <c r="B1207" s="38" t="s">
        <v>36</v>
      </c>
      <c r="C1207" s="51">
        <v>7896261001145</v>
      </c>
      <c r="D1207" s="40" t="s">
        <v>70</v>
      </c>
      <c r="E1207" s="40"/>
      <c r="F1207" s="40">
        <v>198</v>
      </c>
      <c r="G1207" s="38"/>
      <c r="H1207" s="38" t="s">
        <v>952</v>
      </c>
      <c r="I1207" s="38" t="s">
        <v>311</v>
      </c>
      <c r="J1207" s="38" t="s">
        <v>947</v>
      </c>
      <c r="K1207" s="38" t="s">
        <v>950</v>
      </c>
      <c r="L1207" s="52" t="s">
        <v>213</v>
      </c>
      <c r="M1207" s="53" t="s">
        <v>213</v>
      </c>
    </row>
    <row r="1208" spans="1:13" x14ac:dyDescent="0.3">
      <c r="A1208" s="37">
        <v>27</v>
      </c>
      <c r="B1208" s="38" t="s">
        <v>36</v>
      </c>
      <c r="C1208" s="51">
        <v>7896261001145</v>
      </c>
      <c r="D1208" s="40" t="s">
        <v>70</v>
      </c>
      <c r="E1208" s="40"/>
      <c r="F1208" s="40">
        <v>199</v>
      </c>
      <c r="G1208" s="38"/>
      <c r="H1208" s="38" t="s">
        <v>953</v>
      </c>
      <c r="I1208" s="38" t="s">
        <v>311</v>
      </c>
      <c r="J1208" s="38" t="s">
        <v>947</v>
      </c>
      <c r="K1208" s="38" t="s">
        <v>950</v>
      </c>
      <c r="L1208" s="52" t="s">
        <v>213</v>
      </c>
      <c r="M1208" s="53" t="s">
        <v>213</v>
      </c>
    </row>
    <row r="1209" spans="1:13" x14ac:dyDescent="0.3">
      <c r="A1209" s="37">
        <v>27</v>
      </c>
      <c r="B1209" s="38" t="s">
        <v>36</v>
      </c>
      <c r="C1209" s="51">
        <v>7896261001145</v>
      </c>
      <c r="D1209" s="40" t="s">
        <v>70</v>
      </c>
      <c r="E1209" s="40"/>
      <c r="F1209" s="40">
        <v>200</v>
      </c>
      <c r="G1209" s="38"/>
      <c r="H1209" s="38" t="s">
        <v>954</v>
      </c>
      <c r="I1209" s="38" t="s">
        <v>311</v>
      </c>
      <c r="J1209" s="38" t="s">
        <v>947</v>
      </c>
      <c r="K1209" s="38" t="s">
        <v>950</v>
      </c>
      <c r="L1209" s="52" t="s">
        <v>213</v>
      </c>
      <c r="M1209" s="53" t="s">
        <v>213</v>
      </c>
    </row>
    <row r="1210" spans="1:13" x14ac:dyDescent="0.3">
      <c r="A1210" s="37">
        <v>27</v>
      </c>
      <c r="B1210" s="38" t="s">
        <v>36</v>
      </c>
      <c r="C1210" s="51">
        <v>7896261001145</v>
      </c>
      <c r="D1210" s="40" t="s">
        <v>70</v>
      </c>
      <c r="E1210" s="40"/>
      <c r="F1210" s="40">
        <v>215</v>
      </c>
      <c r="G1210" s="38"/>
      <c r="H1210" s="38" t="s">
        <v>955</v>
      </c>
      <c r="I1210" s="38" t="s">
        <v>311</v>
      </c>
      <c r="J1210" s="38" t="s">
        <v>947</v>
      </c>
      <c r="K1210" s="38" t="s">
        <v>950</v>
      </c>
      <c r="L1210" s="52" t="s">
        <v>213</v>
      </c>
      <c r="M1210" s="53" t="s">
        <v>213</v>
      </c>
    </row>
    <row r="1211" spans="1:13" x14ac:dyDescent="0.3">
      <c r="A1211" s="37">
        <v>27</v>
      </c>
      <c r="B1211" s="38" t="s">
        <v>36</v>
      </c>
      <c r="C1211" s="51">
        <v>7896261001145</v>
      </c>
      <c r="D1211" s="40" t="s">
        <v>70</v>
      </c>
      <c r="E1211" s="40"/>
      <c r="F1211" s="40">
        <v>217</v>
      </c>
      <c r="G1211" s="38"/>
      <c r="H1211" s="38" t="s">
        <v>956</v>
      </c>
      <c r="I1211" s="38" t="s">
        <v>311</v>
      </c>
      <c r="J1211" s="38" t="s">
        <v>947</v>
      </c>
      <c r="K1211" s="38" t="s">
        <v>950</v>
      </c>
      <c r="L1211" s="52" t="s">
        <v>213</v>
      </c>
      <c r="M1211" s="53" t="s">
        <v>213</v>
      </c>
    </row>
    <row r="1212" spans="1:13" x14ac:dyDescent="0.3">
      <c r="A1212" s="37">
        <v>27</v>
      </c>
      <c r="B1212" s="38" t="s">
        <v>36</v>
      </c>
      <c r="C1212" s="51">
        <v>7896261001145</v>
      </c>
      <c r="D1212" s="40" t="s">
        <v>70</v>
      </c>
      <c r="E1212" s="40"/>
      <c r="F1212" s="40">
        <v>219</v>
      </c>
      <c r="G1212" s="38"/>
      <c r="H1212" s="38" t="s">
        <v>957</v>
      </c>
      <c r="I1212" s="38" t="s">
        <v>311</v>
      </c>
      <c r="J1212" s="38" t="s">
        <v>947</v>
      </c>
      <c r="K1212" s="38" t="s">
        <v>950</v>
      </c>
      <c r="L1212" s="52" t="s">
        <v>213</v>
      </c>
      <c r="M1212" s="53" t="s">
        <v>213</v>
      </c>
    </row>
    <row r="1213" spans="1:13" x14ac:dyDescent="0.3">
      <c r="A1213" s="37">
        <v>27</v>
      </c>
      <c r="B1213" s="38" t="s">
        <v>36</v>
      </c>
      <c r="C1213" s="51">
        <v>7896261001145</v>
      </c>
      <c r="D1213" s="40" t="s">
        <v>70</v>
      </c>
      <c r="E1213" s="40"/>
      <c r="F1213" s="40">
        <v>228</v>
      </c>
      <c r="G1213" s="38"/>
      <c r="H1213" s="38" t="s">
        <v>958</v>
      </c>
      <c r="I1213" s="38" t="s">
        <v>311</v>
      </c>
      <c r="J1213" s="38" t="s">
        <v>947</v>
      </c>
      <c r="K1213" s="38" t="s">
        <v>950</v>
      </c>
      <c r="L1213" s="52" t="s">
        <v>213</v>
      </c>
      <c r="M1213" s="53" t="s">
        <v>213</v>
      </c>
    </row>
    <row r="1214" spans="1:13" x14ac:dyDescent="0.3">
      <c r="A1214" s="37">
        <v>27</v>
      </c>
      <c r="B1214" s="38" t="s">
        <v>36</v>
      </c>
      <c r="C1214" s="51">
        <v>7896261001145</v>
      </c>
      <c r="D1214" s="40" t="s">
        <v>70</v>
      </c>
      <c r="E1214" s="40"/>
      <c r="F1214" s="40">
        <v>229</v>
      </c>
      <c r="G1214" s="38"/>
      <c r="H1214" s="38" t="s">
        <v>959</v>
      </c>
      <c r="I1214" s="38" t="s">
        <v>311</v>
      </c>
      <c r="J1214" s="38" t="s">
        <v>947</v>
      </c>
      <c r="K1214" s="38" t="s">
        <v>950</v>
      </c>
      <c r="L1214" s="52" t="s">
        <v>213</v>
      </c>
      <c r="M1214" s="53" t="s">
        <v>213</v>
      </c>
    </row>
    <row r="1215" spans="1:13" x14ac:dyDescent="0.3">
      <c r="A1215" s="37">
        <v>27</v>
      </c>
      <c r="B1215" s="38" t="s">
        <v>36</v>
      </c>
      <c r="C1215" s="51">
        <v>7896261001145</v>
      </c>
      <c r="D1215" s="40" t="s">
        <v>70</v>
      </c>
      <c r="E1215" s="40"/>
      <c r="F1215" s="40">
        <v>249</v>
      </c>
      <c r="G1215" s="38"/>
      <c r="H1215" s="38" t="s">
        <v>960</v>
      </c>
      <c r="I1215" s="38" t="s">
        <v>311</v>
      </c>
      <c r="J1215" s="38" t="s">
        <v>947</v>
      </c>
      <c r="K1215" s="38" t="s">
        <v>950</v>
      </c>
      <c r="L1215" s="52" t="s">
        <v>213</v>
      </c>
      <c r="M1215" s="53" t="s">
        <v>213</v>
      </c>
    </row>
    <row r="1216" spans="1:13" x14ac:dyDescent="0.3">
      <c r="A1216" s="37">
        <v>27</v>
      </c>
      <c r="B1216" s="38" t="s">
        <v>36</v>
      </c>
      <c r="C1216" s="51">
        <v>7896261001145</v>
      </c>
      <c r="D1216" s="40" t="s">
        <v>70</v>
      </c>
      <c r="E1216" s="40"/>
      <c r="F1216" s="40">
        <v>262</v>
      </c>
      <c r="G1216" s="38"/>
      <c r="H1216" s="38" t="s">
        <v>961</v>
      </c>
      <c r="I1216" s="38" t="s">
        <v>424</v>
      </c>
      <c r="J1216" s="38" t="s">
        <v>947</v>
      </c>
      <c r="K1216" s="38">
        <v>58.7</v>
      </c>
      <c r="L1216" s="52" t="s">
        <v>213</v>
      </c>
      <c r="M1216" s="53" t="s">
        <v>213</v>
      </c>
    </row>
    <row r="1217" spans="1:13" x14ac:dyDescent="0.3">
      <c r="A1217" s="37">
        <v>27</v>
      </c>
      <c r="B1217" s="38" t="s">
        <v>36</v>
      </c>
      <c r="C1217" s="51">
        <v>7896261001145</v>
      </c>
      <c r="D1217" s="40" t="s">
        <v>70</v>
      </c>
      <c r="E1217" s="40"/>
      <c r="F1217" s="40">
        <v>276</v>
      </c>
      <c r="G1217" s="38"/>
      <c r="H1217" s="38" t="s">
        <v>962</v>
      </c>
      <c r="I1217" s="38" t="s">
        <v>424</v>
      </c>
      <c r="J1217" s="38" t="s">
        <v>947</v>
      </c>
      <c r="K1217" s="56">
        <v>0.54</v>
      </c>
      <c r="L1217" s="52" t="s">
        <v>213</v>
      </c>
      <c r="M1217" s="53" t="s">
        <v>213</v>
      </c>
    </row>
    <row r="1218" spans="1:13" x14ac:dyDescent="0.3">
      <c r="A1218" s="37">
        <v>27</v>
      </c>
      <c r="B1218" s="38" t="s">
        <v>36</v>
      </c>
      <c r="C1218" s="51">
        <v>7896261001145</v>
      </c>
      <c r="D1218" s="40" t="s">
        <v>70</v>
      </c>
      <c r="E1218" s="40"/>
      <c r="F1218" s="40">
        <v>301</v>
      </c>
      <c r="G1218" s="38"/>
      <c r="H1218" s="38" t="s">
        <v>963</v>
      </c>
      <c r="I1218" s="38" t="s">
        <v>311</v>
      </c>
      <c r="J1218" s="38" t="s">
        <v>947</v>
      </c>
      <c r="K1218" s="38" t="s">
        <v>950</v>
      </c>
      <c r="L1218" s="52" t="s">
        <v>213</v>
      </c>
      <c r="M1218" s="53" t="s">
        <v>213</v>
      </c>
    </row>
    <row r="1219" spans="1:13" x14ac:dyDescent="0.3">
      <c r="A1219" s="37">
        <v>27</v>
      </c>
      <c r="B1219" s="38" t="s">
        <v>964</v>
      </c>
      <c r="C1219" s="51">
        <v>7896261001183</v>
      </c>
      <c r="D1219" s="40" t="s">
        <v>70</v>
      </c>
      <c r="E1219" s="40"/>
      <c r="F1219" s="40">
        <v>337</v>
      </c>
      <c r="G1219" s="38"/>
      <c r="H1219" s="38" t="s">
        <v>965</v>
      </c>
      <c r="I1219" s="38" t="s">
        <v>424</v>
      </c>
      <c r="J1219" s="38" t="s">
        <v>966</v>
      </c>
      <c r="K1219" s="56">
        <v>0.5</v>
      </c>
      <c r="L1219" s="52" t="s">
        <v>213</v>
      </c>
      <c r="M1219" s="53" t="s">
        <v>213</v>
      </c>
    </row>
    <row r="1220" spans="1:13" x14ac:dyDescent="0.3">
      <c r="A1220" s="37">
        <v>27</v>
      </c>
      <c r="B1220" s="38" t="s">
        <v>967</v>
      </c>
      <c r="C1220" s="51">
        <v>7896261003804</v>
      </c>
      <c r="D1220" s="40" t="s">
        <v>70</v>
      </c>
      <c r="E1220" s="40"/>
      <c r="F1220" s="40">
        <v>96</v>
      </c>
      <c r="G1220" s="38"/>
      <c r="H1220" s="38" t="s">
        <v>968</v>
      </c>
      <c r="I1220" s="38" t="s">
        <v>424</v>
      </c>
      <c r="J1220" s="38">
        <v>0</v>
      </c>
      <c r="K1220" s="56">
        <v>0.3</v>
      </c>
      <c r="L1220" s="52" t="s">
        <v>213</v>
      </c>
      <c r="M1220" s="53" t="s">
        <v>213</v>
      </c>
    </row>
    <row r="1221" spans="1:13" x14ac:dyDescent="0.3">
      <c r="A1221" s="37">
        <v>27</v>
      </c>
      <c r="B1221" s="38" t="s">
        <v>969</v>
      </c>
      <c r="C1221" s="51">
        <v>7896261004580</v>
      </c>
      <c r="D1221" s="40" t="s">
        <v>70</v>
      </c>
      <c r="E1221" s="40"/>
      <c r="F1221" s="40">
        <v>181</v>
      </c>
      <c r="G1221" s="38"/>
      <c r="H1221" s="38" t="s">
        <v>970</v>
      </c>
      <c r="I1221" s="38" t="s">
        <v>424</v>
      </c>
      <c r="J1221" s="38" t="s">
        <v>966</v>
      </c>
      <c r="K1221" s="56">
        <v>0.4</v>
      </c>
      <c r="L1221" s="52" t="s">
        <v>213</v>
      </c>
      <c r="M1221" s="53" t="s">
        <v>213</v>
      </c>
    </row>
    <row r="1222" spans="1:13" x14ac:dyDescent="0.3">
      <c r="A1222" s="37">
        <v>27</v>
      </c>
      <c r="B1222" s="38" t="s">
        <v>969</v>
      </c>
      <c r="C1222" s="51">
        <v>7896261004580</v>
      </c>
      <c r="D1222" s="40" t="s">
        <v>70</v>
      </c>
      <c r="E1222" s="40"/>
      <c r="F1222" s="40">
        <v>195</v>
      </c>
      <c r="G1222" s="38"/>
      <c r="H1222" s="38" t="s">
        <v>971</v>
      </c>
      <c r="I1222" s="38" t="s">
        <v>424</v>
      </c>
      <c r="J1222" s="38" t="s">
        <v>947</v>
      </c>
      <c r="K1222" s="56">
        <v>0.3</v>
      </c>
      <c r="L1222" s="52" t="s">
        <v>213</v>
      </c>
      <c r="M1222" s="53" t="s">
        <v>213</v>
      </c>
    </row>
    <row r="1223" spans="1:13" x14ac:dyDescent="0.3">
      <c r="A1223" s="37">
        <v>27</v>
      </c>
      <c r="B1223" s="38" t="s">
        <v>969</v>
      </c>
      <c r="C1223" s="51">
        <v>7896261004580</v>
      </c>
      <c r="D1223" s="40" t="s">
        <v>70</v>
      </c>
      <c r="E1223" s="40"/>
      <c r="F1223" s="40">
        <v>226</v>
      </c>
      <c r="G1223" s="38"/>
      <c r="H1223" s="38" t="s">
        <v>972</v>
      </c>
      <c r="I1223" s="38" t="s">
        <v>424</v>
      </c>
      <c r="J1223" s="38" t="s">
        <v>947</v>
      </c>
      <c r="K1223" s="56">
        <v>0.3</v>
      </c>
      <c r="L1223" s="52" t="s">
        <v>213</v>
      </c>
      <c r="M1223" s="53" t="s">
        <v>213</v>
      </c>
    </row>
    <row r="1224" spans="1:13" x14ac:dyDescent="0.3">
      <c r="A1224" s="37">
        <v>27</v>
      </c>
      <c r="B1224" s="38" t="s">
        <v>969</v>
      </c>
      <c r="C1224" s="51">
        <v>7896261004580</v>
      </c>
      <c r="D1224" s="40" t="s">
        <v>70</v>
      </c>
      <c r="E1224" s="40"/>
      <c r="F1224" s="40">
        <v>238</v>
      </c>
      <c r="G1224" s="38"/>
      <c r="H1224" s="38" t="s">
        <v>973</v>
      </c>
      <c r="I1224" s="38" t="s">
        <v>424</v>
      </c>
      <c r="J1224" s="38" t="s">
        <v>947</v>
      </c>
      <c r="K1224" s="56">
        <v>0.3</v>
      </c>
      <c r="L1224" s="52" t="s">
        <v>213</v>
      </c>
      <c r="M1224" s="53" t="s">
        <v>213</v>
      </c>
    </row>
    <row r="1225" spans="1:13" x14ac:dyDescent="0.3">
      <c r="A1225" s="37">
        <v>27</v>
      </c>
      <c r="B1225" s="38" t="s">
        <v>969</v>
      </c>
      <c r="C1225" s="51">
        <v>7896261004580</v>
      </c>
      <c r="D1225" s="40" t="s">
        <v>70</v>
      </c>
      <c r="E1225" s="40"/>
      <c r="F1225" s="40">
        <v>298</v>
      </c>
      <c r="G1225" s="38"/>
      <c r="H1225" s="38" t="s">
        <v>974</v>
      </c>
      <c r="I1225" s="38" t="s">
        <v>424</v>
      </c>
      <c r="J1225" s="38" t="s">
        <v>947</v>
      </c>
      <c r="K1225" s="56">
        <v>0.3</v>
      </c>
      <c r="L1225" s="52" t="s">
        <v>213</v>
      </c>
      <c r="M1225" s="53" t="s">
        <v>213</v>
      </c>
    </row>
    <row r="1226" spans="1:13" x14ac:dyDescent="0.3">
      <c r="A1226" s="37">
        <v>27</v>
      </c>
      <c r="B1226" s="38" t="s">
        <v>969</v>
      </c>
      <c r="C1226" s="51">
        <v>7896261004580</v>
      </c>
      <c r="D1226" s="40" t="s">
        <v>70</v>
      </c>
      <c r="E1226" s="40"/>
      <c r="F1226" s="40">
        <v>317</v>
      </c>
      <c r="G1226" s="38"/>
      <c r="H1226" s="38" t="s">
        <v>975</v>
      </c>
      <c r="I1226" s="38" t="s">
        <v>424</v>
      </c>
      <c r="J1226" s="38" t="s">
        <v>966</v>
      </c>
      <c r="K1226" s="56">
        <v>0.3</v>
      </c>
      <c r="L1226" s="52" t="s">
        <v>213</v>
      </c>
      <c r="M1226" s="53" t="s">
        <v>213</v>
      </c>
    </row>
    <row r="1227" spans="1:13" x14ac:dyDescent="0.3">
      <c r="A1227" s="37">
        <v>27</v>
      </c>
      <c r="B1227" s="38" t="s">
        <v>976</v>
      </c>
      <c r="C1227" s="51">
        <v>7896261004900</v>
      </c>
      <c r="D1227" s="40" t="s">
        <v>70</v>
      </c>
      <c r="E1227" s="40"/>
      <c r="F1227" s="40">
        <v>94</v>
      </c>
      <c r="G1227" s="38"/>
      <c r="H1227" s="38" t="s">
        <v>940</v>
      </c>
      <c r="I1227" s="38" t="s">
        <v>311</v>
      </c>
      <c r="J1227" s="38">
        <v>0</v>
      </c>
      <c r="K1227" s="38" t="s">
        <v>941</v>
      </c>
      <c r="L1227" s="52" t="s">
        <v>213</v>
      </c>
      <c r="M1227" s="53" t="s">
        <v>213</v>
      </c>
    </row>
    <row r="1228" spans="1:13" x14ac:dyDescent="0.3">
      <c r="A1228" s="37">
        <v>27</v>
      </c>
      <c r="B1228" s="38" t="s">
        <v>976</v>
      </c>
      <c r="C1228" s="51">
        <v>7896261004900</v>
      </c>
      <c r="D1228" s="40" t="s">
        <v>70</v>
      </c>
      <c r="E1228" s="40"/>
      <c r="F1228" s="40">
        <v>159</v>
      </c>
      <c r="G1228" s="38"/>
      <c r="H1228" s="38" t="s">
        <v>942</v>
      </c>
      <c r="I1228" s="38" t="s">
        <v>311</v>
      </c>
      <c r="J1228" s="38">
        <v>0</v>
      </c>
      <c r="K1228" s="38" t="s">
        <v>943</v>
      </c>
      <c r="L1228" s="52" t="s">
        <v>213</v>
      </c>
      <c r="M1228" s="53" t="s">
        <v>213</v>
      </c>
    </row>
    <row r="1229" spans="1:13" x14ac:dyDescent="0.3">
      <c r="A1229" s="37">
        <v>27</v>
      </c>
      <c r="B1229" s="38" t="s">
        <v>976</v>
      </c>
      <c r="C1229" s="51">
        <v>7896261004900</v>
      </c>
      <c r="D1229" s="40" t="s">
        <v>70</v>
      </c>
      <c r="E1229" s="40"/>
      <c r="F1229" s="40">
        <v>164</v>
      </c>
      <c r="G1229" s="38"/>
      <c r="H1229" s="38" t="s">
        <v>944</v>
      </c>
      <c r="I1229" s="38" t="s">
        <v>311</v>
      </c>
      <c r="J1229" s="38">
        <v>0</v>
      </c>
      <c r="K1229" s="38" t="s">
        <v>943</v>
      </c>
      <c r="L1229" s="52" t="s">
        <v>213</v>
      </c>
      <c r="M1229" s="53" t="s">
        <v>213</v>
      </c>
    </row>
    <row r="1230" spans="1:13" x14ac:dyDescent="0.3">
      <c r="A1230" s="37">
        <v>27</v>
      </c>
      <c r="B1230" s="38" t="s">
        <v>976</v>
      </c>
      <c r="C1230" s="51">
        <v>7896261004900</v>
      </c>
      <c r="D1230" s="40" t="s">
        <v>70</v>
      </c>
      <c r="E1230" s="40"/>
      <c r="F1230" s="40">
        <v>174</v>
      </c>
      <c r="G1230" s="38"/>
      <c r="H1230" s="38" t="s">
        <v>945</v>
      </c>
      <c r="I1230" s="38" t="s">
        <v>311</v>
      </c>
      <c r="J1230" s="38">
        <v>0</v>
      </c>
      <c r="K1230" s="38" t="s">
        <v>943</v>
      </c>
      <c r="L1230" s="52" t="s">
        <v>213</v>
      </c>
      <c r="M1230" s="53" t="s">
        <v>213</v>
      </c>
    </row>
    <row r="1231" spans="1:13" x14ac:dyDescent="0.3">
      <c r="A1231" s="37">
        <v>27</v>
      </c>
      <c r="B1231" s="38" t="s">
        <v>976</v>
      </c>
      <c r="C1231" s="51">
        <v>7896261004900</v>
      </c>
      <c r="D1231" s="40" t="s">
        <v>70</v>
      </c>
      <c r="E1231" s="40"/>
      <c r="F1231" s="40">
        <v>178</v>
      </c>
      <c r="G1231" s="38"/>
      <c r="H1231" s="38" t="s">
        <v>946</v>
      </c>
      <c r="I1231" s="38" t="s">
        <v>424</v>
      </c>
      <c r="J1231" s="38" t="s">
        <v>947</v>
      </c>
      <c r="K1231" s="56">
        <v>0.59</v>
      </c>
      <c r="L1231" s="52" t="s">
        <v>213</v>
      </c>
      <c r="M1231" s="53" t="s">
        <v>213</v>
      </c>
    </row>
    <row r="1232" spans="1:13" x14ac:dyDescent="0.3">
      <c r="A1232" s="37">
        <v>27</v>
      </c>
      <c r="B1232" s="38" t="s">
        <v>976</v>
      </c>
      <c r="C1232" s="51">
        <v>7896261004900</v>
      </c>
      <c r="D1232" s="40" t="s">
        <v>70</v>
      </c>
      <c r="E1232" s="40"/>
      <c r="F1232" s="40">
        <v>179</v>
      </c>
      <c r="G1232" s="38"/>
      <c r="H1232" s="38" t="s">
        <v>948</v>
      </c>
      <c r="I1232" s="38" t="s">
        <v>424</v>
      </c>
      <c r="J1232" s="38" t="s">
        <v>947</v>
      </c>
      <c r="K1232" s="56">
        <v>0.69</v>
      </c>
      <c r="L1232" s="52" t="s">
        <v>213</v>
      </c>
      <c r="M1232" s="53" t="s">
        <v>213</v>
      </c>
    </row>
    <row r="1233" spans="1:13" x14ac:dyDescent="0.3">
      <c r="A1233" s="37">
        <v>27</v>
      </c>
      <c r="B1233" s="38" t="s">
        <v>976</v>
      </c>
      <c r="C1233" s="51">
        <v>7896261004900</v>
      </c>
      <c r="D1233" s="40" t="s">
        <v>70</v>
      </c>
      <c r="E1233" s="40"/>
      <c r="F1233" s="40">
        <v>185</v>
      </c>
      <c r="G1233" s="38"/>
      <c r="H1233" s="38" t="s">
        <v>977</v>
      </c>
      <c r="I1233" s="38" t="s">
        <v>424</v>
      </c>
      <c r="J1233" s="38">
        <v>0</v>
      </c>
      <c r="K1233" s="56">
        <v>0.59</v>
      </c>
      <c r="L1233" s="52" t="s">
        <v>213</v>
      </c>
      <c r="M1233" s="53" t="s">
        <v>213</v>
      </c>
    </row>
    <row r="1234" spans="1:13" x14ac:dyDescent="0.3">
      <c r="A1234" s="37">
        <v>27</v>
      </c>
      <c r="B1234" s="38" t="s">
        <v>976</v>
      </c>
      <c r="C1234" s="51">
        <v>7896261004900</v>
      </c>
      <c r="D1234" s="40" t="s">
        <v>70</v>
      </c>
      <c r="E1234" s="40"/>
      <c r="F1234" s="40">
        <v>192</v>
      </c>
      <c r="G1234" s="38"/>
      <c r="H1234" s="38" t="s">
        <v>978</v>
      </c>
      <c r="I1234" s="38" t="s">
        <v>424</v>
      </c>
      <c r="J1234" s="38" t="s">
        <v>947</v>
      </c>
      <c r="K1234" s="56">
        <v>0.49</v>
      </c>
      <c r="L1234" s="52" t="s">
        <v>213</v>
      </c>
      <c r="M1234" s="53" t="s">
        <v>213</v>
      </c>
    </row>
    <row r="1235" spans="1:13" x14ac:dyDescent="0.3">
      <c r="A1235" s="37">
        <v>27</v>
      </c>
      <c r="B1235" s="38" t="s">
        <v>976</v>
      </c>
      <c r="C1235" s="51">
        <v>7896261004900</v>
      </c>
      <c r="D1235" s="40" t="s">
        <v>70</v>
      </c>
      <c r="E1235" s="40"/>
      <c r="F1235" s="40">
        <v>196</v>
      </c>
      <c r="G1235" s="38"/>
      <c r="H1235" s="38" t="s">
        <v>949</v>
      </c>
      <c r="I1235" s="38" t="s">
        <v>311</v>
      </c>
      <c r="J1235" s="38" t="s">
        <v>947</v>
      </c>
      <c r="K1235" s="38" t="s">
        <v>950</v>
      </c>
      <c r="L1235" s="52" t="s">
        <v>213</v>
      </c>
      <c r="M1235" s="53" t="s">
        <v>213</v>
      </c>
    </row>
    <row r="1236" spans="1:13" x14ac:dyDescent="0.3">
      <c r="A1236" s="37">
        <v>27</v>
      </c>
      <c r="B1236" s="38" t="s">
        <v>976</v>
      </c>
      <c r="C1236" s="51">
        <v>7896261004900</v>
      </c>
      <c r="D1236" s="40" t="s">
        <v>70</v>
      </c>
      <c r="E1236" s="40"/>
      <c r="F1236" s="40">
        <v>197</v>
      </c>
      <c r="G1236" s="38"/>
      <c r="H1236" s="38" t="s">
        <v>951</v>
      </c>
      <c r="I1236" s="38" t="s">
        <v>311</v>
      </c>
      <c r="J1236" s="38" t="s">
        <v>947</v>
      </c>
      <c r="K1236" s="38" t="s">
        <v>950</v>
      </c>
      <c r="L1236" s="52" t="s">
        <v>213</v>
      </c>
      <c r="M1236" s="53" t="s">
        <v>213</v>
      </c>
    </row>
    <row r="1237" spans="1:13" x14ac:dyDescent="0.3">
      <c r="A1237" s="37">
        <v>27</v>
      </c>
      <c r="B1237" s="38" t="s">
        <v>976</v>
      </c>
      <c r="C1237" s="51">
        <v>7896261004900</v>
      </c>
      <c r="D1237" s="40" t="s">
        <v>70</v>
      </c>
      <c r="E1237" s="40"/>
      <c r="F1237" s="40">
        <v>198</v>
      </c>
      <c r="G1237" s="38"/>
      <c r="H1237" s="38" t="s">
        <v>952</v>
      </c>
      <c r="I1237" s="38" t="s">
        <v>311</v>
      </c>
      <c r="J1237" s="38" t="s">
        <v>947</v>
      </c>
      <c r="K1237" s="38" t="s">
        <v>950</v>
      </c>
      <c r="L1237" s="52" t="s">
        <v>213</v>
      </c>
      <c r="M1237" s="53" t="s">
        <v>213</v>
      </c>
    </row>
    <row r="1238" spans="1:13" x14ac:dyDescent="0.3">
      <c r="A1238" s="37">
        <v>27</v>
      </c>
      <c r="B1238" s="38" t="s">
        <v>976</v>
      </c>
      <c r="C1238" s="51">
        <v>7896261004900</v>
      </c>
      <c r="D1238" s="40" t="s">
        <v>70</v>
      </c>
      <c r="E1238" s="40"/>
      <c r="F1238" s="40">
        <v>199</v>
      </c>
      <c r="G1238" s="38"/>
      <c r="H1238" s="38" t="s">
        <v>953</v>
      </c>
      <c r="I1238" s="38" t="s">
        <v>311</v>
      </c>
      <c r="J1238" s="38" t="s">
        <v>947</v>
      </c>
      <c r="K1238" s="38" t="s">
        <v>950</v>
      </c>
      <c r="L1238" s="52" t="s">
        <v>213</v>
      </c>
      <c r="M1238" s="53" t="s">
        <v>213</v>
      </c>
    </row>
    <row r="1239" spans="1:13" x14ac:dyDescent="0.3">
      <c r="A1239" s="37">
        <v>27</v>
      </c>
      <c r="B1239" s="38" t="s">
        <v>976</v>
      </c>
      <c r="C1239" s="51">
        <v>7896261004900</v>
      </c>
      <c r="D1239" s="40" t="s">
        <v>70</v>
      </c>
      <c r="E1239" s="40"/>
      <c r="F1239" s="40">
        <v>200</v>
      </c>
      <c r="G1239" s="38"/>
      <c r="H1239" s="38" t="s">
        <v>954</v>
      </c>
      <c r="I1239" s="38" t="s">
        <v>311</v>
      </c>
      <c r="J1239" s="38" t="s">
        <v>947</v>
      </c>
      <c r="K1239" s="38" t="s">
        <v>950</v>
      </c>
      <c r="L1239" s="52" t="s">
        <v>213</v>
      </c>
      <c r="M1239" s="53" t="s">
        <v>213</v>
      </c>
    </row>
    <row r="1240" spans="1:13" x14ac:dyDescent="0.3">
      <c r="A1240" s="37">
        <v>27</v>
      </c>
      <c r="B1240" s="38" t="s">
        <v>976</v>
      </c>
      <c r="C1240" s="51">
        <v>7896261004900</v>
      </c>
      <c r="D1240" s="40" t="s">
        <v>70</v>
      </c>
      <c r="E1240" s="40"/>
      <c r="F1240" s="40">
        <v>215</v>
      </c>
      <c r="G1240" s="38"/>
      <c r="H1240" s="38" t="s">
        <v>955</v>
      </c>
      <c r="I1240" s="38" t="s">
        <v>311</v>
      </c>
      <c r="J1240" s="38" t="s">
        <v>947</v>
      </c>
      <c r="K1240" s="38" t="s">
        <v>950</v>
      </c>
      <c r="L1240" s="52" t="s">
        <v>213</v>
      </c>
      <c r="M1240" s="53" t="s">
        <v>213</v>
      </c>
    </row>
    <row r="1241" spans="1:13" x14ac:dyDescent="0.3">
      <c r="A1241" s="37">
        <v>27</v>
      </c>
      <c r="B1241" s="38" t="s">
        <v>976</v>
      </c>
      <c r="C1241" s="51">
        <v>7896261004900</v>
      </c>
      <c r="D1241" s="40" t="s">
        <v>70</v>
      </c>
      <c r="E1241" s="40"/>
      <c r="F1241" s="40">
        <v>217</v>
      </c>
      <c r="G1241" s="38"/>
      <c r="H1241" s="38" t="s">
        <v>956</v>
      </c>
      <c r="I1241" s="38" t="s">
        <v>311</v>
      </c>
      <c r="J1241" s="38" t="s">
        <v>947</v>
      </c>
      <c r="K1241" s="38" t="s">
        <v>950</v>
      </c>
      <c r="L1241" s="52" t="s">
        <v>213</v>
      </c>
      <c r="M1241" s="53" t="s">
        <v>213</v>
      </c>
    </row>
    <row r="1242" spans="1:13" x14ac:dyDescent="0.3">
      <c r="A1242" s="37">
        <v>27</v>
      </c>
      <c r="B1242" s="38" t="s">
        <v>976</v>
      </c>
      <c r="C1242" s="51">
        <v>7896261004900</v>
      </c>
      <c r="D1242" s="40" t="s">
        <v>70</v>
      </c>
      <c r="E1242" s="40"/>
      <c r="F1242" s="40">
        <v>219</v>
      </c>
      <c r="G1242" s="38"/>
      <c r="H1242" s="38" t="s">
        <v>957</v>
      </c>
      <c r="I1242" s="38" t="s">
        <v>311</v>
      </c>
      <c r="J1242" s="38" t="s">
        <v>947</v>
      </c>
      <c r="K1242" s="38" t="s">
        <v>950</v>
      </c>
      <c r="L1242" s="52" t="s">
        <v>213</v>
      </c>
      <c r="M1242" s="53" t="s">
        <v>213</v>
      </c>
    </row>
    <row r="1243" spans="1:13" x14ac:dyDescent="0.3">
      <c r="A1243" s="37">
        <v>27</v>
      </c>
      <c r="B1243" s="38" t="s">
        <v>976</v>
      </c>
      <c r="C1243" s="51">
        <v>7896261004900</v>
      </c>
      <c r="D1243" s="40" t="s">
        <v>70</v>
      </c>
      <c r="E1243" s="40"/>
      <c r="F1243" s="40">
        <v>228</v>
      </c>
      <c r="G1243" s="38"/>
      <c r="H1243" s="38" t="s">
        <v>958</v>
      </c>
      <c r="I1243" s="38" t="s">
        <v>311</v>
      </c>
      <c r="J1243" s="38" t="s">
        <v>947</v>
      </c>
      <c r="K1243" s="38" t="s">
        <v>950</v>
      </c>
      <c r="L1243" s="52" t="s">
        <v>213</v>
      </c>
      <c r="M1243" s="53" t="s">
        <v>213</v>
      </c>
    </row>
    <row r="1244" spans="1:13" x14ac:dyDescent="0.3">
      <c r="A1244" s="37">
        <v>27</v>
      </c>
      <c r="B1244" s="38" t="s">
        <v>976</v>
      </c>
      <c r="C1244" s="51">
        <v>7896261004900</v>
      </c>
      <c r="D1244" s="40" t="s">
        <v>70</v>
      </c>
      <c r="E1244" s="40"/>
      <c r="F1244" s="40">
        <v>229</v>
      </c>
      <c r="G1244" s="38"/>
      <c r="H1244" s="38" t="s">
        <v>959</v>
      </c>
      <c r="I1244" s="38" t="s">
        <v>311</v>
      </c>
      <c r="J1244" s="38" t="s">
        <v>947</v>
      </c>
      <c r="K1244" s="38" t="s">
        <v>950</v>
      </c>
      <c r="L1244" s="52" t="s">
        <v>213</v>
      </c>
      <c r="M1244" s="53" t="s">
        <v>213</v>
      </c>
    </row>
    <row r="1245" spans="1:13" x14ac:dyDescent="0.3">
      <c r="A1245" s="37">
        <v>27</v>
      </c>
      <c r="B1245" s="38" t="s">
        <v>976</v>
      </c>
      <c r="C1245" s="51">
        <v>7896261004900</v>
      </c>
      <c r="D1245" s="40" t="s">
        <v>70</v>
      </c>
      <c r="E1245" s="40"/>
      <c r="F1245" s="40">
        <v>247</v>
      </c>
      <c r="G1245" s="38"/>
      <c r="H1245" s="38" t="s">
        <v>979</v>
      </c>
      <c r="I1245" s="38" t="s">
        <v>424</v>
      </c>
      <c r="J1245" s="38" t="s">
        <v>947</v>
      </c>
      <c r="K1245" s="56">
        <v>0.6</v>
      </c>
      <c r="L1245" s="52" t="s">
        <v>213</v>
      </c>
      <c r="M1245" s="53" t="s">
        <v>213</v>
      </c>
    </row>
    <row r="1246" spans="1:13" x14ac:dyDescent="0.3">
      <c r="A1246" s="37">
        <v>27</v>
      </c>
      <c r="B1246" s="38" t="s">
        <v>976</v>
      </c>
      <c r="C1246" s="51">
        <v>7896261004900</v>
      </c>
      <c r="D1246" s="40" t="s">
        <v>70</v>
      </c>
      <c r="E1246" s="40"/>
      <c r="F1246" s="40">
        <v>249</v>
      </c>
      <c r="G1246" s="38"/>
      <c r="H1246" s="38" t="s">
        <v>960</v>
      </c>
      <c r="I1246" s="38" t="s">
        <v>311</v>
      </c>
      <c r="J1246" s="38" t="s">
        <v>947</v>
      </c>
      <c r="K1246" s="38" t="s">
        <v>950</v>
      </c>
      <c r="L1246" s="52" t="s">
        <v>213</v>
      </c>
      <c r="M1246" s="53" t="s">
        <v>213</v>
      </c>
    </row>
    <row r="1247" spans="1:13" x14ac:dyDescent="0.3">
      <c r="A1247" s="37">
        <v>27</v>
      </c>
      <c r="B1247" s="38" t="s">
        <v>976</v>
      </c>
      <c r="C1247" s="51">
        <v>7896261004900</v>
      </c>
      <c r="D1247" s="40" t="s">
        <v>70</v>
      </c>
      <c r="E1247" s="40"/>
      <c r="F1247" s="40">
        <v>262</v>
      </c>
      <c r="G1247" s="38"/>
      <c r="H1247" s="38" t="s">
        <v>961</v>
      </c>
      <c r="I1247" s="38" t="s">
        <v>424</v>
      </c>
      <c r="J1247" s="38" t="s">
        <v>947</v>
      </c>
      <c r="K1247" s="38">
        <v>58.7</v>
      </c>
      <c r="L1247" s="52" t="s">
        <v>213</v>
      </c>
      <c r="M1247" s="53" t="s">
        <v>213</v>
      </c>
    </row>
    <row r="1248" spans="1:13" x14ac:dyDescent="0.3">
      <c r="A1248" s="37">
        <v>27</v>
      </c>
      <c r="B1248" s="38" t="s">
        <v>976</v>
      </c>
      <c r="C1248" s="51">
        <v>7896261004900</v>
      </c>
      <c r="D1248" s="40" t="s">
        <v>70</v>
      </c>
      <c r="E1248" s="40"/>
      <c r="F1248" s="40">
        <v>301</v>
      </c>
      <c r="G1248" s="38"/>
      <c r="H1248" s="38" t="s">
        <v>963</v>
      </c>
      <c r="I1248" s="38" t="s">
        <v>311</v>
      </c>
      <c r="J1248" s="38" t="s">
        <v>947</v>
      </c>
      <c r="K1248" s="38" t="s">
        <v>950</v>
      </c>
      <c r="L1248" s="52" t="s">
        <v>213</v>
      </c>
      <c r="M1248" s="53" t="s">
        <v>213</v>
      </c>
    </row>
    <row r="1249" spans="1:13" x14ac:dyDescent="0.3">
      <c r="A1249" s="37">
        <v>27</v>
      </c>
      <c r="B1249" s="38" t="s">
        <v>976</v>
      </c>
      <c r="C1249" s="51">
        <v>7896261004900</v>
      </c>
      <c r="D1249" s="40" t="s">
        <v>70</v>
      </c>
      <c r="E1249" s="40"/>
      <c r="F1249" s="40">
        <v>334</v>
      </c>
      <c r="G1249" s="38"/>
      <c r="H1249" s="38" t="s">
        <v>980</v>
      </c>
      <c r="I1249" s="38" t="s">
        <v>311</v>
      </c>
      <c r="J1249" s="38" t="s">
        <v>947</v>
      </c>
      <c r="K1249" s="38" t="s">
        <v>981</v>
      </c>
      <c r="L1249" s="52" t="s">
        <v>213</v>
      </c>
      <c r="M1249" s="53" t="s">
        <v>213</v>
      </c>
    </row>
    <row r="1250" spans="1:13" x14ac:dyDescent="0.3">
      <c r="A1250" s="37">
        <v>27</v>
      </c>
      <c r="B1250" s="38" t="s">
        <v>982</v>
      </c>
      <c r="C1250" s="51">
        <v>7896261005198</v>
      </c>
      <c r="D1250" s="40" t="s">
        <v>70</v>
      </c>
      <c r="E1250" s="40"/>
      <c r="F1250" s="40">
        <v>129</v>
      </c>
      <c r="G1250" s="38"/>
      <c r="H1250" s="38" t="s">
        <v>931</v>
      </c>
      <c r="I1250" s="38" t="s">
        <v>311</v>
      </c>
      <c r="J1250" s="38" t="s">
        <v>947</v>
      </c>
      <c r="K1250" s="38" t="s">
        <v>933</v>
      </c>
      <c r="L1250" s="52" t="s">
        <v>213</v>
      </c>
      <c r="M1250" s="53" t="s">
        <v>213</v>
      </c>
    </row>
    <row r="1251" spans="1:13" x14ac:dyDescent="0.3">
      <c r="A1251" s="37">
        <v>27</v>
      </c>
      <c r="B1251" s="38" t="s">
        <v>983</v>
      </c>
      <c r="C1251" s="51">
        <v>7896261005259</v>
      </c>
      <c r="D1251" s="40" t="s">
        <v>70</v>
      </c>
      <c r="E1251" s="40"/>
      <c r="F1251" s="40">
        <v>293</v>
      </c>
      <c r="G1251" s="38"/>
      <c r="H1251" s="38" t="s">
        <v>984</v>
      </c>
      <c r="I1251" s="38" t="s">
        <v>424</v>
      </c>
      <c r="J1251" s="38" t="s">
        <v>985</v>
      </c>
      <c r="K1251" s="56">
        <v>0.2</v>
      </c>
      <c r="L1251" s="52" t="s">
        <v>213</v>
      </c>
      <c r="M1251" s="53" t="s">
        <v>213</v>
      </c>
    </row>
    <row r="1252" spans="1:13" x14ac:dyDescent="0.3">
      <c r="A1252" s="37">
        <v>27</v>
      </c>
      <c r="B1252" s="38" t="s">
        <v>986</v>
      </c>
      <c r="C1252" s="51">
        <v>7896261005266</v>
      </c>
      <c r="D1252" s="40" t="s">
        <v>70</v>
      </c>
      <c r="E1252" s="40"/>
      <c r="F1252" s="40">
        <v>91</v>
      </c>
      <c r="G1252" s="38"/>
      <c r="H1252" s="38" t="s">
        <v>987</v>
      </c>
      <c r="I1252" s="38" t="s">
        <v>424</v>
      </c>
      <c r="J1252" s="38" t="s">
        <v>985</v>
      </c>
      <c r="K1252" s="56">
        <v>0.2</v>
      </c>
      <c r="L1252" s="52" t="s">
        <v>213</v>
      </c>
      <c r="M1252" s="53" t="s">
        <v>213</v>
      </c>
    </row>
    <row r="1253" spans="1:13" x14ac:dyDescent="0.3">
      <c r="A1253" s="37">
        <v>27</v>
      </c>
      <c r="B1253" s="38" t="s">
        <v>986</v>
      </c>
      <c r="C1253" s="51">
        <v>7896261005266</v>
      </c>
      <c r="D1253" s="40" t="s">
        <v>70</v>
      </c>
      <c r="E1253" s="40"/>
      <c r="F1253" s="40">
        <v>258</v>
      </c>
      <c r="G1253" s="38"/>
      <c r="H1253" s="38" t="s">
        <v>988</v>
      </c>
      <c r="I1253" s="38" t="s">
        <v>424</v>
      </c>
      <c r="J1253" s="38" t="s">
        <v>985</v>
      </c>
      <c r="K1253" s="56">
        <v>0.2</v>
      </c>
      <c r="L1253" s="52" t="s">
        <v>213</v>
      </c>
      <c r="M1253" s="53" t="s">
        <v>213</v>
      </c>
    </row>
    <row r="1254" spans="1:13" x14ac:dyDescent="0.3">
      <c r="A1254" s="37">
        <v>27</v>
      </c>
      <c r="B1254" s="38" t="s">
        <v>986</v>
      </c>
      <c r="C1254" s="51">
        <v>7896261005266</v>
      </c>
      <c r="D1254" s="40" t="s">
        <v>70</v>
      </c>
      <c r="E1254" s="40"/>
      <c r="F1254" s="40">
        <v>293</v>
      </c>
      <c r="G1254" s="38"/>
      <c r="H1254" s="38" t="s">
        <v>984</v>
      </c>
      <c r="I1254" s="38" t="s">
        <v>424</v>
      </c>
      <c r="J1254" s="38" t="s">
        <v>985</v>
      </c>
      <c r="K1254" s="56">
        <v>0.2</v>
      </c>
      <c r="L1254" s="52" t="s">
        <v>213</v>
      </c>
      <c r="M1254" s="53" t="s">
        <v>213</v>
      </c>
    </row>
    <row r="1255" spans="1:13" x14ac:dyDescent="0.3">
      <c r="A1255" s="37">
        <v>27</v>
      </c>
      <c r="B1255" s="38" t="s">
        <v>989</v>
      </c>
      <c r="C1255" s="51">
        <v>7896261005372</v>
      </c>
      <c r="D1255" s="40" t="s">
        <v>70</v>
      </c>
      <c r="E1255" s="40"/>
      <c r="F1255" s="40">
        <v>210</v>
      </c>
      <c r="G1255" s="38"/>
      <c r="H1255" s="38" t="s">
        <v>936</v>
      </c>
      <c r="I1255" s="38" t="s">
        <v>311</v>
      </c>
      <c r="J1255" s="38" t="s">
        <v>937</v>
      </c>
      <c r="K1255" s="38" t="s">
        <v>990</v>
      </c>
      <c r="L1255" s="52" t="s">
        <v>213</v>
      </c>
      <c r="M1255" s="53" t="s">
        <v>213</v>
      </c>
    </row>
    <row r="1256" spans="1:13" x14ac:dyDescent="0.3">
      <c r="A1256" s="37">
        <v>27</v>
      </c>
      <c r="B1256" s="38" t="s">
        <v>989</v>
      </c>
      <c r="C1256" s="51">
        <v>7896261005372</v>
      </c>
      <c r="D1256" s="40" t="s">
        <v>70</v>
      </c>
      <c r="E1256" s="40"/>
      <c r="F1256" s="40">
        <v>407</v>
      </c>
      <c r="G1256" s="38"/>
      <c r="H1256" s="38" t="s">
        <v>991</v>
      </c>
      <c r="I1256" s="38" t="s">
        <v>424</v>
      </c>
      <c r="J1256" s="38" t="s">
        <v>937</v>
      </c>
      <c r="K1256" s="56">
        <v>0.45</v>
      </c>
      <c r="L1256" s="52" t="s">
        <v>213</v>
      </c>
      <c r="M1256" s="53" t="s">
        <v>213</v>
      </c>
    </row>
    <row r="1257" spans="1:13" x14ac:dyDescent="0.3">
      <c r="A1257" s="37">
        <v>27</v>
      </c>
      <c r="B1257" s="38" t="s">
        <v>992</v>
      </c>
      <c r="C1257" s="51">
        <v>7896261005570</v>
      </c>
      <c r="D1257" s="40" t="s">
        <v>70</v>
      </c>
      <c r="E1257" s="40"/>
      <c r="F1257" s="40">
        <v>343</v>
      </c>
      <c r="G1257" s="38"/>
      <c r="H1257" s="38" t="s">
        <v>993</v>
      </c>
      <c r="I1257" s="38" t="s">
        <v>424</v>
      </c>
      <c r="J1257" s="38" t="s">
        <v>947</v>
      </c>
      <c r="K1257" s="56">
        <v>0.23</v>
      </c>
      <c r="L1257" s="52" t="s">
        <v>213</v>
      </c>
      <c r="M1257" s="53" t="s">
        <v>213</v>
      </c>
    </row>
    <row r="1258" spans="1:13" x14ac:dyDescent="0.3">
      <c r="A1258" s="37">
        <v>27</v>
      </c>
      <c r="B1258" s="38" t="s">
        <v>994</v>
      </c>
      <c r="C1258" s="51">
        <v>7896261005587</v>
      </c>
      <c r="D1258" s="40" t="s">
        <v>70</v>
      </c>
      <c r="E1258" s="40"/>
      <c r="F1258" s="40">
        <v>151</v>
      </c>
      <c r="G1258" s="38"/>
      <c r="H1258" s="38" t="s">
        <v>995</v>
      </c>
      <c r="I1258" s="38" t="s">
        <v>424</v>
      </c>
      <c r="J1258" s="38">
        <v>0</v>
      </c>
      <c r="K1258" s="56">
        <v>0.5</v>
      </c>
      <c r="L1258" s="52" t="s">
        <v>213</v>
      </c>
      <c r="M1258" s="53" t="s">
        <v>213</v>
      </c>
    </row>
    <row r="1259" spans="1:13" x14ac:dyDescent="0.3">
      <c r="A1259" s="37">
        <v>27</v>
      </c>
      <c r="B1259" s="38" t="s">
        <v>994</v>
      </c>
      <c r="C1259" s="51">
        <v>7896261005587</v>
      </c>
      <c r="D1259" s="40" t="s">
        <v>70</v>
      </c>
      <c r="E1259" s="40"/>
      <c r="F1259" s="40">
        <v>343</v>
      </c>
      <c r="G1259" s="38"/>
      <c r="H1259" s="38" t="s">
        <v>993</v>
      </c>
      <c r="I1259" s="38" t="s">
        <v>424</v>
      </c>
      <c r="J1259" s="38" t="s">
        <v>947</v>
      </c>
      <c r="K1259" s="56">
        <v>0.23</v>
      </c>
      <c r="L1259" s="52" t="s">
        <v>213</v>
      </c>
      <c r="M1259" s="53" t="s">
        <v>213</v>
      </c>
    </row>
    <row r="1260" spans="1:13" x14ac:dyDescent="0.3">
      <c r="A1260" s="37">
        <v>27</v>
      </c>
      <c r="B1260" s="38" t="s">
        <v>996</v>
      </c>
      <c r="C1260" s="51">
        <v>7896261005747</v>
      </c>
      <c r="D1260" s="40" t="s">
        <v>70</v>
      </c>
      <c r="E1260" s="40"/>
      <c r="F1260" s="40">
        <v>129</v>
      </c>
      <c r="G1260" s="38"/>
      <c r="H1260" s="38" t="s">
        <v>931</v>
      </c>
      <c r="I1260" s="38" t="s">
        <v>311</v>
      </c>
      <c r="J1260" s="38" t="s">
        <v>947</v>
      </c>
      <c r="K1260" s="38" t="s">
        <v>933</v>
      </c>
      <c r="L1260" s="52" t="s">
        <v>213</v>
      </c>
      <c r="M1260" s="53" t="s">
        <v>213</v>
      </c>
    </row>
    <row r="1261" spans="1:13" x14ac:dyDescent="0.3">
      <c r="A1261" s="37">
        <v>27</v>
      </c>
      <c r="B1261" s="38" t="s">
        <v>996</v>
      </c>
      <c r="C1261" s="51">
        <v>7896261005747</v>
      </c>
      <c r="D1261" s="40" t="s">
        <v>70</v>
      </c>
      <c r="E1261" s="40"/>
      <c r="F1261" s="40">
        <v>446</v>
      </c>
      <c r="G1261" s="38"/>
      <c r="H1261" s="38" t="s">
        <v>997</v>
      </c>
      <c r="I1261" s="38" t="s">
        <v>311</v>
      </c>
      <c r="J1261" s="38" t="s">
        <v>937</v>
      </c>
      <c r="K1261" s="38" t="s">
        <v>998</v>
      </c>
      <c r="L1261" s="52" t="s">
        <v>213</v>
      </c>
      <c r="M1261" s="53" t="s">
        <v>213</v>
      </c>
    </row>
    <row r="1262" spans="1:13" x14ac:dyDescent="0.3">
      <c r="A1262" s="37">
        <v>27</v>
      </c>
      <c r="B1262" s="38" t="s">
        <v>999</v>
      </c>
      <c r="C1262" s="51">
        <v>7896261005860</v>
      </c>
      <c r="D1262" s="40" t="s">
        <v>70</v>
      </c>
      <c r="E1262" s="40"/>
      <c r="F1262" s="40">
        <v>94</v>
      </c>
      <c r="G1262" s="38"/>
      <c r="H1262" s="38" t="s">
        <v>940</v>
      </c>
      <c r="I1262" s="38" t="s">
        <v>311</v>
      </c>
      <c r="J1262" s="38">
        <v>0</v>
      </c>
      <c r="K1262" s="38" t="s">
        <v>1000</v>
      </c>
      <c r="L1262" s="52" t="s">
        <v>213</v>
      </c>
      <c r="M1262" s="53" t="s">
        <v>213</v>
      </c>
    </row>
    <row r="1263" spans="1:13" x14ac:dyDescent="0.3">
      <c r="A1263" s="37">
        <v>27</v>
      </c>
      <c r="B1263" s="38" t="s">
        <v>999</v>
      </c>
      <c r="C1263" s="51">
        <v>7896261005860</v>
      </c>
      <c r="D1263" s="40" t="s">
        <v>70</v>
      </c>
      <c r="E1263" s="40"/>
      <c r="F1263" s="40">
        <v>159</v>
      </c>
      <c r="G1263" s="38"/>
      <c r="H1263" s="38" t="s">
        <v>942</v>
      </c>
      <c r="I1263" s="38" t="s">
        <v>311</v>
      </c>
      <c r="J1263" s="38">
        <v>0</v>
      </c>
      <c r="K1263" s="38" t="s">
        <v>1001</v>
      </c>
      <c r="L1263" s="52" t="s">
        <v>213</v>
      </c>
      <c r="M1263" s="53" t="s">
        <v>213</v>
      </c>
    </row>
    <row r="1264" spans="1:13" x14ac:dyDescent="0.3">
      <c r="A1264" s="37">
        <v>27</v>
      </c>
      <c r="B1264" s="38" t="s">
        <v>999</v>
      </c>
      <c r="C1264" s="51">
        <v>7896261005860</v>
      </c>
      <c r="D1264" s="40" t="s">
        <v>70</v>
      </c>
      <c r="E1264" s="40"/>
      <c r="F1264" s="40">
        <v>164</v>
      </c>
      <c r="G1264" s="38"/>
      <c r="H1264" s="38" t="s">
        <v>944</v>
      </c>
      <c r="I1264" s="38" t="s">
        <v>311</v>
      </c>
      <c r="J1264" s="38">
        <v>0</v>
      </c>
      <c r="K1264" s="38" t="s">
        <v>1001</v>
      </c>
      <c r="L1264" s="52" t="s">
        <v>213</v>
      </c>
      <c r="M1264" s="53" t="s">
        <v>213</v>
      </c>
    </row>
    <row r="1265" spans="1:13" x14ac:dyDescent="0.3">
      <c r="A1265" s="37">
        <v>27</v>
      </c>
      <c r="B1265" s="38" t="s">
        <v>999</v>
      </c>
      <c r="C1265" s="51">
        <v>7896261005860</v>
      </c>
      <c r="D1265" s="40" t="s">
        <v>70</v>
      </c>
      <c r="E1265" s="40"/>
      <c r="F1265" s="40">
        <v>174</v>
      </c>
      <c r="G1265" s="38"/>
      <c r="H1265" s="38" t="s">
        <v>945</v>
      </c>
      <c r="I1265" s="38" t="s">
        <v>311</v>
      </c>
      <c r="J1265" s="38">
        <v>0</v>
      </c>
      <c r="K1265" s="38" t="s">
        <v>1001</v>
      </c>
      <c r="L1265" s="52" t="s">
        <v>213</v>
      </c>
      <c r="M1265" s="53" t="s">
        <v>213</v>
      </c>
    </row>
    <row r="1266" spans="1:13" x14ac:dyDescent="0.3">
      <c r="A1266" s="37">
        <v>27</v>
      </c>
      <c r="B1266" s="38" t="s">
        <v>999</v>
      </c>
      <c r="C1266" s="51">
        <v>7896261005860</v>
      </c>
      <c r="D1266" s="40" t="s">
        <v>70</v>
      </c>
      <c r="E1266" s="40"/>
      <c r="F1266" s="40">
        <v>178</v>
      </c>
      <c r="G1266" s="38"/>
      <c r="H1266" s="38" t="s">
        <v>946</v>
      </c>
      <c r="I1266" s="38" t="s">
        <v>424</v>
      </c>
      <c r="J1266" s="38" t="s">
        <v>947</v>
      </c>
      <c r="K1266" s="56">
        <v>0.57999999999999996</v>
      </c>
      <c r="L1266" s="52" t="s">
        <v>213</v>
      </c>
      <c r="M1266" s="53" t="s">
        <v>213</v>
      </c>
    </row>
    <row r="1267" spans="1:13" x14ac:dyDescent="0.3">
      <c r="A1267" s="37">
        <v>27</v>
      </c>
      <c r="B1267" s="38" t="s">
        <v>999</v>
      </c>
      <c r="C1267" s="51">
        <v>7896261005860</v>
      </c>
      <c r="D1267" s="40" t="s">
        <v>70</v>
      </c>
      <c r="E1267" s="40"/>
      <c r="F1267" s="40">
        <v>179</v>
      </c>
      <c r="G1267" s="38"/>
      <c r="H1267" s="38" t="s">
        <v>948</v>
      </c>
      <c r="I1267" s="38" t="s">
        <v>424</v>
      </c>
      <c r="J1267" s="38" t="s">
        <v>947</v>
      </c>
      <c r="K1267" s="56">
        <v>0.68</v>
      </c>
      <c r="L1267" s="52" t="s">
        <v>213</v>
      </c>
      <c r="M1267" s="53" t="s">
        <v>213</v>
      </c>
    </row>
    <row r="1268" spans="1:13" x14ac:dyDescent="0.3">
      <c r="A1268" s="37">
        <v>27</v>
      </c>
      <c r="B1268" s="38" t="s">
        <v>999</v>
      </c>
      <c r="C1268" s="51">
        <v>7896261005860</v>
      </c>
      <c r="D1268" s="40" t="s">
        <v>70</v>
      </c>
      <c r="E1268" s="40"/>
      <c r="F1268" s="40">
        <v>196</v>
      </c>
      <c r="G1268" s="38"/>
      <c r="H1268" s="38" t="s">
        <v>949</v>
      </c>
      <c r="I1268" s="38" t="s">
        <v>311</v>
      </c>
      <c r="J1268" s="38" t="s">
        <v>947</v>
      </c>
      <c r="K1268" s="38" t="s">
        <v>1002</v>
      </c>
      <c r="L1268" s="52" t="s">
        <v>213</v>
      </c>
      <c r="M1268" s="53" t="s">
        <v>213</v>
      </c>
    </row>
    <row r="1269" spans="1:13" x14ac:dyDescent="0.3">
      <c r="A1269" s="37">
        <v>27</v>
      </c>
      <c r="B1269" s="38" t="s">
        <v>999</v>
      </c>
      <c r="C1269" s="51">
        <v>7896261005860</v>
      </c>
      <c r="D1269" s="40" t="s">
        <v>70</v>
      </c>
      <c r="E1269" s="40"/>
      <c r="F1269" s="40">
        <v>197</v>
      </c>
      <c r="G1269" s="38"/>
      <c r="H1269" s="38" t="s">
        <v>951</v>
      </c>
      <c r="I1269" s="38" t="s">
        <v>311</v>
      </c>
      <c r="J1269" s="38" t="s">
        <v>947</v>
      </c>
      <c r="K1269" s="38" t="s">
        <v>1002</v>
      </c>
      <c r="L1269" s="52" t="s">
        <v>213</v>
      </c>
      <c r="M1269" s="53" t="s">
        <v>213</v>
      </c>
    </row>
    <row r="1270" spans="1:13" x14ac:dyDescent="0.3">
      <c r="A1270" s="37">
        <v>27</v>
      </c>
      <c r="B1270" s="38" t="s">
        <v>999</v>
      </c>
      <c r="C1270" s="51">
        <v>7896261005860</v>
      </c>
      <c r="D1270" s="40" t="s">
        <v>70</v>
      </c>
      <c r="E1270" s="40"/>
      <c r="F1270" s="40">
        <v>198</v>
      </c>
      <c r="G1270" s="38"/>
      <c r="H1270" s="38" t="s">
        <v>952</v>
      </c>
      <c r="I1270" s="38" t="s">
        <v>311</v>
      </c>
      <c r="J1270" s="38" t="s">
        <v>947</v>
      </c>
      <c r="K1270" s="38" t="s">
        <v>1002</v>
      </c>
      <c r="L1270" s="52" t="s">
        <v>213</v>
      </c>
      <c r="M1270" s="53" t="s">
        <v>213</v>
      </c>
    </row>
    <row r="1271" spans="1:13" x14ac:dyDescent="0.3">
      <c r="A1271" s="37">
        <v>27</v>
      </c>
      <c r="B1271" s="38" t="s">
        <v>999</v>
      </c>
      <c r="C1271" s="51">
        <v>7896261005860</v>
      </c>
      <c r="D1271" s="40" t="s">
        <v>70</v>
      </c>
      <c r="E1271" s="40"/>
      <c r="F1271" s="40">
        <v>199</v>
      </c>
      <c r="G1271" s="38"/>
      <c r="H1271" s="38" t="s">
        <v>953</v>
      </c>
      <c r="I1271" s="38" t="s">
        <v>311</v>
      </c>
      <c r="J1271" s="38" t="s">
        <v>947</v>
      </c>
      <c r="K1271" s="38" t="s">
        <v>1002</v>
      </c>
      <c r="L1271" s="52" t="s">
        <v>213</v>
      </c>
      <c r="M1271" s="53" t="s">
        <v>213</v>
      </c>
    </row>
    <row r="1272" spans="1:13" x14ac:dyDescent="0.3">
      <c r="A1272" s="37">
        <v>27</v>
      </c>
      <c r="B1272" s="38" t="s">
        <v>999</v>
      </c>
      <c r="C1272" s="51">
        <v>7896261005860</v>
      </c>
      <c r="D1272" s="40" t="s">
        <v>70</v>
      </c>
      <c r="E1272" s="40"/>
      <c r="F1272" s="40">
        <v>200</v>
      </c>
      <c r="G1272" s="38"/>
      <c r="H1272" s="38" t="s">
        <v>954</v>
      </c>
      <c r="I1272" s="38" t="s">
        <v>311</v>
      </c>
      <c r="J1272" s="38" t="s">
        <v>947</v>
      </c>
      <c r="K1272" s="38" t="s">
        <v>1002</v>
      </c>
      <c r="L1272" s="52" t="s">
        <v>213</v>
      </c>
      <c r="M1272" s="53" t="s">
        <v>213</v>
      </c>
    </row>
    <row r="1273" spans="1:13" x14ac:dyDescent="0.3">
      <c r="A1273" s="37">
        <v>27</v>
      </c>
      <c r="B1273" s="38" t="s">
        <v>999</v>
      </c>
      <c r="C1273" s="51">
        <v>7896261005860</v>
      </c>
      <c r="D1273" s="40" t="s">
        <v>70</v>
      </c>
      <c r="E1273" s="40"/>
      <c r="F1273" s="40">
        <v>215</v>
      </c>
      <c r="G1273" s="38"/>
      <c r="H1273" s="38" t="s">
        <v>955</v>
      </c>
      <c r="I1273" s="38" t="s">
        <v>311</v>
      </c>
      <c r="J1273" s="38" t="s">
        <v>947</v>
      </c>
      <c r="K1273" s="38" t="s">
        <v>1002</v>
      </c>
      <c r="L1273" s="52" t="s">
        <v>213</v>
      </c>
      <c r="M1273" s="53" t="s">
        <v>213</v>
      </c>
    </row>
    <row r="1274" spans="1:13" x14ac:dyDescent="0.3">
      <c r="A1274" s="37">
        <v>27</v>
      </c>
      <c r="B1274" s="38" t="s">
        <v>999</v>
      </c>
      <c r="C1274" s="51">
        <v>7896261005860</v>
      </c>
      <c r="D1274" s="40" t="s">
        <v>70</v>
      </c>
      <c r="E1274" s="40"/>
      <c r="F1274" s="40">
        <v>217</v>
      </c>
      <c r="G1274" s="38"/>
      <c r="H1274" s="38" t="s">
        <v>956</v>
      </c>
      <c r="I1274" s="38" t="s">
        <v>311</v>
      </c>
      <c r="J1274" s="38" t="s">
        <v>947</v>
      </c>
      <c r="K1274" s="38" t="s">
        <v>1002</v>
      </c>
      <c r="L1274" s="52" t="s">
        <v>213</v>
      </c>
      <c r="M1274" s="53" t="s">
        <v>213</v>
      </c>
    </row>
    <row r="1275" spans="1:13" x14ac:dyDescent="0.3">
      <c r="A1275" s="37">
        <v>27</v>
      </c>
      <c r="B1275" s="38" t="s">
        <v>999</v>
      </c>
      <c r="C1275" s="51">
        <v>7896261005860</v>
      </c>
      <c r="D1275" s="40" t="s">
        <v>70</v>
      </c>
      <c r="E1275" s="40"/>
      <c r="F1275" s="40">
        <v>219</v>
      </c>
      <c r="G1275" s="38"/>
      <c r="H1275" s="38" t="s">
        <v>957</v>
      </c>
      <c r="I1275" s="38" t="s">
        <v>311</v>
      </c>
      <c r="J1275" s="38" t="s">
        <v>947</v>
      </c>
      <c r="K1275" s="38" t="s">
        <v>1002</v>
      </c>
      <c r="L1275" s="52" t="s">
        <v>213</v>
      </c>
      <c r="M1275" s="53" t="s">
        <v>213</v>
      </c>
    </row>
    <row r="1276" spans="1:13" x14ac:dyDescent="0.3">
      <c r="A1276" s="37">
        <v>27</v>
      </c>
      <c r="B1276" s="38" t="s">
        <v>999</v>
      </c>
      <c r="C1276" s="51">
        <v>7896261005860</v>
      </c>
      <c r="D1276" s="40" t="s">
        <v>70</v>
      </c>
      <c r="E1276" s="40"/>
      <c r="F1276" s="40">
        <v>228</v>
      </c>
      <c r="G1276" s="38"/>
      <c r="H1276" s="38" t="s">
        <v>958</v>
      </c>
      <c r="I1276" s="38" t="s">
        <v>311</v>
      </c>
      <c r="J1276" s="38" t="s">
        <v>947</v>
      </c>
      <c r="K1276" s="38" t="s">
        <v>1002</v>
      </c>
      <c r="L1276" s="52" t="s">
        <v>213</v>
      </c>
      <c r="M1276" s="53" t="s">
        <v>213</v>
      </c>
    </row>
    <row r="1277" spans="1:13" x14ac:dyDescent="0.3">
      <c r="A1277" s="37">
        <v>27</v>
      </c>
      <c r="B1277" s="38" t="s">
        <v>999</v>
      </c>
      <c r="C1277" s="51">
        <v>7896261005860</v>
      </c>
      <c r="D1277" s="40" t="s">
        <v>70</v>
      </c>
      <c r="E1277" s="40"/>
      <c r="F1277" s="40">
        <v>229</v>
      </c>
      <c r="G1277" s="38"/>
      <c r="H1277" s="38" t="s">
        <v>959</v>
      </c>
      <c r="I1277" s="38" t="s">
        <v>311</v>
      </c>
      <c r="J1277" s="38" t="s">
        <v>947</v>
      </c>
      <c r="K1277" s="38" t="s">
        <v>1002</v>
      </c>
      <c r="L1277" s="52" t="s">
        <v>213</v>
      </c>
      <c r="M1277" s="53" t="s">
        <v>213</v>
      </c>
    </row>
    <row r="1278" spans="1:13" x14ac:dyDescent="0.3">
      <c r="A1278" s="37">
        <v>27</v>
      </c>
      <c r="B1278" s="38" t="s">
        <v>999</v>
      </c>
      <c r="C1278" s="51">
        <v>7896261005860</v>
      </c>
      <c r="D1278" s="40" t="s">
        <v>70</v>
      </c>
      <c r="E1278" s="40"/>
      <c r="F1278" s="40">
        <v>247</v>
      </c>
      <c r="G1278" s="38"/>
      <c r="H1278" s="38" t="s">
        <v>979</v>
      </c>
      <c r="I1278" s="38" t="s">
        <v>424</v>
      </c>
      <c r="J1278" s="38" t="s">
        <v>947</v>
      </c>
      <c r="K1278" s="56">
        <v>0.59</v>
      </c>
      <c r="L1278" s="52" t="s">
        <v>213</v>
      </c>
      <c r="M1278" s="53" t="s">
        <v>213</v>
      </c>
    </row>
    <row r="1279" spans="1:13" x14ac:dyDescent="0.3">
      <c r="A1279" s="37">
        <v>27</v>
      </c>
      <c r="B1279" s="38" t="s">
        <v>999</v>
      </c>
      <c r="C1279" s="51">
        <v>7896261005860</v>
      </c>
      <c r="D1279" s="40" t="s">
        <v>70</v>
      </c>
      <c r="E1279" s="40"/>
      <c r="F1279" s="40">
        <v>249</v>
      </c>
      <c r="G1279" s="38"/>
      <c r="H1279" s="38" t="s">
        <v>960</v>
      </c>
      <c r="I1279" s="38" t="s">
        <v>311</v>
      </c>
      <c r="J1279" s="38" t="s">
        <v>947</v>
      </c>
      <c r="K1279" s="38" t="s">
        <v>1002</v>
      </c>
      <c r="L1279" s="52" t="s">
        <v>213</v>
      </c>
      <c r="M1279" s="53" t="s">
        <v>213</v>
      </c>
    </row>
    <row r="1280" spans="1:13" x14ac:dyDescent="0.3">
      <c r="A1280" s="37">
        <v>27</v>
      </c>
      <c r="B1280" s="38" t="s">
        <v>999</v>
      </c>
      <c r="C1280" s="51">
        <v>7896261005860</v>
      </c>
      <c r="D1280" s="40" t="s">
        <v>70</v>
      </c>
      <c r="E1280" s="40"/>
      <c r="F1280" s="40">
        <v>255</v>
      </c>
      <c r="G1280" s="38"/>
      <c r="H1280" s="38" t="s">
        <v>1003</v>
      </c>
      <c r="I1280" s="38" t="s">
        <v>424</v>
      </c>
      <c r="J1280" s="38" t="s">
        <v>947</v>
      </c>
      <c r="K1280" s="56">
        <v>0.66869999999999996</v>
      </c>
      <c r="L1280" s="52" t="s">
        <v>213</v>
      </c>
      <c r="M1280" s="53" t="s">
        <v>213</v>
      </c>
    </row>
    <row r="1281" spans="1:13" x14ac:dyDescent="0.3">
      <c r="A1281" s="37">
        <v>27</v>
      </c>
      <c r="B1281" s="38" t="s">
        <v>999</v>
      </c>
      <c r="C1281" s="51">
        <v>7896261005860</v>
      </c>
      <c r="D1281" s="40" t="s">
        <v>70</v>
      </c>
      <c r="E1281" s="40"/>
      <c r="F1281" s="40">
        <v>262</v>
      </c>
      <c r="G1281" s="38"/>
      <c r="H1281" s="38" t="s">
        <v>961</v>
      </c>
      <c r="I1281" s="38" t="s">
        <v>424</v>
      </c>
      <c r="J1281" s="38" t="s">
        <v>947</v>
      </c>
      <c r="K1281" s="56">
        <v>0.57999999999999996</v>
      </c>
      <c r="L1281" s="52" t="s">
        <v>213</v>
      </c>
      <c r="M1281" s="53" t="s">
        <v>213</v>
      </c>
    </row>
    <row r="1282" spans="1:13" x14ac:dyDescent="0.3">
      <c r="A1282" s="37">
        <v>27</v>
      </c>
      <c r="B1282" s="38" t="s">
        <v>999</v>
      </c>
      <c r="C1282" s="51">
        <v>7896261005860</v>
      </c>
      <c r="D1282" s="40" t="s">
        <v>70</v>
      </c>
      <c r="E1282" s="40"/>
      <c r="F1282" s="40">
        <v>301</v>
      </c>
      <c r="G1282" s="38"/>
      <c r="H1282" s="38" t="s">
        <v>963</v>
      </c>
      <c r="I1282" s="38" t="s">
        <v>311</v>
      </c>
      <c r="J1282" s="38" t="s">
        <v>947</v>
      </c>
      <c r="K1282" s="38" t="s">
        <v>1002</v>
      </c>
      <c r="L1282" s="52" t="s">
        <v>213</v>
      </c>
      <c r="M1282" s="53" t="s">
        <v>213</v>
      </c>
    </row>
    <row r="1283" spans="1:13" x14ac:dyDescent="0.3">
      <c r="A1283" s="37">
        <v>27</v>
      </c>
      <c r="B1283" s="38" t="s">
        <v>999</v>
      </c>
      <c r="C1283" s="51">
        <v>7896261005860</v>
      </c>
      <c r="D1283" s="40" t="s">
        <v>70</v>
      </c>
      <c r="E1283" s="40"/>
      <c r="F1283" s="40">
        <v>334</v>
      </c>
      <c r="G1283" s="38"/>
      <c r="H1283" s="38" t="s">
        <v>980</v>
      </c>
      <c r="I1283" s="38" t="s">
        <v>311</v>
      </c>
      <c r="J1283" s="38" t="s">
        <v>947</v>
      </c>
      <c r="K1283" s="38" t="s">
        <v>1004</v>
      </c>
      <c r="L1283" s="52" t="s">
        <v>213</v>
      </c>
      <c r="M1283" s="53" t="s">
        <v>213</v>
      </c>
    </row>
    <row r="1284" spans="1:13" x14ac:dyDescent="0.3">
      <c r="A1284" s="37">
        <v>27</v>
      </c>
      <c r="B1284" s="38" t="s">
        <v>999</v>
      </c>
      <c r="C1284" s="51">
        <v>7896261005860</v>
      </c>
      <c r="D1284" s="40" t="s">
        <v>70</v>
      </c>
      <c r="E1284" s="40"/>
      <c r="F1284" s="40">
        <v>421</v>
      </c>
      <c r="G1284" s="38"/>
      <c r="H1284" s="38" t="s">
        <v>1005</v>
      </c>
      <c r="I1284" s="38" t="s">
        <v>311</v>
      </c>
      <c r="J1284" s="38" t="s">
        <v>947</v>
      </c>
      <c r="K1284" s="38" t="s">
        <v>1006</v>
      </c>
      <c r="L1284" s="52" t="s">
        <v>213</v>
      </c>
      <c r="M1284" s="53" t="s">
        <v>213</v>
      </c>
    </row>
    <row r="1285" spans="1:13" x14ac:dyDescent="0.3">
      <c r="A1285" s="37">
        <v>27</v>
      </c>
      <c r="B1285" s="38" t="s">
        <v>1007</v>
      </c>
      <c r="C1285" s="51">
        <v>7896261005884</v>
      </c>
      <c r="D1285" s="40" t="s">
        <v>70</v>
      </c>
      <c r="E1285" s="40"/>
      <c r="F1285" s="40">
        <v>94</v>
      </c>
      <c r="G1285" s="38"/>
      <c r="H1285" s="38" t="s">
        <v>940</v>
      </c>
      <c r="I1285" s="38" t="s">
        <v>311</v>
      </c>
      <c r="J1285" s="38">
        <v>0</v>
      </c>
      <c r="K1285" s="38" t="s">
        <v>1000</v>
      </c>
      <c r="L1285" s="52" t="s">
        <v>213</v>
      </c>
      <c r="M1285" s="53" t="s">
        <v>213</v>
      </c>
    </row>
    <row r="1286" spans="1:13" x14ac:dyDescent="0.3">
      <c r="A1286" s="37">
        <v>27</v>
      </c>
      <c r="B1286" s="38" t="s">
        <v>1008</v>
      </c>
      <c r="C1286" s="51">
        <v>7896261005884</v>
      </c>
      <c r="D1286" s="40" t="s">
        <v>70</v>
      </c>
      <c r="E1286" s="40"/>
      <c r="F1286" s="40">
        <v>94</v>
      </c>
      <c r="G1286" s="38"/>
      <c r="H1286" s="38" t="s">
        <v>940</v>
      </c>
      <c r="I1286" s="38" t="s">
        <v>311</v>
      </c>
      <c r="J1286" s="38">
        <v>0</v>
      </c>
      <c r="K1286" s="38" t="s">
        <v>1000</v>
      </c>
      <c r="L1286" s="52" t="s">
        <v>213</v>
      </c>
      <c r="M1286" s="53" t="s">
        <v>213</v>
      </c>
    </row>
    <row r="1287" spans="1:13" x14ac:dyDescent="0.3">
      <c r="A1287" s="37">
        <v>27</v>
      </c>
      <c r="B1287" s="38" t="s">
        <v>1007</v>
      </c>
      <c r="C1287" s="51">
        <v>7896261005884</v>
      </c>
      <c r="D1287" s="40" t="s">
        <v>70</v>
      </c>
      <c r="E1287" s="40"/>
      <c r="F1287" s="40">
        <v>159</v>
      </c>
      <c r="G1287" s="38"/>
      <c r="H1287" s="38" t="s">
        <v>942</v>
      </c>
      <c r="I1287" s="38" t="s">
        <v>311</v>
      </c>
      <c r="J1287" s="38">
        <v>0</v>
      </c>
      <c r="K1287" s="38" t="s">
        <v>1001</v>
      </c>
      <c r="L1287" s="52" t="s">
        <v>213</v>
      </c>
      <c r="M1287" s="53" t="s">
        <v>213</v>
      </c>
    </row>
    <row r="1288" spans="1:13" x14ac:dyDescent="0.3">
      <c r="A1288" s="37">
        <v>27</v>
      </c>
      <c r="B1288" s="38" t="s">
        <v>1008</v>
      </c>
      <c r="C1288" s="51">
        <v>7896261005884</v>
      </c>
      <c r="D1288" s="40" t="s">
        <v>70</v>
      </c>
      <c r="E1288" s="40"/>
      <c r="F1288" s="40">
        <v>159</v>
      </c>
      <c r="G1288" s="38"/>
      <c r="H1288" s="38" t="s">
        <v>942</v>
      </c>
      <c r="I1288" s="38" t="s">
        <v>311</v>
      </c>
      <c r="J1288" s="38">
        <v>0</v>
      </c>
      <c r="K1288" s="38" t="s">
        <v>1001</v>
      </c>
      <c r="L1288" s="52" t="s">
        <v>213</v>
      </c>
      <c r="M1288" s="53" t="s">
        <v>213</v>
      </c>
    </row>
    <row r="1289" spans="1:13" x14ac:dyDescent="0.3">
      <c r="A1289" s="37">
        <v>27</v>
      </c>
      <c r="B1289" s="38" t="s">
        <v>1007</v>
      </c>
      <c r="C1289" s="51">
        <v>7896261005884</v>
      </c>
      <c r="D1289" s="40" t="s">
        <v>70</v>
      </c>
      <c r="E1289" s="40"/>
      <c r="F1289" s="40">
        <v>164</v>
      </c>
      <c r="G1289" s="38"/>
      <c r="H1289" s="38" t="s">
        <v>944</v>
      </c>
      <c r="I1289" s="38" t="s">
        <v>311</v>
      </c>
      <c r="J1289" s="38">
        <v>0</v>
      </c>
      <c r="K1289" s="38" t="s">
        <v>1001</v>
      </c>
      <c r="L1289" s="52" t="s">
        <v>213</v>
      </c>
      <c r="M1289" s="53" t="s">
        <v>213</v>
      </c>
    </row>
    <row r="1290" spans="1:13" x14ac:dyDescent="0.3">
      <c r="A1290" s="37">
        <v>27</v>
      </c>
      <c r="B1290" s="38" t="s">
        <v>1008</v>
      </c>
      <c r="C1290" s="51">
        <v>7896261005884</v>
      </c>
      <c r="D1290" s="40" t="s">
        <v>70</v>
      </c>
      <c r="E1290" s="40"/>
      <c r="F1290" s="40">
        <v>164</v>
      </c>
      <c r="G1290" s="38"/>
      <c r="H1290" s="38" t="s">
        <v>944</v>
      </c>
      <c r="I1290" s="38" t="s">
        <v>311</v>
      </c>
      <c r="J1290" s="38">
        <v>0</v>
      </c>
      <c r="K1290" s="38" t="s">
        <v>1001</v>
      </c>
      <c r="L1290" s="52" t="s">
        <v>213</v>
      </c>
      <c r="M1290" s="53" t="s">
        <v>213</v>
      </c>
    </row>
    <row r="1291" spans="1:13" x14ac:dyDescent="0.3">
      <c r="A1291" s="37">
        <v>27</v>
      </c>
      <c r="B1291" s="38" t="s">
        <v>1007</v>
      </c>
      <c r="C1291" s="51">
        <v>7896261005884</v>
      </c>
      <c r="D1291" s="40" t="s">
        <v>70</v>
      </c>
      <c r="E1291" s="40"/>
      <c r="F1291" s="40">
        <v>174</v>
      </c>
      <c r="G1291" s="38"/>
      <c r="H1291" s="38" t="s">
        <v>945</v>
      </c>
      <c r="I1291" s="38" t="s">
        <v>311</v>
      </c>
      <c r="J1291" s="38">
        <v>0</v>
      </c>
      <c r="K1291" s="38" t="s">
        <v>1001</v>
      </c>
      <c r="L1291" s="52" t="s">
        <v>213</v>
      </c>
      <c r="M1291" s="53" t="s">
        <v>213</v>
      </c>
    </row>
    <row r="1292" spans="1:13" x14ac:dyDescent="0.3">
      <c r="A1292" s="37">
        <v>27</v>
      </c>
      <c r="B1292" s="38" t="s">
        <v>1008</v>
      </c>
      <c r="C1292" s="51">
        <v>7896261005884</v>
      </c>
      <c r="D1292" s="40" t="s">
        <v>70</v>
      </c>
      <c r="E1292" s="40"/>
      <c r="F1292" s="40">
        <v>174</v>
      </c>
      <c r="G1292" s="38"/>
      <c r="H1292" s="38" t="s">
        <v>945</v>
      </c>
      <c r="I1292" s="38" t="s">
        <v>311</v>
      </c>
      <c r="J1292" s="38">
        <v>0</v>
      </c>
      <c r="K1292" s="38" t="s">
        <v>1001</v>
      </c>
      <c r="L1292" s="52" t="s">
        <v>213</v>
      </c>
      <c r="M1292" s="53" t="s">
        <v>213</v>
      </c>
    </row>
    <row r="1293" spans="1:13" x14ac:dyDescent="0.3">
      <c r="A1293" s="37">
        <v>27</v>
      </c>
      <c r="B1293" s="38" t="s">
        <v>1007</v>
      </c>
      <c r="C1293" s="51">
        <v>7896261005884</v>
      </c>
      <c r="D1293" s="40" t="s">
        <v>70</v>
      </c>
      <c r="E1293" s="40"/>
      <c r="F1293" s="40">
        <v>178</v>
      </c>
      <c r="G1293" s="38"/>
      <c r="H1293" s="38" t="s">
        <v>946</v>
      </c>
      <c r="I1293" s="38" t="s">
        <v>424</v>
      </c>
      <c r="J1293" s="38" t="s">
        <v>947</v>
      </c>
      <c r="K1293" s="56">
        <v>0.57999999999999996</v>
      </c>
      <c r="L1293" s="52" t="s">
        <v>213</v>
      </c>
      <c r="M1293" s="53" t="s">
        <v>213</v>
      </c>
    </row>
    <row r="1294" spans="1:13" x14ac:dyDescent="0.3">
      <c r="A1294" s="37">
        <v>27</v>
      </c>
      <c r="B1294" s="38" t="s">
        <v>1008</v>
      </c>
      <c r="C1294" s="51">
        <v>7896261005884</v>
      </c>
      <c r="D1294" s="40" t="s">
        <v>70</v>
      </c>
      <c r="E1294" s="40"/>
      <c r="F1294" s="40">
        <v>178</v>
      </c>
      <c r="G1294" s="38"/>
      <c r="H1294" s="38" t="s">
        <v>946</v>
      </c>
      <c r="I1294" s="38" t="s">
        <v>424</v>
      </c>
      <c r="J1294" s="38" t="s">
        <v>947</v>
      </c>
      <c r="K1294" s="56">
        <v>0.57999999999999996</v>
      </c>
      <c r="L1294" s="52" t="s">
        <v>213</v>
      </c>
      <c r="M1294" s="53" t="s">
        <v>213</v>
      </c>
    </row>
    <row r="1295" spans="1:13" x14ac:dyDescent="0.3">
      <c r="A1295" s="37">
        <v>27</v>
      </c>
      <c r="B1295" s="38" t="s">
        <v>1007</v>
      </c>
      <c r="C1295" s="51">
        <v>7896261005884</v>
      </c>
      <c r="D1295" s="40" t="s">
        <v>70</v>
      </c>
      <c r="E1295" s="40"/>
      <c r="F1295" s="40">
        <v>179</v>
      </c>
      <c r="G1295" s="38"/>
      <c r="H1295" s="38" t="s">
        <v>948</v>
      </c>
      <c r="I1295" s="38" t="s">
        <v>424</v>
      </c>
      <c r="J1295" s="38" t="s">
        <v>947</v>
      </c>
      <c r="K1295" s="56">
        <v>0.68</v>
      </c>
      <c r="L1295" s="52" t="s">
        <v>213</v>
      </c>
      <c r="M1295" s="53" t="s">
        <v>213</v>
      </c>
    </row>
    <row r="1296" spans="1:13" x14ac:dyDescent="0.3">
      <c r="A1296" s="37">
        <v>27</v>
      </c>
      <c r="B1296" s="38" t="s">
        <v>1008</v>
      </c>
      <c r="C1296" s="51">
        <v>7896261005884</v>
      </c>
      <c r="D1296" s="40" t="s">
        <v>70</v>
      </c>
      <c r="E1296" s="40"/>
      <c r="F1296" s="40">
        <v>179</v>
      </c>
      <c r="G1296" s="38"/>
      <c r="H1296" s="38" t="s">
        <v>948</v>
      </c>
      <c r="I1296" s="38" t="s">
        <v>424</v>
      </c>
      <c r="J1296" s="38" t="s">
        <v>947</v>
      </c>
      <c r="K1296" s="56">
        <v>0.68</v>
      </c>
      <c r="L1296" s="52" t="s">
        <v>213</v>
      </c>
      <c r="M1296" s="53" t="s">
        <v>213</v>
      </c>
    </row>
    <row r="1297" spans="1:13" x14ac:dyDescent="0.3">
      <c r="A1297" s="37">
        <v>27</v>
      </c>
      <c r="B1297" s="38" t="s">
        <v>1007</v>
      </c>
      <c r="C1297" s="51">
        <v>7896261005884</v>
      </c>
      <c r="D1297" s="40" t="s">
        <v>70</v>
      </c>
      <c r="E1297" s="40"/>
      <c r="F1297" s="40">
        <v>185</v>
      </c>
      <c r="G1297" s="38"/>
      <c r="H1297" s="38" t="s">
        <v>977</v>
      </c>
      <c r="I1297" s="38" t="s">
        <v>424</v>
      </c>
      <c r="J1297" s="38">
        <v>0</v>
      </c>
      <c r="K1297" s="56">
        <v>0.57999999999999996</v>
      </c>
      <c r="L1297" s="52" t="s">
        <v>213</v>
      </c>
      <c r="M1297" s="53" t="s">
        <v>213</v>
      </c>
    </row>
    <row r="1298" spans="1:13" x14ac:dyDescent="0.3">
      <c r="A1298" s="37">
        <v>27</v>
      </c>
      <c r="B1298" s="38" t="s">
        <v>1008</v>
      </c>
      <c r="C1298" s="51">
        <v>7896261005884</v>
      </c>
      <c r="D1298" s="40" t="s">
        <v>70</v>
      </c>
      <c r="E1298" s="40"/>
      <c r="F1298" s="40">
        <v>185</v>
      </c>
      <c r="G1298" s="38"/>
      <c r="H1298" s="38" t="s">
        <v>977</v>
      </c>
      <c r="I1298" s="38" t="s">
        <v>424</v>
      </c>
      <c r="J1298" s="38">
        <v>0</v>
      </c>
      <c r="K1298" s="56">
        <v>0.57999999999999996</v>
      </c>
      <c r="L1298" s="52" t="s">
        <v>213</v>
      </c>
      <c r="M1298" s="53" t="s">
        <v>213</v>
      </c>
    </row>
    <row r="1299" spans="1:13" x14ac:dyDescent="0.3">
      <c r="A1299" s="37">
        <v>27</v>
      </c>
      <c r="B1299" s="38" t="s">
        <v>1007</v>
      </c>
      <c r="C1299" s="51">
        <v>7896261005884</v>
      </c>
      <c r="D1299" s="40" t="s">
        <v>70</v>
      </c>
      <c r="E1299" s="40"/>
      <c r="F1299" s="40">
        <v>196</v>
      </c>
      <c r="G1299" s="38"/>
      <c r="H1299" s="38" t="s">
        <v>949</v>
      </c>
      <c r="I1299" s="38" t="s">
        <v>311</v>
      </c>
      <c r="J1299" s="38" t="s">
        <v>947</v>
      </c>
      <c r="K1299" s="38" t="s">
        <v>1002</v>
      </c>
      <c r="L1299" s="52" t="s">
        <v>213</v>
      </c>
      <c r="M1299" s="53" t="s">
        <v>213</v>
      </c>
    </row>
    <row r="1300" spans="1:13" x14ac:dyDescent="0.3">
      <c r="A1300" s="37">
        <v>27</v>
      </c>
      <c r="B1300" s="38" t="s">
        <v>1008</v>
      </c>
      <c r="C1300" s="51">
        <v>7896261005884</v>
      </c>
      <c r="D1300" s="40" t="s">
        <v>70</v>
      </c>
      <c r="E1300" s="40"/>
      <c r="F1300" s="40">
        <v>196</v>
      </c>
      <c r="G1300" s="38"/>
      <c r="H1300" s="38" t="s">
        <v>949</v>
      </c>
      <c r="I1300" s="38" t="s">
        <v>311</v>
      </c>
      <c r="J1300" s="38" t="s">
        <v>947</v>
      </c>
      <c r="K1300" s="38" t="s">
        <v>1002</v>
      </c>
      <c r="L1300" s="52" t="s">
        <v>213</v>
      </c>
      <c r="M1300" s="53" t="s">
        <v>213</v>
      </c>
    </row>
    <row r="1301" spans="1:13" x14ac:dyDescent="0.3">
      <c r="A1301" s="37">
        <v>27</v>
      </c>
      <c r="B1301" s="38" t="s">
        <v>1007</v>
      </c>
      <c r="C1301" s="51">
        <v>7896261005884</v>
      </c>
      <c r="D1301" s="40" t="s">
        <v>70</v>
      </c>
      <c r="E1301" s="40"/>
      <c r="F1301" s="40">
        <v>197</v>
      </c>
      <c r="G1301" s="38"/>
      <c r="H1301" s="38" t="s">
        <v>951</v>
      </c>
      <c r="I1301" s="38" t="s">
        <v>311</v>
      </c>
      <c r="J1301" s="38" t="s">
        <v>947</v>
      </c>
      <c r="K1301" s="38" t="s">
        <v>1002</v>
      </c>
      <c r="L1301" s="52" t="s">
        <v>213</v>
      </c>
      <c r="M1301" s="53" t="s">
        <v>213</v>
      </c>
    </row>
    <row r="1302" spans="1:13" x14ac:dyDescent="0.3">
      <c r="A1302" s="37">
        <v>27</v>
      </c>
      <c r="B1302" s="38" t="s">
        <v>1008</v>
      </c>
      <c r="C1302" s="51">
        <v>7896261005884</v>
      </c>
      <c r="D1302" s="40" t="s">
        <v>70</v>
      </c>
      <c r="E1302" s="40"/>
      <c r="F1302" s="40">
        <v>197</v>
      </c>
      <c r="G1302" s="38"/>
      <c r="H1302" s="38" t="s">
        <v>951</v>
      </c>
      <c r="I1302" s="38" t="s">
        <v>311</v>
      </c>
      <c r="J1302" s="38" t="s">
        <v>947</v>
      </c>
      <c r="K1302" s="38" t="s">
        <v>1002</v>
      </c>
      <c r="L1302" s="52" t="s">
        <v>213</v>
      </c>
      <c r="M1302" s="53" t="s">
        <v>213</v>
      </c>
    </row>
    <row r="1303" spans="1:13" x14ac:dyDescent="0.3">
      <c r="A1303" s="37">
        <v>27</v>
      </c>
      <c r="B1303" s="38" t="s">
        <v>1007</v>
      </c>
      <c r="C1303" s="51">
        <v>7896261005884</v>
      </c>
      <c r="D1303" s="40" t="s">
        <v>70</v>
      </c>
      <c r="E1303" s="40"/>
      <c r="F1303" s="40">
        <v>198</v>
      </c>
      <c r="G1303" s="38"/>
      <c r="H1303" s="38" t="s">
        <v>952</v>
      </c>
      <c r="I1303" s="38" t="s">
        <v>311</v>
      </c>
      <c r="J1303" s="38" t="s">
        <v>947</v>
      </c>
      <c r="K1303" s="38" t="s">
        <v>1002</v>
      </c>
      <c r="L1303" s="52" t="s">
        <v>213</v>
      </c>
      <c r="M1303" s="53" t="s">
        <v>213</v>
      </c>
    </row>
    <row r="1304" spans="1:13" x14ac:dyDescent="0.3">
      <c r="A1304" s="37">
        <v>27</v>
      </c>
      <c r="B1304" s="38" t="s">
        <v>1008</v>
      </c>
      <c r="C1304" s="51">
        <v>7896261005884</v>
      </c>
      <c r="D1304" s="40" t="s">
        <v>70</v>
      </c>
      <c r="E1304" s="40"/>
      <c r="F1304" s="40">
        <v>198</v>
      </c>
      <c r="G1304" s="38"/>
      <c r="H1304" s="38" t="s">
        <v>952</v>
      </c>
      <c r="I1304" s="38" t="s">
        <v>311</v>
      </c>
      <c r="J1304" s="38" t="s">
        <v>947</v>
      </c>
      <c r="K1304" s="38" t="s">
        <v>1002</v>
      </c>
      <c r="L1304" s="52" t="s">
        <v>213</v>
      </c>
      <c r="M1304" s="53" t="s">
        <v>213</v>
      </c>
    </row>
    <row r="1305" spans="1:13" x14ac:dyDescent="0.3">
      <c r="A1305" s="37">
        <v>27</v>
      </c>
      <c r="B1305" s="38" t="s">
        <v>1007</v>
      </c>
      <c r="C1305" s="51">
        <v>7896261005884</v>
      </c>
      <c r="D1305" s="40" t="s">
        <v>70</v>
      </c>
      <c r="E1305" s="40"/>
      <c r="F1305" s="40">
        <v>199</v>
      </c>
      <c r="G1305" s="38"/>
      <c r="H1305" s="38" t="s">
        <v>953</v>
      </c>
      <c r="I1305" s="38" t="s">
        <v>311</v>
      </c>
      <c r="J1305" s="38" t="s">
        <v>947</v>
      </c>
      <c r="K1305" s="38" t="s">
        <v>1002</v>
      </c>
      <c r="L1305" s="52" t="s">
        <v>213</v>
      </c>
      <c r="M1305" s="53" t="s">
        <v>213</v>
      </c>
    </row>
    <row r="1306" spans="1:13" x14ac:dyDescent="0.3">
      <c r="A1306" s="37">
        <v>27</v>
      </c>
      <c r="B1306" s="38" t="s">
        <v>1008</v>
      </c>
      <c r="C1306" s="51">
        <v>7896261005884</v>
      </c>
      <c r="D1306" s="40" t="s">
        <v>70</v>
      </c>
      <c r="E1306" s="40"/>
      <c r="F1306" s="40">
        <v>199</v>
      </c>
      <c r="G1306" s="38"/>
      <c r="H1306" s="38" t="s">
        <v>953</v>
      </c>
      <c r="I1306" s="38" t="s">
        <v>311</v>
      </c>
      <c r="J1306" s="38" t="s">
        <v>947</v>
      </c>
      <c r="K1306" s="38" t="s">
        <v>1002</v>
      </c>
      <c r="L1306" s="52" t="s">
        <v>213</v>
      </c>
      <c r="M1306" s="53" t="s">
        <v>213</v>
      </c>
    </row>
    <row r="1307" spans="1:13" x14ac:dyDescent="0.3">
      <c r="A1307" s="37">
        <v>27</v>
      </c>
      <c r="B1307" s="38" t="s">
        <v>1007</v>
      </c>
      <c r="C1307" s="51">
        <v>7896261005884</v>
      </c>
      <c r="D1307" s="40" t="s">
        <v>70</v>
      </c>
      <c r="E1307" s="40"/>
      <c r="F1307" s="40">
        <v>200</v>
      </c>
      <c r="G1307" s="38"/>
      <c r="H1307" s="38" t="s">
        <v>954</v>
      </c>
      <c r="I1307" s="38" t="s">
        <v>311</v>
      </c>
      <c r="J1307" s="38" t="s">
        <v>947</v>
      </c>
      <c r="K1307" s="38" t="s">
        <v>1002</v>
      </c>
      <c r="L1307" s="52" t="s">
        <v>213</v>
      </c>
      <c r="M1307" s="53" t="s">
        <v>213</v>
      </c>
    </row>
    <row r="1308" spans="1:13" x14ac:dyDescent="0.3">
      <c r="A1308" s="37">
        <v>27</v>
      </c>
      <c r="B1308" s="38" t="s">
        <v>1008</v>
      </c>
      <c r="C1308" s="51">
        <v>7896261005884</v>
      </c>
      <c r="D1308" s="40" t="s">
        <v>70</v>
      </c>
      <c r="E1308" s="40"/>
      <c r="F1308" s="40">
        <v>200</v>
      </c>
      <c r="G1308" s="38"/>
      <c r="H1308" s="38" t="s">
        <v>954</v>
      </c>
      <c r="I1308" s="38" t="s">
        <v>311</v>
      </c>
      <c r="J1308" s="38" t="s">
        <v>947</v>
      </c>
      <c r="K1308" s="38" t="s">
        <v>1002</v>
      </c>
      <c r="L1308" s="52" t="s">
        <v>213</v>
      </c>
      <c r="M1308" s="53" t="s">
        <v>213</v>
      </c>
    </row>
    <row r="1309" spans="1:13" x14ac:dyDescent="0.3">
      <c r="A1309" s="37">
        <v>27</v>
      </c>
      <c r="B1309" s="38" t="s">
        <v>1007</v>
      </c>
      <c r="C1309" s="51">
        <v>7896261005884</v>
      </c>
      <c r="D1309" s="40" t="s">
        <v>70</v>
      </c>
      <c r="E1309" s="40"/>
      <c r="F1309" s="40">
        <v>215</v>
      </c>
      <c r="G1309" s="38"/>
      <c r="H1309" s="38" t="s">
        <v>955</v>
      </c>
      <c r="I1309" s="38" t="s">
        <v>311</v>
      </c>
      <c r="J1309" s="38" t="s">
        <v>947</v>
      </c>
      <c r="K1309" s="38" t="s">
        <v>1002</v>
      </c>
      <c r="L1309" s="52" t="s">
        <v>213</v>
      </c>
      <c r="M1309" s="53" t="s">
        <v>213</v>
      </c>
    </row>
    <row r="1310" spans="1:13" x14ac:dyDescent="0.3">
      <c r="A1310" s="37">
        <v>27</v>
      </c>
      <c r="B1310" s="38" t="s">
        <v>1008</v>
      </c>
      <c r="C1310" s="51">
        <v>7896261005884</v>
      </c>
      <c r="D1310" s="40" t="s">
        <v>70</v>
      </c>
      <c r="E1310" s="40"/>
      <c r="F1310" s="40">
        <v>215</v>
      </c>
      <c r="G1310" s="38"/>
      <c r="H1310" s="38" t="s">
        <v>955</v>
      </c>
      <c r="I1310" s="38" t="s">
        <v>311</v>
      </c>
      <c r="J1310" s="38" t="s">
        <v>947</v>
      </c>
      <c r="K1310" s="38" t="s">
        <v>1002</v>
      </c>
      <c r="L1310" s="52" t="s">
        <v>213</v>
      </c>
      <c r="M1310" s="53" t="s">
        <v>213</v>
      </c>
    </row>
    <row r="1311" spans="1:13" x14ac:dyDescent="0.3">
      <c r="A1311" s="37">
        <v>27</v>
      </c>
      <c r="B1311" s="38" t="s">
        <v>1007</v>
      </c>
      <c r="C1311" s="51">
        <v>7896261005884</v>
      </c>
      <c r="D1311" s="40" t="s">
        <v>70</v>
      </c>
      <c r="E1311" s="40"/>
      <c r="F1311" s="40">
        <v>217</v>
      </c>
      <c r="G1311" s="38"/>
      <c r="H1311" s="38" t="s">
        <v>956</v>
      </c>
      <c r="I1311" s="38" t="s">
        <v>311</v>
      </c>
      <c r="J1311" s="38" t="s">
        <v>947</v>
      </c>
      <c r="K1311" s="38" t="s">
        <v>1002</v>
      </c>
      <c r="L1311" s="52" t="s">
        <v>213</v>
      </c>
      <c r="M1311" s="53" t="s">
        <v>213</v>
      </c>
    </row>
    <row r="1312" spans="1:13" x14ac:dyDescent="0.3">
      <c r="A1312" s="37">
        <v>27</v>
      </c>
      <c r="B1312" s="38" t="s">
        <v>1008</v>
      </c>
      <c r="C1312" s="51">
        <v>7896261005884</v>
      </c>
      <c r="D1312" s="40" t="s">
        <v>70</v>
      </c>
      <c r="E1312" s="40"/>
      <c r="F1312" s="40">
        <v>217</v>
      </c>
      <c r="G1312" s="38"/>
      <c r="H1312" s="38" t="s">
        <v>956</v>
      </c>
      <c r="I1312" s="38" t="s">
        <v>311</v>
      </c>
      <c r="J1312" s="38" t="s">
        <v>947</v>
      </c>
      <c r="K1312" s="38" t="s">
        <v>1002</v>
      </c>
      <c r="L1312" s="52" t="s">
        <v>213</v>
      </c>
      <c r="M1312" s="53" t="s">
        <v>213</v>
      </c>
    </row>
    <row r="1313" spans="1:13" x14ac:dyDescent="0.3">
      <c r="A1313" s="37">
        <v>27</v>
      </c>
      <c r="B1313" s="38" t="s">
        <v>1007</v>
      </c>
      <c r="C1313" s="51">
        <v>7896261005884</v>
      </c>
      <c r="D1313" s="40" t="s">
        <v>70</v>
      </c>
      <c r="E1313" s="40"/>
      <c r="F1313" s="40">
        <v>219</v>
      </c>
      <c r="G1313" s="38"/>
      <c r="H1313" s="38" t="s">
        <v>957</v>
      </c>
      <c r="I1313" s="38" t="s">
        <v>311</v>
      </c>
      <c r="J1313" s="38" t="s">
        <v>947</v>
      </c>
      <c r="K1313" s="38" t="s">
        <v>1002</v>
      </c>
      <c r="L1313" s="52" t="s">
        <v>213</v>
      </c>
      <c r="M1313" s="53" t="s">
        <v>213</v>
      </c>
    </row>
    <row r="1314" spans="1:13" x14ac:dyDescent="0.3">
      <c r="A1314" s="37">
        <v>27</v>
      </c>
      <c r="B1314" s="38" t="s">
        <v>1008</v>
      </c>
      <c r="C1314" s="51">
        <v>7896261005884</v>
      </c>
      <c r="D1314" s="40" t="s">
        <v>70</v>
      </c>
      <c r="E1314" s="40"/>
      <c r="F1314" s="40">
        <v>219</v>
      </c>
      <c r="G1314" s="38"/>
      <c r="H1314" s="38" t="s">
        <v>957</v>
      </c>
      <c r="I1314" s="38" t="s">
        <v>311</v>
      </c>
      <c r="J1314" s="38" t="s">
        <v>947</v>
      </c>
      <c r="K1314" s="38" t="s">
        <v>1002</v>
      </c>
      <c r="L1314" s="52" t="s">
        <v>213</v>
      </c>
      <c r="M1314" s="53" t="s">
        <v>213</v>
      </c>
    </row>
    <row r="1315" spans="1:13" x14ac:dyDescent="0.3">
      <c r="A1315" s="37">
        <v>27</v>
      </c>
      <c r="B1315" s="38" t="s">
        <v>1007</v>
      </c>
      <c r="C1315" s="51">
        <v>7896261005884</v>
      </c>
      <c r="D1315" s="40" t="s">
        <v>70</v>
      </c>
      <c r="E1315" s="40"/>
      <c r="F1315" s="40">
        <v>228</v>
      </c>
      <c r="G1315" s="38"/>
      <c r="H1315" s="38" t="s">
        <v>958</v>
      </c>
      <c r="I1315" s="38" t="s">
        <v>311</v>
      </c>
      <c r="J1315" s="38" t="s">
        <v>947</v>
      </c>
      <c r="K1315" s="38" t="s">
        <v>1002</v>
      </c>
      <c r="L1315" s="52" t="s">
        <v>213</v>
      </c>
      <c r="M1315" s="53" t="s">
        <v>213</v>
      </c>
    </row>
    <row r="1316" spans="1:13" x14ac:dyDescent="0.3">
      <c r="A1316" s="37">
        <v>27</v>
      </c>
      <c r="B1316" s="38" t="s">
        <v>1008</v>
      </c>
      <c r="C1316" s="51">
        <v>7896261005884</v>
      </c>
      <c r="D1316" s="40" t="s">
        <v>70</v>
      </c>
      <c r="E1316" s="40"/>
      <c r="F1316" s="40">
        <v>228</v>
      </c>
      <c r="G1316" s="38"/>
      <c r="H1316" s="38" t="s">
        <v>958</v>
      </c>
      <c r="I1316" s="38" t="s">
        <v>311</v>
      </c>
      <c r="J1316" s="38" t="s">
        <v>947</v>
      </c>
      <c r="K1316" s="38" t="s">
        <v>1002</v>
      </c>
      <c r="L1316" s="52" t="s">
        <v>213</v>
      </c>
      <c r="M1316" s="53" t="s">
        <v>213</v>
      </c>
    </row>
    <row r="1317" spans="1:13" x14ac:dyDescent="0.3">
      <c r="A1317" s="37">
        <v>27</v>
      </c>
      <c r="B1317" s="38" t="s">
        <v>1007</v>
      </c>
      <c r="C1317" s="51">
        <v>7896261005884</v>
      </c>
      <c r="D1317" s="40" t="s">
        <v>70</v>
      </c>
      <c r="E1317" s="40"/>
      <c r="F1317" s="40">
        <v>229</v>
      </c>
      <c r="G1317" s="38"/>
      <c r="H1317" s="38" t="s">
        <v>959</v>
      </c>
      <c r="I1317" s="38" t="s">
        <v>311</v>
      </c>
      <c r="J1317" s="38" t="s">
        <v>947</v>
      </c>
      <c r="K1317" s="38" t="s">
        <v>1002</v>
      </c>
      <c r="L1317" s="52" t="s">
        <v>213</v>
      </c>
      <c r="M1317" s="53" t="s">
        <v>213</v>
      </c>
    </row>
    <row r="1318" spans="1:13" x14ac:dyDescent="0.3">
      <c r="A1318" s="37">
        <v>27</v>
      </c>
      <c r="B1318" s="38" t="s">
        <v>1008</v>
      </c>
      <c r="C1318" s="51">
        <v>7896261005884</v>
      </c>
      <c r="D1318" s="40" t="s">
        <v>70</v>
      </c>
      <c r="E1318" s="40"/>
      <c r="F1318" s="40">
        <v>229</v>
      </c>
      <c r="G1318" s="38"/>
      <c r="H1318" s="38" t="s">
        <v>959</v>
      </c>
      <c r="I1318" s="38" t="s">
        <v>311</v>
      </c>
      <c r="J1318" s="38" t="s">
        <v>947</v>
      </c>
      <c r="K1318" s="38" t="s">
        <v>1002</v>
      </c>
      <c r="L1318" s="52" t="s">
        <v>213</v>
      </c>
      <c r="M1318" s="53" t="s">
        <v>213</v>
      </c>
    </row>
    <row r="1319" spans="1:13" x14ac:dyDescent="0.3">
      <c r="A1319" s="37">
        <v>27</v>
      </c>
      <c r="B1319" s="38" t="s">
        <v>1007</v>
      </c>
      <c r="C1319" s="51">
        <v>7896261005884</v>
      </c>
      <c r="D1319" s="40" t="s">
        <v>70</v>
      </c>
      <c r="E1319" s="40"/>
      <c r="F1319" s="40">
        <v>247</v>
      </c>
      <c r="G1319" s="38"/>
      <c r="H1319" s="38" t="s">
        <v>979</v>
      </c>
      <c r="I1319" s="38" t="s">
        <v>424</v>
      </c>
      <c r="J1319" s="38" t="s">
        <v>947</v>
      </c>
      <c r="K1319" s="56">
        <v>0.59</v>
      </c>
      <c r="L1319" s="52" t="s">
        <v>213</v>
      </c>
      <c r="M1319" s="53" t="s">
        <v>213</v>
      </c>
    </row>
    <row r="1320" spans="1:13" x14ac:dyDescent="0.3">
      <c r="A1320" s="37">
        <v>27</v>
      </c>
      <c r="B1320" s="38" t="s">
        <v>1008</v>
      </c>
      <c r="C1320" s="51">
        <v>7896261005884</v>
      </c>
      <c r="D1320" s="40" t="s">
        <v>70</v>
      </c>
      <c r="E1320" s="40"/>
      <c r="F1320" s="40">
        <v>247</v>
      </c>
      <c r="G1320" s="38"/>
      <c r="H1320" s="38" t="s">
        <v>979</v>
      </c>
      <c r="I1320" s="38" t="s">
        <v>424</v>
      </c>
      <c r="J1320" s="38" t="s">
        <v>947</v>
      </c>
      <c r="K1320" s="56">
        <v>0.59</v>
      </c>
      <c r="L1320" s="52" t="s">
        <v>213</v>
      </c>
      <c r="M1320" s="53" t="s">
        <v>213</v>
      </c>
    </row>
    <row r="1321" spans="1:13" x14ac:dyDescent="0.3">
      <c r="A1321" s="37">
        <v>27</v>
      </c>
      <c r="B1321" s="38" t="s">
        <v>1007</v>
      </c>
      <c r="C1321" s="51">
        <v>7896261005884</v>
      </c>
      <c r="D1321" s="40" t="s">
        <v>70</v>
      </c>
      <c r="E1321" s="40"/>
      <c r="F1321" s="40">
        <v>249</v>
      </c>
      <c r="G1321" s="38"/>
      <c r="H1321" s="38" t="s">
        <v>960</v>
      </c>
      <c r="I1321" s="38" t="s">
        <v>311</v>
      </c>
      <c r="J1321" s="38" t="s">
        <v>947</v>
      </c>
      <c r="K1321" s="38" t="s">
        <v>1002</v>
      </c>
      <c r="L1321" s="52" t="s">
        <v>213</v>
      </c>
      <c r="M1321" s="53" t="s">
        <v>213</v>
      </c>
    </row>
    <row r="1322" spans="1:13" x14ac:dyDescent="0.3">
      <c r="A1322" s="37">
        <v>27</v>
      </c>
      <c r="B1322" s="38" t="s">
        <v>1008</v>
      </c>
      <c r="C1322" s="51">
        <v>7896261005884</v>
      </c>
      <c r="D1322" s="40" t="s">
        <v>70</v>
      </c>
      <c r="E1322" s="40"/>
      <c r="F1322" s="40">
        <v>249</v>
      </c>
      <c r="G1322" s="38"/>
      <c r="H1322" s="38" t="s">
        <v>960</v>
      </c>
      <c r="I1322" s="38" t="s">
        <v>311</v>
      </c>
      <c r="J1322" s="38" t="s">
        <v>947</v>
      </c>
      <c r="K1322" s="38" t="s">
        <v>1002</v>
      </c>
      <c r="L1322" s="52" t="s">
        <v>213</v>
      </c>
      <c r="M1322" s="53" t="s">
        <v>213</v>
      </c>
    </row>
    <row r="1323" spans="1:13" x14ac:dyDescent="0.3">
      <c r="A1323" s="37">
        <v>27</v>
      </c>
      <c r="B1323" s="38" t="s">
        <v>1007</v>
      </c>
      <c r="C1323" s="51">
        <v>7896261005884</v>
      </c>
      <c r="D1323" s="40" t="s">
        <v>70</v>
      </c>
      <c r="E1323" s="40"/>
      <c r="F1323" s="40">
        <v>255</v>
      </c>
      <c r="G1323" s="38"/>
      <c r="H1323" s="38" t="s">
        <v>1003</v>
      </c>
      <c r="I1323" s="38" t="s">
        <v>424</v>
      </c>
      <c r="J1323" s="38" t="s">
        <v>947</v>
      </c>
      <c r="K1323" s="56">
        <v>0.66869999999999996</v>
      </c>
      <c r="L1323" s="52" t="s">
        <v>213</v>
      </c>
      <c r="M1323" s="53" t="s">
        <v>213</v>
      </c>
    </row>
    <row r="1324" spans="1:13" x14ac:dyDescent="0.3">
      <c r="A1324" s="37">
        <v>27</v>
      </c>
      <c r="B1324" s="38" t="s">
        <v>1008</v>
      </c>
      <c r="C1324" s="51">
        <v>7896261005884</v>
      </c>
      <c r="D1324" s="40" t="s">
        <v>70</v>
      </c>
      <c r="E1324" s="40"/>
      <c r="F1324" s="40">
        <v>255</v>
      </c>
      <c r="G1324" s="38"/>
      <c r="H1324" s="38" t="s">
        <v>1003</v>
      </c>
      <c r="I1324" s="38" t="s">
        <v>424</v>
      </c>
      <c r="J1324" s="38" t="s">
        <v>947</v>
      </c>
      <c r="K1324" s="56">
        <v>0.66869999999999996</v>
      </c>
      <c r="L1324" s="52" t="s">
        <v>213</v>
      </c>
      <c r="M1324" s="53" t="s">
        <v>213</v>
      </c>
    </row>
    <row r="1325" spans="1:13" x14ac:dyDescent="0.3">
      <c r="A1325" s="37">
        <v>27</v>
      </c>
      <c r="B1325" s="38" t="s">
        <v>1007</v>
      </c>
      <c r="C1325" s="51">
        <v>7896261005884</v>
      </c>
      <c r="D1325" s="40" t="s">
        <v>70</v>
      </c>
      <c r="E1325" s="40"/>
      <c r="F1325" s="40">
        <v>262</v>
      </c>
      <c r="G1325" s="38"/>
      <c r="H1325" s="38" t="s">
        <v>961</v>
      </c>
      <c r="I1325" s="38" t="s">
        <v>424</v>
      </c>
      <c r="J1325" s="38" t="s">
        <v>947</v>
      </c>
      <c r="K1325" s="56">
        <v>0.57999999999999996</v>
      </c>
      <c r="L1325" s="52" t="s">
        <v>213</v>
      </c>
      <c r="M1325" s="53" t="s">
        <v>213</v>
      </c>
    </row>
    <row r="1326" spans="1:13" x14ac:dyDescent="0.3">
      <c r="A1326" s="37">
        <v>27</v>
      </c>
      <c r="B1326" s="38" t="s">
        <v>1008</v>
      </c>
      <c r="C1326" s="51">
        <v>7896261005884</v>
      </c>
      <c r="D1326" s="40" t="s">
        <v>70</v>
      </c>
      <c r="E1326" s="40"/>
      <c r="F1326" s="40">
        <v>262</v>
      </c>
      <c r="G1326" s="38"/>
      <c r="H1326" s="38" t="s">
        <v>961</v>
      </c>
      <c r="I1326" s="38" t="s">
        <v>424</v>
      </c>
      <c r="J1326" s="38" t="s">
        <v>947</v>
      </c>
      <c r="K1326" s="56">
        <v>0.57999999999999996</v>
      </c>
      <c r="L1326" s="52" t="s">
        <v>213</v>
      </c>
      <c r="M1326" s="53" t="s">
        <v>213</v>
      </c>
    </row>
    <row r="1327" spans="1:13" x14ac:dyDescent="0.3">
      <c r="A1327" s="37">
        <v>27</v>
      </c>
      <c r="B1327" s="38" t="s">
        <v>1007</v>
      </c>
      <c r="C1327" s="51">
        <v>7896261005884</v>
      </c>
      <c r="D1327" s="40" t="s">
        <v>70</v>
      </c>
      <c r="E1327" s="40"/>
      <c r="F1327" s="40">
        <v>266</v>
      </c>
      <c r="G1327" s="38"/>
      <c r="H1327" s="38" t="s">
        <v>1009</v>
      </c>
      <c r="I1327" s="38" t="s">
        <v>424</v>
      </c>
      <c r="J1327" s="38" t="s">
        <v>947</v>
      </c>
      <c r="K1327" s="56">
        <v>0.48699999999999999</v>
      </c>
      <c r="L1327" s="52" t="s">
        <v>213</v>
      </c>
      <c r="M1327" s="53" t="s">
        <v>213</v>
      </c>
    </row>
    <row r="1328" spans="1:13" x14ac:dyDescent="0.3">
      <c r="A1328" s="37">
        <v>27</v>
      </c>
      <c r="B1328" s="38" t="s">
        <v>1008</v>
      </c>
      <c r="C1328" s="51">
        <v>7896261005884</v>
      </c>
      <c r="D1328" s="40" t="s">
        <v>70</v>
      </c>
      <c r="E1328" s="40"/>
      <c r="F1328" s="40">
        <v>266</v>
      </c>
      <c r="G1328" s="38"/>
      <c r="H1328" s="38" t="s">
        <v>1009</v>
      </c>
      <c r="I1328" s="38" t="s">
        <v>424</v>
      </c>
      <c r="J1328" s="38" t="s">
        <v>947</v>
      </c>
      <c r="K1328" s="56">
        <v>0.48699999999999999</v>
      </c>
      <c r="L1328" s="52" t="s">
        <v>213</v>
      </c>
      <c r="M1328" s="53" t="s">
        <v>213</v>
      </c>
    </row>
    <row r="1329" spans="1:13" x14ac:dyDescent="0.3">
      <c r="A1329" s="37">
        <v>27</v>
      </c>
      <c r="B1329" s="38" t="s">
        <v>1007</v>
      </c>
      <c r="C1329" s="51">
        <v>7896261005884</v>
      </c>
      <c r="D1329" s="40" t="s">
        <v>70</v>
      </c>
      <c r="E1329" s="40"/>
      <c r="F1329" s="40">
        <v>270</v>
      </c>
      <c r="G1329" s="38"/>
      <c r="H1329" s="38" t="s">
        <v>1010</v>
      </c>
      <c r="I1329" s="38" t="s">
        <v>311</v>
      </c>
      <c r="J1329" s="38">
        <v>0</v>
      </c>
      <c r="K1329" s="38" t="s">
        <v>1011</v>
      </c>
      <c r="L1329" s="52" t="s">
        <v>213</v>
      </c>
      <c r="M1329" s="53" t="s">
        <v>213</v>
      </c>
    </row>
    <row r="1330" spans="1:13" x14ac:dyDescent="0.3">
      <c r="A1330" s="37">
        <v>27</v>
      </c>
      <c r="B1330" s="38" t="s">
        <v>1008</v>
      </c>
      <c r="C1330" s="51">
        <v>7896261005884</v>
      </c>
      <c r="D1330" s="40" t="s">
        <v>70</v>
      </c>
      <c r="E1330" s="40"/>
      <c r="F1330" s="40">
        <v>270</v>
      </c>
      <c r="G1330" s="38"/>
      <c r="H1330" s="38" t="s">
        <v>1010</v>
      </c>
      <c r="I1330" s="38" t="s">
        <v>311</v>
      </c>
      <c r="J1330" s="38">
        <v>0</v>
      </c>
      <c r="K1330" s="38" t="s">
        <v>1011</v>
      </c>
      <c r="L1330" s="52" t="s">
        <v>213</v>
      </c>
      <c r="M1330" s="53" t="s">
        <v>213</v>
      </c>
    </row>
    <row r="1331" spans="1:13" x14ac:dyDescent="0.3">
      <c r="A1331" s="37">
        <v>27</v>
      </c>
      <c r="B1331" s="38" t="s">
        <v>1007</v>
      </c>
      <c r="C1331" s="51">
        <v>7896261005884</v>
      </c>
      <c r="D1331" s="40" t="s">
        <v>70</v>
      </c>
      <c r="E1331" s="40"/>
      <c r="F1331" s="40">
        <v>301</v>
      </c>
      <c r="G1331" s="38"/>
      <c r="H1331" s="38" t="s">
        <v>963</v>
      </c>
      <c r="I1331" s="38" t="s">
        <v>311</v>
      </c>
      <c r="J1331" s="38" t="s">
        <v>947</v>
      </c>
      <c r="K1331" s="38" t="s">
        <v>1002</v>
      </c>
      <c r="L1331" s="52" t="s">
        <v>213</v>
      </c>
      <c r="M1331" s="53" t="s">
        <v>213</v>
      </c>
    </row>
    <row r="1332" spans="1:13" x14ac:dyDescent="0.3">
      <c r="A1332" s="37">
        <v>27</v>
      </c>
      <c r="B1332" s="38" t="s">
        <v>1008</v>
      </c>
      <c r="C1332" s="51">
        <v>7896261005884</v>
      </c>
      <c r="D1332" s="40" t="s">
        <v>70</v>
      </c>
      <c r="E1332" s="40"/>
      <c r="F1332" s="40">
        <v>301</v>
      </c>
      <c r="G1332" s="38"/>
      <c r="H1332" s="38" t="s">
        <v>963</v>
      </c>
      <c r="I1332" s="38" t="s">
        <v>311</v>
      </c>
      <c r="J1332" s="38" t="s">
        <v>947</v>
      </c>
      <c r="K1332" s="38" t="s">
        <v>1002</v>
      </c>
      <c r="L1332" s="52" t="s">
        <v>213</v>
      </c>
      <c r="M1332" s="53" t="s">
        <v>213</v>
      </c>
    </row>
    <row r="1333" spans="1:13" x14ac:dyDescent="0.3">
      <c r="A1333" s="37">
        <v>27</v>
      </c>
      <c r="B1333" s="38" t="s">
        <v>1012</v>
      </c>
      <c r="C1333" s="51">
        <v>7896261006850</v>
      </c>
      <c r="D1333" s="40" t="s">
        <v>70</v>
      </c>
      <c r="E1333" s="40"/>
      <c r="F1333" s="40">
        <v>233</v>
      </c>
      <c r="G1333" s="38"/>
      <c r="H1333" s="38" t="s">
        <v>1013</v>
      </c>
      <c r="I1333" s="38" t="s">
        <v>424</v>
      </c>
      <c r="J1333" s="38" t="s">
        <v>1014</v>
      </c>
      <c r="K1333" s="56">
        <v>0.21</v>
      </c>
      <c r="L1333" s="52" t="s">
        <v>213</v>
      </c>
      <c r="M1333" s="53" t="s">
        <v>213</v>
      </c>
    </row>
    <row r="1334" spans="1:13" x14ac:dyDescent="0.3">
      <c r="A1334" s="37">
        <v>27</v>
      </c>
      <c r="B1334" s="38" t="s">
        <v>1012</v>
      </c>
      <c r="C1334" s="51">
        <v>7896261006850</v>
      </c>
      <c r="D1334" s="40" t="s">
        <v>70</v>
      </c>
      <c r="E1334" s="40"/>
      <c r="F1334" s="40">
        <v>234</v>
      </c>
      <c r="G1334" s="38"/>
      <c r="H1334" s="38" t="s">
        <v>1015</v>
      </c>
      <c r="I1334" s="38" t="s">
        <v>424</v>
      </c>
      <c r="J1334" s="38" t="s">
        <v>1014</v>
      </c>
      <c r="K1334" s="56">
        <v>0.21</v>
      </c>
      <c r="L1334" s="52" t="s">
        <v>213</v>
      </c>
      <c r="M1334" s="53" t="s">
        <v>213</v>
      </c>
    </row>
    <row r="1335" spans="1:13" x14ac:dyDescent="0.3">
      <c r="A1335" s="37">
        <v>27</v>
      </c>
      <c r="B1335" s="38" t="s">
        <v>1012</v>
      </c>
      <c r="C1335" s="51">
        <v>7896261006850</v>
      </c>
      <c r="D1335" s="40" t="s">
        <v>70</v>
      </c>
      <c r="E1335" s="40"/>
      <c r="F1335" s="40">
        <v>280</v>
      </c>
      <c r="G1335" s="38"/>
      <c r="H1335" s="38" t="s">
        <v>1016</v>
      </c>
      <c r="I1335" s="38" t="s">
        <v>424</v>
      </c>
      <c r="J1335" s="38" t="s">
        <v>1014</v>
      </c>
      <c r="K1335" s="56">
        <v>0.21</v>
      </c>
      <c r="L1335" s="52" t="s">
        <v>213</v>
      </c>
      <c r="M1335" s="53" t="s">
        <v>213</v>
      </c>
    </row>
    <row r="1336" spans="1:13" x14ac:dyDescent="0.3">
      <c r="A1336" s="37">
        <v>27</v>
      </c>
      <c r="B1336" s="38" t="s">
        <v>1017</v>
      </c>
      <c r="C1336" s="51">
        <v>7896261006867</v>
      </c>
      <c r="D1336" s="40" t="s">
        <v>70</v>
      </c>
      <c r="E1336" s="40"/>
      <c r="F1336" s="40">
        <v>233</v>
      </c>
      <c r="G1336" s="38"/>
      <c r="H1336" s="38" t="s">
        <v>1013</v>
      </c>
      <c r="I1336" s="38" t="s">
        <v>424</v>
      </c>
      <c r="J1336" s="38" t="s">
        <v>1014</v>
      </c>
      <c r="K1336" s="56">
        <v>0.25</v>
      </c>
      <c r="L1336" s="52" t="s">
        <v>213</v>
      </c>
      <c r="M1336" s="53" t="s">
        <v>213</v>
      </c>
    </row>
    <row r="1337" spans="1:13" x14ac:dyDescent="0.3">
      <c r="A1337" s="37">
        <v>27</v>
      </c>
      <c r="B1337" s="38" t="s">
        <v>1017</v>
      </c>
      <c r="C1337" s="51">
        <v>7896261006867</v>
      </c>
      <c r="D1337" s="40" t="s">
        <v>70</v>
      </c>
      <c r="E1337" s="40"/>
      <c r="F1337" s="40">
        <v>280</v>
      </c>
      <c r="G1337" s="38"/>
      <c r="H1337" s="38" t="s">
        <v>1016</v>
      </c>
      <c r="I1337" s="38" t="s">
        <v>424</v>
      </c>
      <c r="J1337" s="38" t="s">
        <v>1014</v>
      </c>
      <c r="K1337" s="56">
        <v>0.25</v>
      </c>
      <c r="L1337" s="52" t="s">
        <v>213</v>
      </c>
      <c r="M1337" s="53" t="s">
        <v>213</v>
      </c>
    </row>
    <row r="1338" spans="1:13" x14ac:dyDescent="0.3">
      <c r="A1338" s="37">
        <v>27</v>
      </c>
      <c r="B1338" s="38" t="s">
        <v>1017</v>
      </c>
      <c r="C1338" s="51">
        <v>7896261006867</v>
      </c>
      <c r="D1338" s="40" t="s">
        <v>70</v>
      </c>
      <c r="E1338" s="40"/>
      <c r="F1338" s="40">
        <v>409</v>
      </c>
      <c r="G1338" s="38"/>
      <c r="H1338" s="38" t="s">
        <v>1018</v>
      </c>
      <c r="I1338" s="38" t="s">
        <v>424</v>
      </c>
      <c r="J1338" s="38" t="s">
        <v>1014</v>
      </c>
      <c r="K1338" s="56">
        <v>0.45</v>
      </c>
      <c r="L1338" s="52" t="s">
        <v>213</v>
      </c>
      <c r="M1338" s="53" t="s">
        <v>213</v>
      </c>
    </row>
    <row r="1339" spans="1:13" x14ac:dyDescent="0.3">
      <c r="A1339" s="37">
        <v>27</v>
      </c>
      <c r="B1339" s="38" t="s">
        <v>1019</v>
      </c>
      <c r="C1339" s="51">
        <v>7896261006874</v>
      </c>
      <c r="D1339" s="40" t="s">
        <v>70</v>
      </c>
      <c r="E1339" s="40"/>
      <c r="F1339" s="40">
        <v>233</v>
      </c>
      <c r="G1339" s="38"/>
      <c r="H1339" s="38" t="s">
        <v>1013</v>
      </c>
      <c r="I1339" s="38" t="s">
        <v>424</v>
      </c>
      <c r="J1339" s="38" t="s">
        <v>1014</v>
      </c>
      <c r="K1339" s="56">
        <v>0.28499999999999998</v>
      </c>
      <c r="L1339" s="52" t="s">
        <v>213</v>
      </c>
      <c r="M1339" s="53" t="s">
        <v>213</v>
      </c>
    </row>
    <row r="1340" spans="1:13" x14ac:dyDescent="0.3">
      <c r="A1340" s="37">
        <v>27</v>
      </c>
      <c r="B1340" s="38" t="s">
        <v>1019</v>
      </c>
      <c r="C1340" s="51">
        <v>7896261006874</v>
      </c>
      <c r="D1340" s="40" t="s">
        <v>70</v>
      </c>
      <c r="E1340" s="40"/>
      <c r="F1340" s="40">
        <v>234</v>
      </c>
      <c r="G1340" s="38"/>
      <c r="H1340" s="38" t="s">
        <v>1015</v>
      </c>
      <c r="I1340" s="38" t="s">
        <v>424</v>
      </c>
      <c r="J1340" s="38" t="s">
        <v>1014</v>
      </c>
      <c r="K1340" s="56">
        <v>0.28499999999999998</v>
      </c>
      <c r="L1340" s="52" t="s">
        <v>213</v>
      </c>
      <c r="M1340" s="53" t="s">
        <v>213</v>
      </c>
    </row>
    <row r="1341" spans="1:13" x14ac:dyDescent="0.3">
      <c r="A1341" s="37">
        <v>27</v>
      </c>
      <c r="B1341" s="38" t="s">
        <v>1019</v>
      </c>
      <c r="C1341" s="51">
        <v>7896261006874</v>
      </c>
      <c r="D1341" s="40" t="s">
        <v>70</v>
      </c>
      <c r="E1341" s="40"/>
      <c r="F1341" s="40">
        <v>280</v>
      </c>
      <c r="G1341" s="38"/>
      <c r="H1341" s="38" t="s">
        <v>1016</v>
      </c>
      <c r="I1341" s="38" t="s">
        <v>424</v>
      </c>
      <c r="J1341" s="38" t="s">
        <v>1014</v>
      </c>
      <c r="K1341" s="56">
        <v>0.28499999999999998</v>
      </c>
      <c r="L1341" s="52" t="s">
        <v>213</v>
      </c>
      <c r="M1341" s="53" t="s">
        <v>213</v>
      </c>
    </row>
    <row r="1342" spans="1:13" x14ac:dyDescent="0.3">
      <c r="A1342" s="37">
        <v>27</v>
      </c>
      <c r="B1342" s="38" t="s">
        <v>1019</v>
      </c>
      <c r="C1342" s="51">
        <v>7896261006874</v>
      </c>
      <c r="D1342" s="40" t="s">
        <v>70</v>
      </c>
      <c r="E1342" s="40"/>
      <c r="F1342" s="40">
        <v>327</v>
      </c>
      <c r="G1342" s="38"/>
      <c r="H1342" s="38" t="s">
        <v>1020</v>
      </c>
      <c r="I1342" s="38" t="s">
        <v>311</v>
      </c>
      <c r="J1342" s="38" t="s">
        <v>1014</v>
      </c>
      <c r="K1342" s="38" t="s">
        <v>1021</v>
      </c>
      <c r="L1342" s="52" t="s">
        <v>213</v>
      </c>
      <c r="M1342" s="53" t="s">
        <v>213</v>
      </c>
    </row>
    <row r="1343" spans="1:13" x14ac:dyDescent="0.3">
      <c r="A1343" s="37">
        <v>27</v>
      </c>
      <c r="B1343" s="38" t="s">
        <v>1022</v>
      </c>
      <c r="C1343" s="51">
        <v>7896261006898</v>
      </c>
      <c r="D1343" s="40" t="s">
        <v>70</v>
      </c>
      <c r="E1343" s="40"/>
      <c r="F1343" s="40">
        <v>210</v>
      </c>
      <c r="G1343" s="38"/>
      <c r="H1343" s="38" t="s">
        <v>936</v>
      </c>
      <c r="I1343" s="38" t="s">
        <v>311</v>
      </c>
      <c r="J1343" s="38" t="s">
        <v>937</v>
      </c>
      <c r="K1343" s="38" t="s">
        <v>990</v>
      </c>
      <c r="L1343" s="52" t="s">
        <v>213</v>
      </c>
      <c r="M1343" s="53" t="s">
        <v>213</v>
      </c>
    </row>
    <row r="1344" spans="1:13" x14ac:dyDescent="0.3">
      <c r="A1344" s="37">
        <v>27</v>
      </c>
      <c r="B1344" s="38" t="s">
        <v>1022</v>
      </c>
      <c r="C1344" s="51">
        <v>7896261006898</v>
      </c>
      <c r="D1344" s="40" t="s">
        <v>70</v>
      </c>
      <c r="E1344" s="40"/>
      <c r="F1344" s="40">
        <v>407</v>
      </c>
      <c r="G1344" s="38"/>
      <c r="H1344" s="38" t="s">
        <v>991</v>
      </c>
      <c r="I1344" s="38" t="s">
        <v>424</v>
      </c>
      <c r="J1344" s="38" t="s">
        <v>937</v>
      </c>
      <c r="K1344" s="56">
        <v>0.55000000000000004</v>
      </c>
      <c r="L1344" s="52" t="s">
        <v>213</v>
      </c>
      <c r="M1344" s="53" t="s">
        <v>213</v>
      </c>
    </row>
    <row r="1345" spans="1:13" x14ac:dyDescent="0.3">
      <c r="A1345" s="37">
        <v>27</v>
      </c>
      <c r="B1345" s="38" t="s">
        <v>1023</v>
      </c>
      <c r="C1345" s="51">
        <v>7896261007703</v>
      </c>
      <c r="D1345" s="40" t="s">
        <v>70</v>
      </c>
      <c r="E1345" s="40"/>
      <c r="F1345" s="40">
        <v>96</v>
      </c>
      <c r="G1345" s="38"/>
      <c r="H1345" s="38" t="s">
        <v>968</v>
      </c>
      <c r="I1345" s="38" t="s">
        <v>424</v>
      </c>
      <c r="J1345" s="38">
        <v>0</v>
      </c>
      <c r="K1345" s="56">
        <v>0.3</v>
      </c>
      <c r="L1345" s="52" t="s">
        <v>213</v>
      </c>
      <c r="M1345" s="53" t="s">
        <v>213</v>
      </c>
    </row>
    <row r="1346" spans="1:13" x14ac:dyDescent="0.3">
      <c r="A1346" s="37">
        <v>27</v>
      </c>
      <c r="B1346" s="38" t="s">
        <v>1024</v>
      </c>
      <c r="C1346" s="51">
        <v>7896261007758</v>
      </c>
      <c r="D1346" s="40" t="s">
        <v>70</v>
      </c>
      <c r="E1346" s="40"/>
      <c r="F1346" s="40">
        <v>181</v>
      </c>
      <c r="G1346" s="38"/>
      <c r="H1346" s="38" t="s">
        <v>970</v>
      </c>
      <c r="I1346" s="38" t="s">
        <v>311</v>
      </c>
      <c r="J1346" s="38" t="s">
        <v>966</v>
      </c>
      <c r="K1346" s="38" t="s">
        <v>1025</v>
      </c>
      <c r="L1346" s="52" t="s">
        <v>213</v>
      </c>
      <c r="M1346" s="53" t="s">
        <v>213</v>
      </c>
    </row>
    <row r="1347" spans="1:13" x14ac:dyDescent="0.3">
      <c r="A1347" s="37">
        <v>27</v>
      </c>
      <c r="B1347" s="38" t="s">
        <v>1024</v>
      </c>
      <c r="C1347" s="51">
        <v>7896261007758</v>
      </c>
      <c r="D1347" s="40" t="s">
        <v>70</v>
      </c>
      <c r="E1347" s="40"/>
      <c r="F1347" s="40">
        <v>195</v>
      </c>
      <c r="G1347" s="38"/>
      <c r="H1347" s="38" t="s">
        <v>971</v>
      </c>
      <c r="I1347" s="38" t="s">
        <v>311</v>
      </c>
      <c r="J1347" s="38" t="s">
        <v>947</v>
      </c>
      <c r="K1347" s="38" t="s">
        <v>1026</v>
      </c>
      <c r="L1347" s="52" t="s">
        <v>213</v>
      </c>
      <c r="M1347" s="53" t="s">
        <v>213</v>
      </c>
    </row>
    <row r="1348" spans="1:13" x14ac:dyDescent="0.3">
      <c r="A1348" s="37">
        <v>27</v>
      </c>
      <c r="B1348" s="38" t="s">
        <v>1024</v>
      </c>
      <c r="C1348" s="51">
        <v>7896261007758</v>
      </c>
      <c r="D1348" s="40" t="s">
        <v>70</v>
      </c>
      <c r="E1348" s="40"/>
      <c r="F1348" s="40">
        <v>226</v>
      </c>
      <c r="G1348" s="38"/>
      <c r="H1348" s="38" t="s">
        <v>972</v>
      </c>
      <c r="I1348" s="38" t="s">
        <v>311</v>
      </c>
      <c r="J1348" s="38" t="s">
        <v>947</v>
      </c>
      <c r="K1348" s="38" t="s">
        <v>1027</v>
      </c>
      <c r="L1348" s="52" t="s">
        <v>213</v>
      </c>
      <c r="M1348" s="53" t="s">
        <v>213</v>
      </c>
    </row>
    <row r="1349" spans="1:13" x14ac:dyDescent="0.3">
      <c r="A1349" s="37">
        <v>27</v>
      </c>
      <c r="B1349" s="38" t="s">
        <v>1024</v>
      </c>
      <c r="C1349" s="51">
        <v>7896261007758</v>
      </c>
      <c r="D1349" s="40" t="s">
        <v>70</v>
      </c>
      <c r="E1349" s="40"/>
      <c r="F1349" s="40">
        <v>238</v>
      </c>
      <c r="G1349" s="38"/>
      <c r="H1349" s="38" t="s">
        <v>973</v>
      </c>
      <c r="I1349" s="38" t="s">
        <v>311</v>
      </c>
      <c r="J1349" s="38" t="s">
        <v>947</v>
      </c>
      <c r="K1349" s="38" t="s">
        <v>1027</v>
      </c>
      <c r="L1349" s="52" t="s">
        <v>213</v>
      </c>
      <c r="M1349" s="53" t="s">
        <v>213</v>
      </c>
    </row>
    <row r="1350" spans="1:13" x14ac:dyDescent="0.3">
      <c r="A1350" s="37">
        <v>27</v>
      </c>
      <c r="B1350" s="38" t="s">
        <v>1024</v>
      </c>
      <c r="C1350" s="51">
        <v>7896261007758</v>
      </c>
      <c r="D1350" s="40" t="s">
        <v>70</v>
      </c>
      <c r="E1350" s="40"/>
      <c r="F1350" s="40">
        <v>277</v>
      </c>
      <c r="G1350" s="38"/>
      <c r="H1350" s="38" t="s">
        <v>1028</v>
      </c>
      <c r="I1350" s="38" t="s">
        <v>311</v>
      </c>
      <c r="J1350" s="38" t="s">
        <v>947</v>
      </c>
      <c r="K1350" s="38" t="s">
        <v>1029</v>
      </c>
      <c r="L1350" s="52" t="s">
        <v>213</v>
      </c>
      <c r="M1350" s="53" t="s">
        <v>213</v>
      </c>
    </row>
    <row r="1351" spans="1:13" x14ac:dyDescent="0.3">
      <c r="A1351" s="37">
        <v>27</v>
      </c>
      <c r="B1351" s="38" t="s">
        <v>1024</v>
      </c>
      <c r="C1351" s="51">
        <v>7896261007758</v>
      </c>
      <c r="D1351" s="40" t="s">
        <v>70</v>
      </c>
      <c r="E1351" s="40"/>
      <c r="F1351" s="40">
        <v>298</v>
      </c>
      <c r="G1351" s="38"/>
      <c r="H1351" s="38" t="s">
        <v>974</v>
      </c>
      <c r="I1351" s="38" t="s">
        <v>311</v>
      </c>
      <c r="J1351" s="38" t="s">
        <v>947</v>
      </c>
      <c r="K1351" s="38" t="s">
        <v>1029</v>
      </c>
      <c r="L1351" s="52" t="s">
        <v>213</v>
      </c>
      <c r="M1351" s="53" t="s">
        <v>213</v>
      </c>
    </row>
    <row r="1352" spans="1:13" x14ac:dyDescent="0.3">
      <c r="A1352" s="37">
        <v>27</v>
      </c>
      <c r="B1352" s="38" t="s">
        <v>1024</v>
      </c>
      <c r="C1352" s="51">
        <v>7896261007758</v>
      </c>
      <c r="D1352" s="40" t="s">
        <v>70</v>
      </c>
      <c r="E1352" s="40"/>
      <c r="F1352" s="40">
        <v>317</v>
      </c>
      <c r="G1352" s="38"/>
      <c r="H1352" s="38" t="s">
        <v>975</v>
      </c>
      <c r="I1352" s="38" t="s">
        <v>311</v>
      </c>
      <c r="J1352" s="38" t="s">
        <v>947</v>
      </c>
      <c r="K1352" s="38" t="s">
        <v>1029</v>
      </c>
      <c r="L1352" s="52" t="s">
        <v>213</v>
      </c>
      <c r="M1352" s="53" t="s">
        <v>213</v>
      </c>
    </row>
    <row r="1353" spans="1:13" x14ac:dyDescent="0.3">
      <c r="A1353" s="37">
        <v>27</v>
      </c>
      <c r="B1353" s="38" t="s">
        <v>1030</v>
      </c>
      <c r="C1353" s="51">
        <v>7896261007765</v>
      </c>
      <c r="D1353" s="40" t="s">
        <v>70</v>
      </c>
      <c r="E1353" s="40"/>
      <c r="F1353" s="40">
        <v>181</v>
      </c>
      <c r="G1353" s="38"/>
      <c r="H1353" s="38" t="s">
        <v>970</v>
      </c>
      <c r="I1353" s="38" t="s">
        <v>424</v>
      </c>
      <c r="J1353" s="38" t="s">
        <v>966</v>
      </c>
      <c r="K1353" s="56">
        <v>0.39700000000000002</v>
      </c>
      <c r="L1353" s="52" t="s">
        <v>213</v>
      </c>
      <c r="M1353" s="53" t="s">
        <v>213</v>
      </c>
    </row>
    <row r="1354" spans="1:13" x14ac:dyDescent="0.3">
      <c r="A1354" s="37">
        <v>27</v>
      </c>
      <c r="B1354" s="38" t="s">
        <v>1031</v>
      </c>
      <c r="C1354" s="51">
        <v>7896261007772</v>
      </c>
      <c r="D1354" s="40" t="s">
        <v>70</v>
      </c>
      <c r="E1354" s="40"/>
      <c r="F1354" s="40">
        <v>181</v>
      </c>
      <c r="G1354" s="38"/>
      <c r="H1354" s="38" t="s">
        <v>970</v>
      </c>
      <c r="I1354" s="38" t="s">
        <v>311</v>
      </c>
      <c r="J1354" s="38" t="s">
        <v>966</v>
      </c>
      <c r="K1354" s="38" t="s">
        <v>1025</v>
      </c>
      <c r="L1354" s="52" t="s">
        <v>213</v>
      </c>
      <c r="M1354" s="53" t="s">
        <v>213</v>
      </c>
    </row>
    <row r="1355" spans="1:13" x14ac:dyDescent="0.3">
      <c r="A1355" s="37">
        <v>27</v>
      </c>
      <c r="B1355" s="38" t="s">
        <v>1031</v>
      </c>
      <c r="C1355" s="51">
        <v>7896261007772</v>
      </c>
      <c r="D1355" s="40" t="s">
        <v>70</v>
      </c>
      <c r="E1355" s="40"/>
      <c r="F1355" s="40">
        <v>195</v>
      </c>
      <c r="G1355" s="38"/>
      <c r="H1355" s="38" t="s">
        <v>971</v>
      </c>
      <c r="I1355" s="38" t="s">
        <v>311</v>
      </c>
      <c r="J1355" s="38" t="s">
        <v>947</v>
      </c>
      <c r="K1355" s="38" t="s">
        <v>1026</v>
      </c>
      <c r="L1355" s="52" t="s">
        <v>213</v>
      </c>
      <c r="M1355" s="53" t="s">
        <v>213</v>
      </c>
    </row>
    <row r="1356" spans="1:13" x14ac:dyDescent="0.3">
      <c r="A1356" s="37">
        <v>27</v>
      </c>
      <c r="B1356" s="38" t="s">
        <v>1031</v>
      </c>
      <c r="C1356" s="51">
        <v>7896261007772</v>
      </c>
      <c r="D1356" s="40" t="s">
        <v>70</v>
      </c>
      <c r="E1356" s="40"/>
      <c r="F1356" s="40">
        <v>226</v>
      </c>
      <c r="G1356" s="38"/>
      <c r="H1356" s="38" t="s">
        <v>972</v>
      </c>
      <c r="I1356" s="38" t="s">
        <v>311</v>
      </c>
      <c r="J1356" s="38" t="s">
        <v>947</v>
      </c>
      <c r="K1356" s="38" t="s">
        <v>1027</v>
      </c>
      <c r="L1356" s="52" t="s">
        <v>213</v>
      </c>
      <c r="M1356" s="53" t="s">
        <v>213</v>
      </c>
    </row>
    <row r="1357" spans="1:13" x14ac:dyDescent="0.3">
      <c r="A1357" s="37">
        <v>27</v>
      </c>
      <c r="B1357" s="38" t="s">
        <v>1031</v>
      </c>
      <c r="C1357" s="51">
        <v>7896261007772</v>
      </c>
      <c r="D1357" s="40" t="s">
        <v>70</v>
      </c>
      <c r="E1357" s="40"/>
      <c r="F1357" s="40">
        <v>238</v>
      </c>
      <c r="G1357" s="38"/>
      <c r="H1357" s="38" t="s">
        <v>973</v>
      </c>
      <c r="I1357" s="38" t="s">
        <v>311</v>
      </c>
      <c r="J1357" s="38" t="s">
        <v>947</v>
      </c>
      <c r="K1357" s="38" t="s">
        <v>1027</v>
      </c>
      <c r="L1357" s="52" t="s">
        <v>213</v>
      </c>
      <c r="M1357" s="53" t="s">
        <v>213</v>
      </c>
    </row>
    <row r="1358" spans="1:13" x14ac:dyDescent="0.3">
      <c r="A1358" s="37">
        <v>27</v>
      </c>
      <c r="B1358" s="38" t="s">
        <v>1031</v>
      </c>
      <c r="C1358" s="51">
        <v>7896261007772</v>
      </c>
      <c r="D1358" s="40" t="s">
        <v>70</v>
      </c>
      <c r="E1358" s="40"/>
      <c r="F1358" s="40">
        <v>277</v>
      </c>
      <c r="G1358" s="38"/>
      <c r="H1358" s="38" t="s">
        <v>1028</v>
      </c>
      <c r="I1358" s="38" t="s">
        <v>311</v>
      </c>
      <c r="J1358" s="38" t="s">
        <v>947</v>
      </c>
      <c r="K1358" s="38" t="s">
        <v>1029</v>
      </c>
      <c r="L1358" s="52" t="s">
        <v>213</v>
      </c>
      <c r="M1358" s="53" t="s">
        <v>213</v>
      </c>
    </row>
    <row r="1359" spans="1:13" x14ac:dyDescent="0.3">
      <c r="A1359" s="37">
        <v>27</v>
      </c>
      <c r="B1359" s="38" t="s">
        <v>1031</v>
      </c>
      <c r="C1359" s="51">
        <v>7896261007772</v>
      </c>
      <c r="D1359" s="40" t="s">
        <v>70</v>
      </c>
      <c r="E1359" s="40"/>
      <c r="F1359" s="40">
        <v>298</v>
      </c>
      <c r="G1359" s="38"/>
      <c r="H1359" s="38" t="s">
        <v>974</v>
      </c>
      <c r="I1359" s="38" t="s">
        <v>311</v>
      </c>
      <c r="J1359" s="38" t="s">
        <v>947</v>
      </c>
      <c r="K1359" s="38" t="s">
        <v>1029</v>
      </c>
      <c r="L1359" s="52" t="s">
        <v>213</v>
      </c>
      <c r="M1359" s="53" t="s">
        <v>213</v>
      </c>
    </row>
    <row r="1360" spans="1:13" x14ac:dyDescent="0.3">
      <c r="A1360" s="37">
        <v>27</v>
      </c>
      <c r="B1360" s="38" t="s">
        <v>1031</v>
      </c>
      <c r="C1360" s="51">
        <v>7896261007772</v>
      </c>
      <c r="D1360" s="40" t="s">
        <v>70</v>
      </c>
      <c r="E1360" s="40"/>
      <c r="F1360" s="40">
        <v>317</v>
      </c>
      <c r="G1360" s="38"/>
      <c r="H1360" s="38" t="s">
        <v>975</v>
      </c>
      <c r="I1360" s="38" t="s">
        <v>311</v>
      </c>
      <c r="J1360" s="38" t="s">
        <v>947</v>
      </c>
      <c r="K1360" s="38" t="s">
        <v>1029</v>
      </c>
      <c r="L1360" s="52" t="s">
        <v>213</v>
      </c>
      <c r="M1360" s="53" t="s">
        <v>213</v>
      </c>
    </row>
    <row r="1361" spans="1:13" x14ac:dyDescent="0.3">
      <c r="A1361" s="37">
        <v>27</v>
      </c>
      <c r="B1361" s="38" t="s">
        <v>1032</v>
      </c>
      <c r="C1361" s="51">
        <v>7896261007789</v>
      </c>
      <c r="D1361" s="40" t="s">
        <v>70</v>
      </c>
      <c r="E1361" s="40"/>
      <c r="F1361" s="40">
        <v>181</v>
      </c>
      <c r="G1361" s="38"/>
      <c r="H1361" s="38" t="s">
        <v>970</v>
      </c>
      <c r="I1361" s="38" t="s">
        <v>311</v>
      </c>
      <c r="J1361" s="38" t="s">
        <v>966</v>
      </c>
      <c r="K1361" s="38" t="s">
        <v>1025</v>
      </c>
      <c r="L1361" s="52" t="s">
        <v>213</v>
      </c>
      <c r="M1361" s="53" t="s">
        <v>213</v>
      </c>
    </row>
    <row r="1362" spans="1:13" x14ac:dyDescent="0.3">
      <c r="A1362" s="37">
        <v>27</v>
      </c>
      <c r="B1362" s="38" t="s">
        <v>1032</v>
      </c>
      <c r="C1362" s="51">
        <v>7896261007789</v>
      </c>
      <c r="D1362" s="40" t="s">
        <v>70</v>
      </c>
      <c r="E1362" s="40"/>
      <c r="F1362" s="40">
        <v>195</v>
      </c>
      <c r="G1362" s="38"/>
      <c r="H1362" s="38" t="s">
        <v>971</v>
      </c>
      <c r="I1362" s="38" t="s">
        <v>311</v>
      </c>
      <c r="J1362" s="38" t="s">
        <v>947</v>
      </c>
      <c r="K1362" s="38" t="s">
        <v>1026</v>
      </c>
      <c r="L1362" s="52" t="s">
        <v>213</v>
      </c>
      <c r="M1362" s="53" t="s">
        <v>213</v>
      </c>
    </row>
    <row r="1363" spans="1:13" x14ac:dyDescent="0.3">
      <c r="A1363" s="37">
        <v>27</v>
      </c>
      <c r="B1363" s="38" t="s">
        <v>1032</v>
      </c>
      <c r="C1363" s="51">
        <v>7896261007789</v>
      </c>
      <c r="D1363" s="40" t="s">
        <v>70</v>
      </c>
      <c r="E1363" s="40"/>
      <c r="F1363" s="40">
        <v>226</v>
      </c>
      <c r="G1363" s="38"/>
      <c r="H1363" s="38" t="s">
        <v>972</v>
      </c>
      <c r="I1363" s="38" t="s">
        <v>311</v>
      </c>
      <c r="J1363" s="38" t="s">
        <v>947</v>
      </c>
      <c r="K1363" s="38" t="s">
        <v>1027</v>
      </c>
      <c r="L1363" s="52" t="s">
        <v>213</v>
      </c>
      <c r="M1363" s="53" t="s">
        <v>213</v>
      </c>
    </row>
    <row r="1364" spans="1:13" x14ac:dyDescent="0.3">
      <c r="A1364" s="37">
        <v>27</v>
      </c>
      <c r="B1364" s="38" t="s">
        <v>1032</v>
      </c>
      <c r="C1364" s="51">
        <v>7896261007789</v>
      </c>
      <c r="D1364" s="40" t="s">
        <v>70</v>
      </c>
      <c r="E1364" s="40"/>
      <c r="F1364" s="40">
        <v>232</v>
      </c>
      <c r="G1364" s="38"/>
      <c r="H1364" s="38" t="s">
        <v>1033</v>
      </c>
      <c r="I1364" s="38" t="s">
        <v>311</v>
      </c>
      <c r="J1364" s="38" t="s">
        <v>947</v>
      </c>
      <c r="K1364" s="38" t="s">
        <v>1027</v>
      </c>
      <c r="L1364" s="52" t="s">
        <v>213</v>
      </c>
      <c r="M1364" s="53" t="s">
        <v>213</v>
      </c>
    </row>
    <row r="1365" spans="1:13" x14ac:dyDescent="0.3">
      <c r="A1365" s="37">
        <v>27</v>
      </c>
      <c r="B1365" s="38" t="s">
        <v>1032</v>
      </c>
      <c r="C1365" s="51">
        <v>7896261007789</v>
      </c>
      <c r="D1365" s="40" t="s">
        <v>70</v>
      </c>
      <c r="E1365" s="40"/>
      <c r="F1365" s="40">
        <v>238</v>
      </c>
      <c r="G1365" s="38"/>
      <c r="H1365" s="38" t="s">
        <v>973</v>
      </c>
      <c r="I1365" s="38" t="s">
        <v>311</v>
      </c>
      <c r="J1365" s="38" t="s">
        <v>947</v>
      </c>
      <c r="K1365" s="38" t="s">
        <v>1027</v>
      </c>
      <c r="L1365" s="52" t="s">
        <v>213</v>
      </c>
      <c r="M1365" s="53" t="s">
        <v>213</v>
      </c>
    </row>
    <row r="1366" spans="1:13" x14ac:dyDescent="0.3">
      <c r="A1366" s="37">
        <v>27</v>
      </c>
      <c r="B1366" s="38" t="s">
        <v>1032</v>
      </c>
      <c r="C1366" s="51">
        <v>7896261007789</v>
      </c>
      <c r="D1366" s="40" t="s">
        <v>70</v>
      </c>
      <c r="E1366" s="40"/>
      <c r="F1366" s="40">
        <v>277</v>
      </c>
      <c r="G1366" s="38"/>
      <c r="H1366" s="38" t="s">
        <v>1028</v>
      </c>
      <c r="I1366" s="38" t="s">
        <v>311</v>
      </c>
      <c r="J1366" s="38" t="s">
        <v>947</v>
      </c>
      <c r="K1366" s="38" t="s">
        <v>1029</v>
      </c>
      <c r="L1366" s="52" t="s">
        <v>213</v>
      </c>
      <c r="M1366" s="53" t="s">
        <v>213</v>
      </c>
    </row>
    <row r="1367" spans="1:13" x14ac:dyDescent="0.3">
      <c r="A1367" s="37">
        <v>27</v>
      </c>
      <c r="B1367" s="38" t="s">
        <v>1032</v>
      </c>
      <c r="C1367" s="51">
        <v>7896261007789</v>
      </c>
      <c r="D1367" s="40" t="s">
        <v>70</v>
      </c>
      <c r="E1367" s="40"/>
      <c r="F1367" s="40">
        <v>298</v>
      </c>
      <c r="G1367" s="38"/>
      <c r="H1367" s="38" t="s">
        <v>974</v>
      </c>
      <c r="I1367" s="38" t="s">
        <v>311</v>
      </c>
      <c r="J1367" s="38" t="s">
        <v>947</v>
      </c>
      <c r="K1367" s="38" t="s">
        <v>1029</v>
      </c>
      <c r="L1367" s="52" t="s">
        <v>213</v>
      </c>
      <c r="M1367" s="53" t="s">
        <v>213</v>
      </c>
    </row>
    <row r="1368" spans="1:13" x14ac:dyDescent="0.3">
      <c r="A1368" s="37">
        <v>27</v>
      </c>
      <c r="B1368" s="38" t="s">
        <v>1032</v>
      </c>
      <c r="C1368" s="51">
        <v>7896261007789</v>
      </c>
      <c r="D1368" s="40" t="s">
        <v>70</v>
      </c>
      <c r="E1368" s="40"/>
      <c r="F1368" s="40">
        <v>317</v>
      </c>
      <c r="G1368" s="38"/>
      <c r="H1368" s="38" t="s">
        <v>975</v>
      </c>
      <c r="I1368" s="38" t="s">
        <v>311</v>
      </c>
      <c r="J1368" s="38" t="s">
        <v>947</v>
      </c>
      <c r="K1368" s="38" t="s">
        <v>1029</v>
      </c>
      <c r="L1368" s="52" t="s">
        <v>213</v>
      </c>
      <c r="M1368" s="53" t="s">
        <v>213</v>
      </c>
    </row>
    <row r="1369" spans="1:13" x14ac:dyDescent="0.3">
      <c r="A1369" s="37">
        <v>27</v>
      </c>
      <c r="B1369" s="38" t="s">
        <v>1034</v>
      </c>
      <c r="C1369" s="51">
        <v>7896261007796</v>
      </c>
      <c r="D1369" s="40" t="s">
        <v>70</v>
      </c>
      <c r="E1369" s="40"/>
      <c r="F1369" s="40">
        <v>181</v>
      </c>
      <c r="G1369" s="38"/>
      <c r="H1369" s="38" t="s">
        <v>970</v>
      </c>
      <c r="I1369" s="38" t="s">
        <v>311</v>
      </c>
      <c r="J1369" s="38" t="s">
        <v>966</v>
      </c>
      <c r="K1369" s="38" t="s">
        <v>1025</v>
      </c>
      <c r="L1369" s="52" t="s">
        <v>213</v>
      </c>
      <c r="M1369" s="53" t="s">
        <v>213</v>
      </c>
    </row>
    <row r="1370" spans="1:13" x14ac:dyDescent="0.3">
      <c r="A1370" s="37">
        <v>27</v>
      </c>
      <c r="B1370" s="38" t="s">
        <v>1034</v>
      </c>
      <c r="C1370" s="51">
        <v>7896261007796</v>
      </c>
      <c r="D1370" s="40" t="s">
        <v>70</v>
      </c>
      <c r="E1370" s="40"/>
      <c r="F1370" s="40">
        <v>188</v>
      </c>
      <c r="G1370" s="38"/>
      <c r="H1370" s="38" t="s">
        <v>1035</v>
      </c>
      <c r="I1370" s="38" t="s">
        <v>311</v>
      </c>
      <c r="J1370" s="38" t="s">
        <v>1036</v>
      </c>
      <c r="K1370" s="38" t="s">
        <v>1037</v>
      </c>
      <c r="L1370" s="52" t="s">
        <v>213</v>
      </c>
      <c r="M1370" s="53" t="s">
        <v>213</v>
      </c>
    </row>
    <row r="1371" spans="1:13" x14ac:dyDescent="0.3">
      <c r="A1371" s="37">
        <v>27</v>
      </c>
      <c r="B1371" s="38" t="s">
        <v>1034</v>
      </c>
      <c r="C1371" s="51">
        <v>7896261007796</v>
      </c>
      <c r="D1371" s="40" t="s">
        <v>70</v>
      </c>
      <c r="E1371" s="40"/>
      <c r="F1371" s="40">
        <v>195</v>
      </c>
      <c r="G1371" s="38"/>
      <c r="H1371" s="38" t="s">
        <v>971</v>
      </c>
      <c r="I1371" s="38" t="s">
        <v>311</v>
      </c>
      <c r="J1371" s="38" t="s">
        <v>947</v>
      </c>
      <c r="K1371" s="38" t="s">
        <v>1026</v>
      </c>
      <c r="L1371" s="52" t="s">
        <v>213</v>
      </c>
      <c r="M1371" s="53" t="s">
        <v>213</v>
      </c>
    </row>
    <row r="1372" spans="1:13" x14ac:dyDescent="0.3">
      <c r="A1372" s="37">
        <v>27</v>
      </c>
      <c r="B1372" s="38" t="s">
        <v>1034</v>
      </c>
      <c r="C1372" s="51">
        <v>7896261007796</v>
      </c>
      <c r="D1372" s="40" t="s">
        <v>70</v>
      </c>
      <c r="E1372" s="40"/>
      <c r="F1372" s="40">
        <v>226</v>
      </c>
      <c r="G1372" s="38"/>
      <c r="H1372" s="38" t="s">
        <v>972</v>
      </c>
      <c r="I1372" s="38" t="s">
        <v>311</v>
      </c>
      <c r="J1372" s="38" t="s">
        <v>947</v>
      </c>
      <c r="K1372" s="38" t="s">
        <v>1027</v>
      </c>
      <c r="L1372" s="52" t="s">
        <v>213</v>
      </c>
      <c r="M1372" s="53" t="s">
        <v>213</v>
      </c>
    </row>
    <row r="1373" spans="1:13" x14ac:dyDescent="0.3">
      <c r="A1373" s="37">
        <v>27</v>
      </c>
      <c r="B1373" s="38" t="s">
        <v>1034</v>
      </c>
      <c r="C1373" s="51">
        <v>7896261007796</v>
      </c>
      <c r="D1373" s="40" t="s">
        <v>70</v>
      </c>
      <c r="E1373" s="40"/>
      <c r="F1373" s="40">
        <v>238</v>
      </c>
      <c r="G1373" s="38"/>
      <c r="H1373" s="38" t="s">
        <v>973</v>
      </c>
      <c r="I1373" s="38" t="s">
        <v>311</v>
      </c>
      <c r="J1373" s="38" t="s">
        <v>947</v>
      </c>
      <c r="K1373" s="38" t="s">
        <v>1027</v>
      </c>
      <c r="L1373" s="52" t="s">
        <v>213</v>
      </c>
      <c r="M1373" s="53" t="s">
        <v>213</v>
      </c>
    </row>
    <row r="1374" spans="1:13" x14ac:dyDescent="0.3">
      <c r="A1374" s="37">
        <v>27</v>
      </c>
      <c r="B1374" s="38" t="s">
        <v>1034</v>
      </c>
      <c r="C1374" s="51">
        <v>7896261007796</v>
      </c>
      <c r="D1374" s="40" t="s">
        <v>70</v>
      </c>
      <c r="E1374" s="40"/>
      <c r="F1374" s="40">
        <v>277</v>
      </c>
      <c r="G1374" s="38"/>
      <c r="H1374" s="38" t="s">
        <v>1028</v>
      </c>
      <c r="I1374" s="38" t="s">
        <v>311</v>
      </c>
      <c r="J1374" s="38" t="s">
        <v>947</v>
      </c>
      <c r="K1374" s="38" t="s">
        <v>1029</v>
      </c>
      <c r="L1374" s="52" t="s">
        <v>213</v>
      </c>
      <c r="M1374" s="53" t="s">
        <v>213</v>
      </c>
    </row>
    <row r="1375" spans="1:13" x14ac:dyDescent="0.3">
      <c r="A1375" s="37">
        <v>27</v>
      </c>
      <c r="B1375" s="38" t="s">
        <v>1034</v>
      </c>
      <c r="C1375" s="51">
        <v>7896261007796</v>
      </c>
      <c r="D1375" s="40" t="s">
        <v>70</v>
      </c>
      <c r="E1375" s="40"/>
      <c r="F1375" s="40">
        <v>298</v>
      </c>
      <c r="G1375" s="38"/>
      <c r="H1375" s="38" t="s">
        <v>974</v>
      </c>
      <c r="I1375" s="38" t="s">
        <v>311</v>
      </c>
      <c r="J1375" s="38" t="s">
        <v>947</v>
      </c>
      <c r="K1375" s="38" t="s">
        <v>1029</v>
      </c>
      <c r="L1375" s="52" t="s">
        <v>213</v>
      </c>
      <c r="M1375" s="53" t="s">
        <v>213</v>
      </c>
    </row>
    <row r="1376" spans="1:13" x14ac:dyDescent="0.3">
      <c r="A1376" s="37">
        <v>27</v>
      </c>
      <c r="B1376" s="38" t="s">
        <v>1034</v>
      </c>
      <c r="C1376" s="51">
        <v>7896261007796</v>
      </c>
      <c r="D1376" s="40" t="s">
        <v>70</v>
      </c>
      <c r="E1376" s="40"/>
      <c r="F1376" s="40">
        <v>317</v>
      </c>
      <c r="G1376" s="38"/>
      <c r="H1376" s="38" t="s">
        <v>975</v>
      </c>
      <c r="I1376" s="38" t="s">
        <v>311</v>
      </c>
      <c r="J1376" s="38" t="s">
        <v>947</v>
      </c>
      <c r="K1376" s="38" t="s">
        <v>1029</v>
      </c>
      <c r="L1376" s="52" t="s">
        <v>213</v>
      </c>
      <c r="M1376" s="53" t="s">
        <v>213</v>
      </c>
    </row>
    <row r="1377" spans="1:13" x14ac:dyDescent="0.3">
      <c r="A1377" s="37">
        <v>27</v>
      </c>
      <c r="B1377" s="38" t="s">
        <v>1038</v>
      </c>
      <c r="C1377" s="51">
        <v>7896261008076</v>
      </c>
      <c r="D1377" s="40" t="s">
        <v>70</v>
      </c>
      <c r="E1377" s="40"/>
      <c r="F1377" s="40">
        <v>94</v>
      </c>
      <c r="G1377" s="38"/>
      <c r="H1377" s="38" t="s">
        <v>940</v>
      </c>
      <c r="I1377" s="38" t="s">
        <v>311</v>
      </c>
      <c r="J1377" s="38">
        <v>0</v>
      </c>
      <c r="K1377" s="38" t="s">
        <v>941</v>
      </c>
      <c r="L1377" s="52" t="s">
        <v>213</v>
      </c>
      <c r="M1377" s="53" t="s">
        <v>213</v>
      </c>
    </row>
    <row r="1378" spans="1:13" x14ac:dyDescent="0.3">
      <c r="A1378" s="37">
        <v>27</v>
      </c>
      <c r="B1378" s="38" t="s">
        <v>1038</v>
      </c>
      <c r="C1378" s="51">
        <v>7896261008076</v>
      </c>
      <c r="D1378" s="40" t="s">
        <v>70</v>
      </c>
      <c r="E1378" s="40"/>
      <c r="F1378" s="40">
        <v>159</v>
      </c>
      <c r="G1378" s="38"/>
      <c r="H1378" s="38" t="s">
        <v>942</v>
      </c>
      <c r="I1378" s="38" t="s">
        <v>311</v>
      </c>
      <c r="J1378" s="38">
        <v>0</v>
      </c>
      <c r="K1378" s="38" t="s">
        <v>943</v>
      </c>
      <c r="L1378" s="52" t="s">
        <v>213</v>
      </c>
      <c r="M1378" s="53" t="s">
        <v>213</v>
      </c>
    </row>
    <row r="1379" spans="1:13" x14ac:dyDescent="0.3">
      <c r="A1379" s="37">
        <v>27</v>
      </c>
      <c r="B1379" s="38" t="s">
        <v>1038</v>
      </c>
      <c r="C1379" s="51">
        <v>7896261008076</v>
      </c>
      <c r="D1379" s="40" t="s">
        <v>70</v>
      </c>
      <c r="E1379" s="40"/>
      <c r="F1379" s="40">
        <v>164</v>
      </c>
      <c r="G1379" s="38"/>
      <c r="H1379" s="38" t="s">
        <v>944</v>
      </c>
      <c r="I1379" s="38" t="s">
        <v>311</v>
      </c>
      <c r="J1379" s="38">
        <v>0</v>
      </c>
      <c r="K1379" s="38" t="s">
        <v>943</v>
      </c>
      <c r="L1379" s="52" t="s">
        <v>213</v>
      </c>
      <c r="M1379" s="53" t="s">
        <v>213</v>
      </c>
    </row>
    <row r="1380" spans="1:13" x14ac:dyDescent="0.3">
      <c r="A1380" s="37">
        <v>27</v>
      </c>
      <c r="B1380" s="38" t="s">
        <v>1038</v>
      </c>
      <c r="C1380" s="51">
        <v>7896261008076</v>
      </c>
      <c r="D1380" s="40" t="s">
        <v>70</v>
      </c>
      <c r="E1380" s="40"/>
      <c r="F1380" s="40">
        <v>174</v>
      </c>
      <c r="G1380" s="38"/>
      <c r="H1380" s="38" t="s">
        <v>945</v>
      </c>
      <c r="I1380" s="38" t="s">
        <v>311</v>
      </c>
      <c r="J1380" s="38">
        <v>0</v>
      </c>
      <c r="K1380" s="38" t="s">
        <v>943</v>
      </c>
      <c r="L1380" s="52" t="s">
        <v>213</v>
      </c>
      <c r="M1380" s="53" t="s">
        <v>213</v>
      </c>
    </row>
    <row r="1381" spans="1:13" x14ac:dyDescent="0.3">
      <c r="A1381" s="37">
        <v>27</v>
      </c>
      <c r="B1381" s="38" t="s">
        <v>1038</v>
      </c>
      <c r="C1381" s="51">
        <v>7896261008076</v>
      </c>
      <c r="D1381" s="40" t="s">
        <v>70</v>
      </c>
      <c r="E1381" s="40"/>
      <c r="F1381" s="40">
        <v>179</v>
      </c>
      <c r="G1381" s="38"/>
      <c r="H1381" s="38" t="s">
        <v>948</v>
      </c>
      <c r="I1381" s="38" t="s">
        <v>424</v>
      </c>
      <c r="J1381" s="38" t="s">
        <v>947</v>
      </c>
      <c r="K1381" s="56">
        <v>0.69</v>
      </c>
      <c r="L1381" s="52" t="s">
        <v>213</v>
      </c>
      <c r="M1381" s="53" t="s">
        <v>213</v>
      </c>
    </row>
    <row r="1382" spans="1:13" x14ac:dyDescent="0.3">
      <c r="A1382" s="37">
        <v>27</v>
      </c>
      <c r="B1382" s="38" t="s">
        <v>1038</v>
      </c>
      <c r="C1382" s="51">
        <v>7896261008076</v>
      </c>
      <c r="D1382" s="40" t="s">
        <v>70</v>
      </c>
      <c r="E1382" s="40"/>
      <c r="F1382" s="40">
        <v>192</v>
      </c>
      <c r="G1382" s="38"/>
      <c r="H1382" s="38" t="s">
        <v>978</v>
      </c>
      <c r="I1382" s="38" t="s">
        <v>424</v>
      </c>
      <c r="J1382" s="38" t="s">
        <v>947</v>
      </c>
      <c r="K1382" s="56">
        <v>0.49</v>
      </c>
      <c r="L1382" s="52" t="s">
        <v>213</v>
      </c>
      <c r="M1382" s="53" t="s">
        <v>213</v>
      </c>
    </row>
    <row r="1383" spans="1:13" x14ac:dyDescent="0.3">
      <c r="A1383" s="37">
        <v>27</v>
      </c>
      <c r="B1383" s="38" t="s">
        <v>1038</v>
      </c>
      <c r="C1383" s="51">
        <v>7896261008076</v>
      </c>
      <c r="D1383" s="40" t="s">
        <v>70</v>
      </c>
      <c r="E1383" s="40"/>
      <c r="F1383" s="40">
        <v>196</v>
      </c>
      <c r="G1383" s="38"/>
      <c r="H1383" s="38" t="s">
        <v>949</v>
      </c>
      <c r="I1383" s="38" t="s">
        <v>311</v>
      </c>
      <c r="J1383" s="38" t="s">
        <v>947</v>
      </c>
      <c r="K1383" s="38" t="s">
        <v>950</v>
      </c>
      <c r="L1383" s="52" t="s">
        <v>213</v>
      </c>
      <c r="M1383" s="53" t="s">
        <v>213</v>
      </c>
    </row>
    <row r="1384" spans="1:13" x14ac:dyDescent="0.3">
      <c r="A1384" s="37">
        <v>27</v>
      </c>
      <c r="B1384" s="38" t="s">
        <v>1038</v>
      </c>
      <c r="C1384" s="51">
        <v>7896261008076</v>
      </c>
      <c r="D1384" s="40" t="s">
        <v>70</v>
      </c>
      <c r="E1384" s="40"/>
      <c r="F1384" s="40">
        <v>197</v>
      </c>
      <c r="G1384" s="38"/>
      <c r="H1384" s="38" t="s">
        <v>951</v>
      </c>
      <c r="I1384" s="38" t="s">
        <v>311</v>
      </c>
      <c r="J1384" s="38" t="s">
        <v>947</v>
      </c>
      <c r="K1384" s="38" t="s">
        <v>950</v>
      </c>
      <c r="L1384" s="52" t="s">
        <v>213</v>
      </c>
      <c r="M1384" s="53" t="s">
        <v>213</v>
      </c>
    </row>
    <row r="1385" spans="1:13" x14ac:dyDescent="0.3">
      <c r="A1385" s="37">
        <v>27</v>
      </c>
      <c r="B1385" s="38" t="s">
        <v>1038</v>
      </c>
      <c r="C1385" s="51">
        <v>7896261008076</v>
      </c>
      <c r="D1385" s="40" t="s">
        <v>70</v>
      </c>
      <c r="E1385" s="40"/>
      <c r="F1385" s="40">
        <v>198</v>
      </c>
      <c r="G1385" s="38"/>
      <c r="H1385" s="38" t="s">
        <v>952</v>
      </c>
      <c r="I1385" s="38" t="s">
        <v>311</v>
      </c>
      <c r="J1385" s="38" t="s">
        <v>947</v>
      </c>
      <c r="K1385" s="38" t="s">
        <v>950</v>
      </c>
      <c r="L1385" s="52" t="s">
        <v>213</v>
      </c>
      <c r="M1385" s="53" t="s">
        <v>213</v>
      </c>
    </row>
    <row r="1386" spans="1:13" x14ac:dyDescent="0.3">
      <c r="A1386" s="37">
        <v>27</v>
      </c>
      <c r="B1386" s="38" t="s">
        <v>1038</v>
      </c>
      <c r="C1386" s="51">
        <v>7896261008076</v>
      </c>
      <c r="D1386" s="40" t="s">
        <v>70</v>
      </c>
      <c r="E1386" s="40"/>
      <c r="F1386" s="40">
        <v>199</v>
      </c>
      <c r="G1386" s="38"/>
      <c r="H1386" s="38" t="s">
        <v>953</v>
      </c>
      <c r="I1386" s="38" t="s">
        <v>311</v>
      </c>
      <c r="J1386" s="38" t="s">
        <v>947</v>
      </c>
      <c r="K1386" s="38" t="s">
        <v>950</v>
      </c>
      <c r="L1386" s="52" t="s">
        <v>213</v>
      </c>
      <c r="M1386" s="53" t="s">
        <v>213</v>
      </c>
    </row>
    <row r="1387" spans="1:13" x14ac:dyDescent="0.3">
      <c r="A1387" s="37">
        <v>27</v>
      </c>
      <c r="B1387" s="38" t="s">
        <v>1038</v>
      </c>
      <c r="C1387" s="51">
        <v>7896261008076</v>
      </c>
      <c r="D1387" s="40" t="s">
        <v>70</v>
      </c>
      <c r="E1387" s="40"/>
      <c r="F1387" s="40">
        <v>200</v>
      </c>
      <c r="G1387" s="38"/>
      <c r="H1387" s="38" t="s">
        <v>954</v>
      </c>
      <c r="I1387" s="38" t="s">
        <v>311</v>
      </c>
      <c r="J1387" s="38" t="s">
        <v>947</v>
      </c>
      <c r="K1387" s="38" t="s">
        <v>950</v>
      </c>
      <c r="L1387" s="52" t="s">
        <v>213</v>
      </c>
      <c r="M1387" s="53" t="s">
        <v>213</v>
      </c>
    </row>
    <row r="1388" spans="1:13" x14ac:dyDescent="0.3">
      <c r="A1388" s="37">
        <v>27</v>
      </c>
      <c r="B1388" s="38" t="s">
        <v>1038</v>
      </c>
      <c r="C1388" s="51">
        <v>7896261008076</v>
      </c>
      <c r="D1388" s="40" t="s">
        <v>70</v>
      </c>
      <c r="E1388" s="40"/>
      <c r="F1388" s="40">
        <v>215</v>
      </c>
      <c r="G1388" s="38"/>
      <c r="H1388" s="38" t="s">
        <v>955</v>
      </c>
      <c r="I1388" s="38" t="s">
        <v>311</v>
      </c>
      <c r="J1388" s="38" t="s">
        <v>947</v>
      </c>
      <c r="K1388" s="38" t="s">
        <v>950</v>
      </c>
      <c r="L1388" s="52" t="s">
        <v>213</v>
      </c>
      <c r="M1388" s="53" t="s">
        <v>213</v>
      </c>
    </row>
    <row r="1389" spans="1:13" x14ac:dyDescent="0.3">
      <c r="A1389" s="37">
        <v>27</v>
      </c>
      <c r="B1389" s="38" t="s">
        <v>1038</v>
      </c>
      <c r="C1389" s="51">
        <v>7896261008076</v>
      </c>
      <c r="D1389" s="40" t="s">
        <v>70</v>
      </c>
      <c r="E1389" s="40"/>
      <c r="F1389" s="40">
        <v>217</v>
      </c>
      <c r="G1389" s="38"/>
      <c r="H1389" s="38" t="s">
        <v>956</v>
      </c>
      <c r="I1389" s="38" t="s">
        <v>311</v>
      </c>
      <c r="J1389" s="38" t="s">
        <v>947</v>
      </c>
      <c r="K1389" s="38" t="s">
        <v>950</v>
      </c>
      <c r="L1389" s="52" t="s">
        <v>213</v>
      </c>
      <c r="M1389" s="53" t="s">
        <v>213</v>
      </c>
    </row>
    <row r="1390" spans="1:13" x14ac:dyDescent="0.3">
      <c r="A1390" s="37">
        <v>27</v>
      </c>
      <c r="B1390" s="38" t="s">
        <v>1038</v>
      </c>
      <c r="C1390" s="51">
        <v>7896261008076</v>
      </c>
      <c r="D1390" s="40" t="s">
        <v>70</v>
      </c>
      <c r="E1390" s="40"/>
      <c r="F1390" s="40">
        <v>219</v>
      </c>
      <c r="G1390" s="38"/>
      <c r="H1390" s="38" t="s">
        <v>957</v>
      </c>
      <c r="I1390" s="38" t="s">
        <v>311</v>
      </c>
      <c r="J1390" s="38" t="s">
        <v>947</v>
      </c>
      <c r="K1390" s="38" t="s">
        <v>950</v>
      </c>
      <c r="L1390" s="52" t="s">
        <v>213</v>
      </c>
      <c r="M1390" s="53" t="s">
        <v>213</v>
      </c>
    </row>
    <row r="1391" spans="1:13" x14ac:dyDescent="0.3">
      <c r="A1391" s="37">
        <v>27</v>
      </c>
      <c r="B1391" s="38" t="s">
        <v>1038</v>
      </c>
      <c r="C1391" s="51">
        <v>7896261008076</v>
      </c>
      <c r="D1391" s="40" t="s">
        <v>70</v>
      </c>
      <c r="E1391" s="40"/>
      <c r="F1391" s="40">
        <v>228</v>
      </c>
      <c r="G1391" s="38"/>
      <c r="H1391" s="38" t="s">
        <v>958</v>
      </c>
      <c r="I1391" s="38" t="s">
        <v>311</v>
      </c>
      <c r="J1391" s="38" t="s">
        <v>947</v>
      </c>
      <c r="K1391" s="38" t="s">
        <v>950</v>
      </c>
      <c r="L1391" s="52" t="s">
        <v>213</v>
      </c>
      <c r="M1391" s="53" t="s">
        <v>213</v>
      </c>
    </row>
    <row r="1392" spans="1:13" x14ac:dyDescent="0.3">
      <c r="A1392" s="37">
        <v>27</v>
      </c>
      <c r="B1392" s="38" t="s">
        <v>1038</v>
      </c>
      <c r="C1392" s="51">
        <v>7896261008076</v>
      </c>
      <c r="D1392" s="40" t="s">
        <v>70</v>
      </c>
      <c r="E1392" s="40"/>
      <c r="F1392" s="40">
        <v>229</v>
      </c>
      <c r="G1392" s="38"/>
      <c r="H1392" s="38" t="s">
        <v>959</v>
      </c>
      <c r="I1392" s="38" t="s">
        <v>311</v>
      </c>
      <c r="J1392" s="38" t="s">
        <v>947</v>
      </c>
      <c r="K1392" s="38" t="s">
        <v>950</v>
      </c>
      <c r="L1392" s="52" t="s">
        <v>213</v>
      </c>
      <c r="M1392" s="53" t="s">
        <v>213</v>
      </c>
    </row>
    <row r="1393" spans="1:13" x14ac:dyDescent="0.3">
      <c r="A1393" s="37">
        <v>27</v>
      </c>
      <c r="B1393" s="38" t="s">
        <v>1038</v>
      </c>
      <c r="C1393" s="51">
        <v>7896261008076</v>
      </c>
      <c r="D1393" s="40" t="s">
        <v>70</v>
      </c>
      <c r="E1393" s="40"/>
      <c r="F1393" s="40">
        <v>249</v>
      </c>
      <c r="G1393" s="38"/>
      <c r="H1393" s="38" t="s">
        <v>960</v>
      </c>
      <c r="I1393" s="38" t="s">
        <v>311</v>
      </c>
      <c r="J1393" s="38" t="s">
        <v>947</v>
      </c>
      <c r="K1393" s="38" t="s">
        <v>950</v>
      </c>
      <c r="L1393" s="52" t="s">
        <v>213</v>
      </c>
      <c r="M1393" s="53" t="s">
        <v>213</v>
      </c>
    </row>
    <row r="1394" spans="1:13" x14ac:dyDescent="0.3">
      <c r="A1394" s="37">
        <v>27</v>
      </c>
      <c r="B1394" s="38" t="s">
        <v>1038</v>
      </c>
      <c r="C1394" s="51">
        <v>7896261008076</v>
      </c>
      <c r="D1394" s="40" t="s">
        <v>70</v>
      </c>
      <c r="E1394" s="40"/>
      <c r="F1394" s="40">
        <v>301</v>
      </c>
      <c r="G1394" s="38"/>
      <c r="H1394" s="38" t="s">
        <v>963</v>
      </c>
      <c r="I1394" s="38" t="s">
        <v>311</v>
      </c>
      <c r="J1394" s="38" t="s">
        <v>947</v>
      </c>
      <c r="K1394" s="38" t="s">
        <v>950</v>
      </c>
      <c r="L1394" s="52" t="s">
        <v>213</v>
      </c>
      <c r="M1394" s="53" t="s">
        <v>213</v>
      </c>
    </row>
    <row r="1395" spans="1:13" x14ac:dyDescent="0.3">
      <c r="A1395" s="37">
        <v>27</v>
      </c>
      <c r="B1395" s="38" t="s">
        <v>1039</v>
      </c>
      <c r="C1395" s="51">
        <v>7896261008373</v>
      </c>
      <c r="D1395" s="40" t="s">
        <v>70</v>
      </c>
      <c r="E1395" s="40"/>
      <c r="F1395" s="40">
        <v>127</v>
      </c>
      <c r="G1395" s="38"/>
      <c r="H1395" s="38" t="s">
        <v>1040</v>
      </c>
      <c r="I1395" s="38" t="s">
        <v>424</v>
      </c>
      <c r="J1395" s="38" t="s">
        <v>947</v>
      </c>
      <c r="K1395" s="38">
        <v>9.36</v>
      </c>
      <c r="L1395" s="52" t="s">
        <v>213</v>
      </c>
      <c r="M1395" s="53" t="s">
        <v>213</v>
      </c>
    </row>
    <row r="1396" spans="1:13" x14ac:dyDescent="0.3">
      <c r="A1396" s="37">
        <v>27</v>
      </c>
      <c r="B1396" s="38" t="s">
        <v>1039</v>
      </c>
      <c r="C1396" s="51">
        <v>7896261008373</v>
      </c>
      <c r="D1396" s="40" t="s">
        <v>70</v>
      </c>
      <c r="E1396" s="40"/>
      <c r="F1396" s="40">
        <v>134</v>
      </c>
      <c r="G1396" s="38"/>
      <c r="H1396" s="38" t="s">
        <v>1041</v>
      </c>
      <c r="I1396" s="38" t="s">
        <v>424</v>
      </c>
      <c r="J1396" s="38" t="s">
        <v>947</v>
      </c>
      <c r="K1396" s="38">
        <v>24.7</v>
      </c>
      <c r="L1396" s="52" t="s">
        <v>213</v>
      </c>
      <c r="M1396" s="53" t="s">
        <v>213</v>
      </c>
    </row>
    <row r="1397" spans="1:13" x14ac:dyDescent="0.3">
      <c r="A1397" s="37">
        <v>27</v>
      </c>
      <c r="B1397" s="38" t="s">
        <v>1039</v>
      </c>
      <c r="C1397" s="51">
        <v>7896261008373</v>
      </c>
      <c r="D1397" s="40" t="s">
        <v>70</v>
      </c>
      <c r="E1397" s="40"/>
      <c r="F1397" s="40">
        <v>170</v>
      </c>
      <c r="G1397" s="38"/>
      <c r="H1397" s="38" t="s">
        <v>1042</v>
      </c>
      <c r="I1397" s="38" t="s">
        <v>424</v>
      </c>
      <c r="J1397" s="38" t="s">
        <v>947</v>
      </c>
      <c r="K1397" s="38">
        <v>24.7</v>
      </c>
      <c r="L1397" s="52" t="s">
        <v>213</v>
      </c>
      <c r="M1397" s="53" t="s">
        <v>213</v>
      </c>
    </row>
    <row r="1398" spans="1:13" x14ac:dyDescent="0.3">
      <c r="A1398" s="37">
        <v>27</v>
      </c>
      <c r="B1398" s="38" t="s">
        <v>1039</v>
      </c>
      <c r="C1398" s="51">
        <v>7896261008373</v>
      </c>
      <c r="D1398" s="40" t="s">
        <v>70</v>
      </c>
      <c r="E1398" s="40"/>
      <c r="F1398" s="40">
        <v>322</v>
      </c>
      <c r="G1398" s="38"/>
      <c r="H1398" s="38" t="s">
        <v>1043</v>
      </c>
      <c r="I1398" s="38" t="s">
        <v>424</v>
      </c>
      <c r="J1398" s="38" t="s">
        <v>947</v>
      </c>
      <c r="K1398" s="38">
        <v>24.7</v>
      </c>
      <c r="L1398" s="52" t="s">
        <v>213</v>
      </c>
      <c r="M1398" s="53" t="s">
        <v>213</v>
      </c>
    </row>
    <row r="1399" spans="1:13" x14ac:dyDescent="0.3">
      <c r="A1399" s="37">
        <v>27</v>
      </c>
      <c r="B1399" s="38" t="s">
        <v>1044</v>
      </c>
      <c r="C1399" s="51">
        <v>7896261008410</v>
      </c>
      <c r="D1399" s="40" t="s">
        <v>70</v>
      </c>
      <c r="E1399" s="40"/>
      <c r="F1399" s="40">
        <v>127</v>
      </c>
      <c r="G1399" s="38"/>
      <c r="H1399" s="38" t="s">
        <v>1040</v>
      </c>
      <c r="I1399" s="38" t="s">
        <v>424</v>
      </c>
      <c r="J1399" s="38" t="s">
        <v>947</v>
      </c>
      <c r="K1399" s="38">
        <v>9.36</v>
      </c>
      <c r="L1399" s="52" t="s">
        <v>213</v>
      </c>
      <c r="M1399" s="53" t="s">
        <v>213</v>
      </c>
    </row>
    <row r="1400" spans="1:13" x14ac:dyDescent="0.3">
      <c r="A1400" s="37">
        <v>27</v>
      </c>
      <c r="B1400" s="38" t="s">
        <v>1044</v>
      </c>
      <c r="C1400" s="51">
        <v>7896261008410</v>
      </c>
      <c r="D1400" s="40" t="s">
        <v>70</v>
      </c>
      <c r="E1400" s="40"/>
      <c r="F1400" s="40">
        <v>134</v>
      </c>
      <c r="G1400" s="38"/>
      <c r="H1400" s="38" t="s">
        <v>1041</v>
      </c>
      <c r="I1400" s="38" t="s">
        <v>424</v>
      </c>
      <c r="J1400" s="38" t="s">
        <v>947</v>
      </c>
      <c r="K1400" s="38">
        <v>24.7</v>
      </c>
      <c r="L1400" s="52" t="s">
        <v>213</v>
      </c>
      <c r="M1400" s="53" t="s">
        <v>213</v>
      </c>
    </row>
    <row r="1401" spans="1:13" x14ac:dyDescent="0.3">
      <c r="A1401" s="37">
        <v>27</v>
      </c>
      <c r="B1401" s="38" t="s">
        <v>1044</v>
      </c>
      <c r="C1401" s="51">
        <v>7896261008410</v>
      </c>
      <c r="D1401" s="40" t="s">
        <v>70</v>
      </c>
      <c r="E1401" s="40"/>
      <c r="F1401" s="40">
        <v>170</v>
      </c>
      <c r="G1401" s="38"/>
      <c r="H1401" s="38" t="s">
        <v>1042</v>
      </c>
      <c r="I1401" s="38" t="s">
        <v>424</v>
      </c>
      <c r="J1401" s="38" t="s">
        <v>947</v>
      </c>
      <c r="K1401" s="38">
        <v>24.7</v>
      </c>
      <c r="L1401" s="52" t="s">
        <v>213</v>
      </c>
      <c r="M1401" s="53" t="s">
        <v>213</v>
      </c>
    </row>
    <row r="1402" spans="1:13" x14ac:dyDescent="0.3">
      <c r="A1402" s="37">
        <v>27</v>
      </c>
      <c r="B1402" s="38" t="s">
        <v>1045</v>
      </c>
      <c r="C1402" s="51">
        <v>7896261008458</v>
      </c>
      <c r="D1402" s="40" t="s">
        <v>70</v>
      </c>
      <c r="E1402" s="40"/>
      <c r="F1402" s="40">
        <v>127</v>
      </c>
      <c r="G1402" s="38"/>
      <c r="H1402" s="38" t="s">
        <v>1040</v>
      </c>
      <c r="I1402" s="38" t="s">
        <v>424</v>
      </c>
      <c r="J1402" s="38" t="s">
        <v>947</v>
      </c>
      <c r="K1402" s="38">
        <v>20.36</v>
      </c>
      <c r="L1402" s="52" t="s">
        <v>213</v>
      </c>
      <c r="M1402" s="53" t="s">
        <v>213</v>
      </c>
    </row>
    <row r="1403" spans="1:13" x14ac:dyDescent="0.3">
      <c r="A1403" s="37">
        <v>27</v>
      </c>
      <c r="B1403" s="38" t="s">
        <v>1045</v>
      </c>
      <c r="C1403" s="51">
        <v>7896261008458</v>
      </c>
      <c r="D1403" s="40" t="s">
        <v>70</v>
      </c>
      <c r="E1403" s="40"/>
      <c r="F1403" s="40">
        <v>134</v>
      </c>
      <c r="G1403" s="38"/>
      <c r="H1403" s="38" t="s">
        <v>1041</v>
      </c>
      <c r="I1403" s="38" t="s">
        <v>424</v>
      </c>
      <c r="J1403" s="38" t="s">
        <v>947</v>
      </c>
      <c r="K1403" s="38">
        <v>20.36</v>
      </c>
      <c r="L1403" s="52" t="s">
        <v>213</v>
      </c>
      <c r="M1403" s="53" t="s">
        <v>213</v>
      </c>
    </row>
    <row r="1404" spans="1:13" x14ac:dyDescent="0.3">
      <c r="A1404" s="37">
        <v>27</v>
      </c>
      <c r="B1404" s="38" t="s">
        <v>1045</v>
      </c>
      <c r="C1404" s="51">
        <v>7896261008458</v>
      </c>
      <c r="D1404" s="40" t="s">
        <v>70</v>
      </c>
      <c r="E1404" s="40"/>
      <c r="F1404" s="40">
        <v>170</v>
      </c>
      <c r="G1404" s="38"/>
      <c r="H1404" s="38" t="s">
        <v>1042</v>
      </c>
      <c r="I1404" s="38" t="s">
        <v>424</v>
      </c>
      <c r="J1404" s="38" t="s">
        <v>947</v>
      </c>
      <c r="K1404" s="38">
        <v>20.36</v>
      </c>
      <c r="L1404" s="52" t="s">
        <v>213</v>
      </c>
      <c r="M1404" s="53" t="s">
        <v>213</v>
      </c>
    </row>
    <row r="1405" spans="1:13" x14ac:dyDescent="0.3">
      <c r="A1405" s="37">
        <v>27</v>
      </c>
      <c r="B1405" s="38" t="s">
        <v>1046</v>
      </c>
      <c r="C1405" s="51">
        <v>7896261008816</v>
      </c>
      <c r="D1405" s="40" t="s">
        <v>70</v>
      </c>
      <c r="E1405" s="40"/>
      <c r="F1405" s="40">
        <v>317</v>
      </c>
      <c r="G1405" s="38"/>
      <c r="H1405" s="38" t="s">
        <v>975</v>
      </c>
      <c r="I1405" s="38" t="s">
        <v>424</v>
      </c>
      <c r="J1405" s="38" t="s">
        <v>966</v>
      </c>
      <c r="K1405" s="56">
        <v>0.3</v>
      </c>
      <c r="L1405" s="52" t="s">
        <v>213</v>
      </c>
      <c r="M1405" s="53" t="s">
        <v>213</v>
      </c>
    </row>
    <row r="1406" spans="1:13" x14ac:dyDescent="0.3">
      <c r="A1406" s="37">
        <v>27</v>
      </c>
      <c r="B1406" s="38" t="s">
        <v>1047</v>
      </c>
      <c r="C1406" s="51">
        <v>7896261009554</v>
      </c>
      <c r="D1406" s="40" t="s">
        <v>70</v>
      </c>
      <c r="E1406" s="40"/>
      <c r="F1406" s="40">
        <v>94</v>
      </c>
      <c r="G1406" s="38"/>
      <c r="H1406" s="38" t="s">
        <v>940</v>
      </c>
      <c r="I1406" s="38" t="s">
        <v>311</v>
      </c>
      <c r="J1406" s="38">
        <v>0</v>
      </c>
      <c r="K1406" s="38" t="s">
        <v>1000</v>
      </c>
      <c r="L1406" s="52" t="s">
        <v>213</v>
      </c>
      <c r="M1406" s="53" t="s">
        <v>213</v>
      </c>
    </row>
    <row r="1407" spans="1:13" x14ac:dyDescent="0.3">
      <c r="A1407" s="37">
        <v>27</v>
      </c>
      <c r="B1407" s="38" t="s">
        <v>1047</v>
      </c>
      <c r="C1407" s="51">
        <v>7896261009554</v>
      </c>
      <c r="D1407" s="40" t="s">
        <v>70</v>
      </c>
      <c r="E1407" s="40"/>
      <c r="F1407" s="40">
        <v>159</v>
      </c>
      <c r="G1407" s="38"/>
      <c r="H1407" s="38" t="s">
        <v>942</v>
      </c>
      <c r="I1407" s="38" t="s">
        <v>311</v>
      </c>
      <c r="J1407" s="38">
        <v>0</v>
      </c>
      <c r="K1407" s="38" t="s">
        <v>1001</v>
      </c>
      <c r="L1407" s="52" t="s">
        <v>213</v>
      </c>
      <c r="M1407" s="53" t="s">
        <v>213</v>
      </c>
    </row>
    <row r="1408" spans="1:13" x14ac:dyDescent="0.3">
      <c r="A1408" s="37">
        <v>27</v>
      </c>
      <c r="B1408" s="38" t="s">
        <v>1047</v>
      </c>
      <c r="C1408" s="51">
        <v>7896261009554</v>
      </c>
      <c r="D1408" s="40" t="s">
        <v>70</v>
      </c>
      <c r="E1408" s="40"/>
      <c r="F1408" s="40">
        <v>164</v>
      </c>
      <c r="G1408" s="38"/>
      <c r="H1408" s="38" t="s">
        <v>944</v>
      </c>
      <c r="I1408" s="38" t="s">
        <v>311</v>
      </c>
      <c r="J1408" s="38">
        <v>0</v>
      </c>
      <c r="K1408" s="38" t="s">
        <v>1001</v>
      </c>
      <c r="L1408" s="52" t="s">
        <v>213</v>
      </c>
      <c r="M1408" s="53" t="s">
        <v>213</v>
      </c>
    </row>
    <row r="1409" spans="1:13" x14ac:dyDescent="0.3">
      <c r="A1409" s="37">
        <v>27</v>
      </c>
      <c r="B1409" s="38" t="s">
        <v>1047</v>
      </c>
      <c r="C1409" s="51">
        <v>7896261009554</v>
      </c>
      <c r="D1409" s="40" t="s">
        <v>70</v>
      </c>
      <c r="E1409" s="40"/>
      <c r="F1409" s="40">
        <v>174</v>
      </c>
      <c r="G1409" s="38"/>
      <c r="H1409" s="38" t="s">
        <v>945</v>
      </c>
      <c r="I1409" s="38" t="s">
        <v>311</v>
      </c>
      <c r="J1409" s="38">
        <v>0</v>
      </c>
      <c r="K1409" s="38" t="s">
        <v>1001</v>
      </c>
      <c r="L1409" s="52" t="s">
        <v>213</v>
      </c>
      <c r="M1409" s="53" t="s">
        <v>213</v>
      </c>
    </row>
    <row r="1410" spans="1:13" x14ac:dyDescent="0.3">
      <c r="A1410" s="37">
        <v>27</v>
      </c>
      <c r="B1410" s="38" t="s">
        <v>1047</v>
      </c>
      <c r="C1410" s="51">
        <v>7896261009554</v>
      </c>
      <c r="D1410" s="40" t="s">
        <v>70</v>
      </c>
      <c r="E1410" s="40"/>
      <c r="F1410" s="40">
        <v>178</v>
      </c>
      <c r="G1410" s="38"/>
      <c r="H1410" s="38" t="s">
        <v>946</v>
      </c>
      <c r="I1410" s="38" t="s">
        <v>424</v>
      </c>
      <c r="J1410" s="38" t="s">
        <v>947</v>
      </c>
      <c r="K1410" s="56">
        <v>0.57999999999999996</v>
      </c>
      <c r="L1410" s="52" t="s">
        <v>213</v>
      </c>
      <c r="M1410" s="53" t="s">
        <v>213</v>
      </c>
    </row>
    <row r="1411" spans="1:13" x14ac:dyDescent="0.3">
      <c r="A1411" s="37">
        <v>27</v>
      </c>
      <c r="B1411" s="38" t="s">
        <v>1047</v>
      </c>
      <c r="C1411" s="51">
        <v>7896261009554</v>
      </c>
      <c r="D1411" s="40" t="s">
        <v>70</v>
      </c>
      <c r="E1411" s="40"/>
      <c r="F1411" s="40">
        <v>179</v>
      </c>
      <c r="G1411" s="38"/>
      <c r="H1411" s="38" t="s">
        <v>948</v>
      </c>
      <c r="I1411" s="38" t="s">
        <v>424</v>
      </c>
      <c r="J1411" s="38" t="s">
        <v>947</v>
      </c>
      <c r="K1411" s="56">
        <v>0.68</v>
      </c>
      <c r="L1411" s="52" t="s">
        <v>213</v>
      </c>
      <c r="M1411" s="53" t="s">
        <v>213</v>
      </c>
    </row>
    <row r="1412" spans="1:13" x14ac:dyDescent="0.3">
      <c r="A1412" s="37">
        <v>27</v>
      </c>
      <c r="B1412" s="38" t="s">
        <v>1047</v>
      </c>
      <c r="C1412" s="51">
        <v>7896261009554</v>
      </c>
      <c r="D1412" s="40" t="s">
        <v>70</v>
      </c>
      <c r="E1412" s="40"/>
      <c r="F1412" s="40">
        <v>185</v>
      </c>
      <c r="G1412" s="38"/>
      <c r="H1412" s="38" t="s">
        <v>977</v>
      </c>
      <c r="I1412" s="38" t="s">
        <v>424</v>
      </c>
      <c r="J1412" s="38">
        <v>0</v>
      </c>
      <c r="K1412" s="56">
        <v>0.57999999999999996</v>
      </c>
      <c r="L1412" s="52" t="s">
        <v>213</v>
      </c>
      <c r="M1412" s="53" t="s">
        <v>213</v>
      </c>
    </row>
    <row r="1413" spans="1:13" x14ac:dyDescent="0.3">
      <c r="A1413" s="37">
        <v>27</v>
      </c>
      <c r="B1413" s="38" t="s">
        <v>1047</v>
      </c>
      <c r="C1413" s="51">
        <v>7896261009554</v>
      </c>
      <c r="D1413" s="40" t="s">
        <v>70</v>
      </c>
      <c r="E1413" s="40"/>
      <c r="F1413" s="40">
        <v>196</v>
      </c>
      <c r="G1413" s="38"/>
      <c r="H1413" s="38" t="s">
        <v>949</v>
      </c>
      <c r="I1413" s="38" t="s">
        <v>311</v>
      </c>
      <c r="J1413" s="38" t="s">
        <v>947</v>
      </c>
      <c r="K1413" s="38" t="s">
        <v>1002</v>
      </c>
      <c r="L1413" s="52" t="s">
        <v>213</v>
      </c>
      <c r="M1413" s="53" t="s">
        <v>213</v>
      </c>
    </row>
    <row r="1414" spans="1:13" x14ac:dyDescent="0.3">
      <c r="A1414" s="37">
        <v>27</v>
      </c>
      <c r="B1414" s="38" t="s">
        <v>1047</v>
      </c>
      <c r="C1414" s="51">
        <v>7896261009554</v>
      </c>
      <c r="D1414" s="40" t="s">
        <v>70</v>
      </c>
      <c r="E1414" s="40"/>
      <c r="F1414" s="40">
        <v>197</v>
      </c>
      <c r="G1414" s="38"/>
      <c r="H1414" s="38" t="s">
        <v>951</v>
      </c>
      <c r="I1414" s="38" t="s">
        <v>311</v>
      </c>
      <c r="J1414" s="38" t="s">
        <v>947</v>
      </c>
      <c r="K1414" s="38" t="s">
        <v>1002</v>
      </c>
      <c r="L1414" s="52" t="s">
        <v>213</v>
      </c>
      <c r="M1414" s="53" t="s">
        <v>213</v>
      </c>
    </row>
    <row r="1415" spans="1:13" x14ac:dyDescent="0.3">
      <c r="A1415" s="37">
        <v>27</v>
      </c>
      <c r="B1415" s="38" t="s">
        <v>1047</v>
      </c>
      <c r="C1415" s="51">
        <v>7896261009554</v>
      </c>
      <c r="D1415" s="40" t="s">
        <v>70</v>
      </c>
      <c r="E1415" s="40"/>
      <c r="F1415" s="40">
        <v>198</v>
      </c>
      <c r="G1415" s="38"/>
      <c r="H1415" s="38" t="s">
        <v>952</v>
      </c>
      <c r="I1415" s="38" t="s">
        <v>311</v>
      </c>
      <c r="J1415" s="38" t="s">
        <v>947</v>
      </c>
      <c r="K1415" s="38" t="s">
        <v>1002</v>
      </c>
      <c r="L1415" s="52" t="s">
        <v>213</v>
      </c>
      <c r="M1415" s="53" t="s">
        <v>213</v>
      </c>
    </row>
    <row r="1416" spans="1:13" x14ac:dyDescent="0.3">
      <c r="A1416" s="37">
        <v>27</v>
      </c>
      <c r="B1416" s="38" t="s">
        <v>1047</v>
      </c>
      <c r="C1416" s="51">
        <v>7896261009554</v>
      </c>
      <c r="D1416" s="40" t="s">
        <v>70</v>
      </c>
      <c r="E1416" s="40"/>
      <c r="F1416" s="40">
        <v>199</v>
      </c>
      <c r="G1416" s="38"/>
      <c r="H1416" s="38" t="s">
        <v>953</v>
      </c>
      <c r="I1416" s="38" t="s">
        <v>311</v>
      </c>
      <c r="J1416" s="38" t="s">
        <v>947</v>
      </c>
      <c r="K1416" s="38" t="s">
        <v>1002</v>
      </c>
      <c r="L1416" s="52" t="s">
        <v>213</v>
      </c>
      <c r="M1416" s="53" t="s">
        <v>213</v>
      </c>
    </row>
    <row r="1417" spans="1:13" x14ac:dyDescent="0.3">
      <c r="A1417" s="37">
        <v>27</v>
      </c>
      <c r="B1417" s="38" t="s">
        <v>1047</v>
      </c>
      <c r="C1417" s="51">
        <v>7896261009554</v>
      </c>
      <c r="D1417" s="40" t="s">
        <v>70</v>
      </c>
      <c r="E1417" s="40"/>
      <c r="F1417" s="40">
        <v>200</v>
      </c>
      <c r="G1417" s="38"/>
      <c r="H1417" s="38" t="s">
        <v>954</v>
      </c>
      <c r="I1417" s="38" t="s">
        <v>311</v>
      </c>
      <c r="J1417" s="38" t="s">
        <v>947</v>
      </c>
      <c r="K1417" s="38" t="s">
        <v>1002</v>
      </c>
      <c r="L1417" s="52" t="s">
        <v>213</v>
      </c>
      <c r="M1417" s="53" t="s">
        <v>213</v>
      </c>
    </row>
    <row r="1418" spans="1:13" x14ac:dyDescent="0.3">
      <c r="A1418" s="37">
        <v>27</v>
      </c>
      <c r="B1418" s="38" t="s">
        <v>1047</v>
      </c>
      <c r="C1418" s="51">
        <v>7896261009554</v>
      </c>
      <c r="D1418" s="40" t="s">
        <v>70</v>
      </c>
      <c r="E1418" s="40"/>
      <c r="F1418" s="40">
        <v>215</v>
      </c>
      <c r="G1418" s="38"/>
      <c r="H1418" s="38" t="s">
        <v>955</v>
      </c>
      <c r="I1418" s="38" t="s">
        <v>311</v>
      </c>
      <c r="J1418" s="38" t="s">
        <v>947</v>
      </c>
      <c r="K1418" s="38" t="s">
        <v>1002</v>
      </c>
      <c r="L1418" s="52" t="s">
        <v>213</v>
      </c>
      <c r="M1418" s="53" t="s">
        <v>213</v>
      </c>
    </row>
    <row r="1419" spans="1:13" x14ac:dyDescent="0.3">
      <c r="A1419" s="37">
        <v>27</v>
      </c>
      <c r="B1419" s="38" t="s">
        <v>1047</v>
      </c>
      <c r="C1419" s="51">
        <v>7896261009554</v>
      </c>
      <c r="D1419" s="40" t="s">
        <v>70</v>
      </c>
      <c r="E1419" s="40"/>
      <c r="F1419" s="40">
        <v>217</v>
      </c>
      <c r="G1419" s="38"/>
      <c r="H1419" s="38" t="s">
        <v>956</v>
      </c>
      <c r="I1419" s="38" t="s">
        <v>311</v>
      </c>
      <c r="J1419" s="38" t="s">
        <v>947</v>
      </c>
      <c r="K1419" s="38" t="s">
        <v>1002</v>
      </c>
      <c r="L1419" s="52" t="s">
        <v>213</v>
      </c>
      <c r="M1419" s="53" t="s">
        <v>213</v>
      </c>
    </row>
    <row r="1420" spans="1:13" x14ac:dyDescent="0.3">
      <c r="A1420" s="37">
        <v>27</v>
      </c>
      <c r="B1420" s="38" t="s">
        <v>1047</v>
      </c>
      <c r="C1420" s="51">
        <v>7896261009554</v>
      </c>
      <c r="D1420" s="40" t="s">
        <v>70</v>
      </c>
      <c r="E1420" s="40"/>
      <c r="F1420" s="40">
        <v>219</v>
      </c>
      <c r="G1420" s="38"/>
      <c r="H1420" s="38" t="s">
        <v>957</v>
      </c>
      <c r="I1420" s="38" t="s">
        <v>311</v>
      </c>
      <c r="J1420" s="38" t="s">
        <v>947</v>
      </c>
      <c r="K1420" s="38" t="s">
        <v>1002</v>
      </c>
      <c r="L1420" s="52" t="s">
        <v>213</v>
      </c>
      <c r="M1420" s="53" t="s">
        <v>213</v>
      </c>
    </row>
    <row r="1421" spans="1:13" x14ac:dyDescent="0.3">
      <c r="A1421" s="37">
        <v>27</v>
      </c>
      <c r="B1421" s="38" t="s">
        <v>1047</v>
      </c>
      <c r="C1421" s="51">
        <v>7896261009554</v>
      </c>
      <c r="D1421" s="40" t="s">
        <v>70</v>
      </c>
      <c r="E1421" s="40"/>
      <c r="F1421" s="40">
        <v>228</v>
      </c>
      <c r="G1421" s="38"/>
      <c r="H1421" s="38" t="s">
        <v>958</v>
      </c>
      <c r="I1421" s="38" t="s">
        <v>311</v>
      </c>
      <c r="J1421" s="38" t="s">
        <v>947</v>
      </c>
      <c r="K1421" s="38" t="s">
        <v>1002</v>
      </c>
      <c r="L1421" s="52" t="s">
        <v>213</v>
      </c>
      <c r="M1421" s="53" t="s">
        <v>213</v>
      </c>
    </row>
    <row r="1422" spans="1:13" x14ac:dyDescent="0.3">
      <c r="A1422" s="37">
        <v>27</v>
      </c>
      <c r="B1422" s="38" t="s">
        <v>1047</v>
      </c>
      <c r="C1422" s="51">
        <v>7896261009554</v>
      </c>
      <c r="D1422" s="40" t="s">
        <v>70</v>
      </c>
      <c r="E1422" s="40"/>
      <c r="F1422" s="40">
        <v>229</v>
      </c>
      <c r="G1422" s="38"/>
      <c r="H1422" s="38" t="s">
        <v>959</v>
      </c>
      <c r="I1422" s="38" t="s">
        <v>311</v>
      </c>
      <c r="J1422" s="38" t="s">
        <v>947</v>
      </c>
      <c r="K1422" s="38" t="s">
        <v>1002</v>
      </c>
      <c r="L1422" s="52" t="s">
        <v>213</v>
      </c>
      <c r="M1422" s="53" t="s">
        <v>213</v>
      </c>
    </row>
    <row r="1423" spans="1:13" x14ac:dyDescent="0.3">
      <c r="A1423" s="37">
        <v>27</v>
      </c>
      <c r="B1423" s="38" t="s">
        <v>1047</v>
      </c>
      <c r="C1423" s="51">
        <v>7896261009554</v>
      </c>
      <c r="D1423" s="40" t="s">
        <v>70</v>
      </c>
      <c r="E1423" s="40"/>
      <c r="F1423" s="40">
        <v>249</v>
      </c>
      <c r="G1423" s="38"/>
      <c r="H1423" s="38" t="s">
        <v>960</v>
      </c>
      <c r="I1423" s="38" t="s">
        <v>311</v>
      </c>
      <c r="J1423" s="38" t="s">
        <v>947</v>
      </c>
      <c r="K1423" s="38" t="s">
        <v>1002</v>
      </c>
      <c r="L1423" s="52" t="s">
        <v>213</v>
      </c>
      <c r="M1423" s="53" t="s">
        <v>213</v>
      </c>
    </row>
    <row r="1424" spans="1:13" x14ac:dyDescent="0.3">
      <c r="A1424" s="37">
        <v>27</v>
      </c>
      <c r="B1424" s="38" t="s">
        <v>1047</v>
      </c>
      <c r="C1424" s="51">
        <v>7896261009554</v>
      </c>
      <c r="D1424" s="40" t="s">
        <v>70</v>
      </c>
      <c r="E1424" s="40"/>
      <c r="F1424" s="40">
        <v>255</v>
      </c>
      <c r="G1424" s="38"/>
      <c r="H1424" s="38" t="s">
        <v>1003</v>
      </c>
      <c r="I1424" s="38" t="s">
        <v>424</v>
      </c>
      <c r="J1424" s="38" t="s">
        <v>947</v>
      </c>
      <c r="K1424" s="56">
        <v>0.66869999999999996</v>
      </c>
      <c r="L1424" s="52" t="s">
        <v>213</v>
      </c>
      <c r="M1424" s="53" t="s">
        <v>213</v>
      </c>
    </row>
    <row r="1425" spans="1:13" x14ac:dyDescent="0.3">
      <c r="A1425" s="37">
        <v>27</v>
      </c>
      <c r="B1425" s="38" t="s">
        <v>1047</v>
      </c>
      <c r="C1425" s="51">
        <v>7896261009554</v>
      </c>
      <c r="D1425" s="40" t="s">
        <v>70</v>
      </c>
      <c r="E1425" s="40"/>
      <c r="F1425" s="40">
        <v>262</v>
      </c>
      <c r="G1425" s="38"/>
      <c r="H1425" s="38" t="s">
        <v>961</v>
      </c>
      <c r="I1425" s="38" t="s">
        <v>424</v>
      </c>
      <c r="J1425" s="38" t="s">
        <v>947</v>
      </c>
      <c r="K1425" s="56">
        <v>0.57999999999999996</v>
      </c>
      <c r="L1425" s="52" t="s">
        <v>213</v>
      </c>
      <c r="M1425" s="53" t="s">
        <v>213</v>
      </c>
    </row>
    <row r="1426" spans="1:13" x14ac:dyDescent="0.3">
      <c r="A1426" s="37">
        <v>27</v>
      </c>
      <c r="B1426" s="38" t="s">
        <v>1047</v>
      </c>
      <c r="C1426" s="51">
        <v>7896261009554</v>
      </c>
      <c r="D1426" s="40" t="s">
        <v>70</v>
      </c>
      <c r="E1426" s="40"/>
      <c r="F1426" s="40">
        <v>270</v>
      </c>
      <c r="G1426" s="38"/>
      <c r="H1426" s="38" t="s">
        <v>1010</v>
      </c>
      <c r="I1426" s="38" t="s">
        <v>311</v>
      </c>
      <c r="J1426" s="38">
        <v>0</v>
      </c>
      <c r="K1426" s="38" t="s">
        <v>1011</v>
      </c>
      <c r="L1426" s="52" t="s">
        <v>213</v>
      </c>
      <c r="M1426" s="53" t="s">
        <v>213</v>
      </c>
    </row>
    <row r="1427" spans="1:13" x14ac:dyDescent="0.3">
      <c r="A1427" s="37">
        <v>27</v>
      </c>
      <c r="B1427" s="38" t="s">
        <v>1047</v>
      </c>
      <c r="C1427" s="51">
        <v>7896261009554</v>
      </c>
      <c r="D1427" s="40" t="s">
        <v>70</v>
      </c>
      <c r="E1427" s="40"/>
      <c r="F1427" s="40">
        <v>301</v>
      </c>
      <c r="G1427" s="38"/>
      <c r="H1427" s="38" t="s">
        <v>963</v>
      </c>
      <c r="I1427" s="38" t="s">
        <v>311</v>
      </c>
      <c r="J1427" s="38" t="s">
        <v>947</v>
      </c>
      <c r="K1427" s="38" t="s">
        <v>1002</v>
      </c>
      <c r="L1427" s="52" t="s">
        <v>213</v>
      </c>
      <c r="M1427" s="53" t="s">
        <v>213</v>
      </c>
    </row>
    <row r="1428" spans="1:13" x14ac:dyDescent="0.3">
      <c r="A1428" s="37">
        <v>27</v>
      </c>
      <c r="B1428" s="38" t="s">
        <v>1047</v>
      </c>
      <c r="C1428" s="51">
        <v>7896261009554</v>
      </c>
      <c r="D1428" s="40" t="s">
        <v>70</v>
      </c>
      <c r="E1428" s="40"/>
      <c r="F1428" s="40">
        <v>328</v>
      </c>
      <c r="G1428" s="38"/>
      <c r="H1428" s="38" t="s">
        <v>1048</v>
      </c>
      <c r="I1428" s="38" t="s">
        <v>311</v>
      </c>
      <c r="J1428" s="38" t="s">
        <v>947</v>
      </c>
      <c r="K1428" s="38" t="s">
        <v>1049</v>
      </c>
      <c r="L1428" s="52" t="s">
        <v>213</v>
      </c>
      <c r="M1428" s="53" t="s">
        <v>213</v>
      </c>
    </row>
    <row r="1429" spans="1:13" x14ac:dyDescent="0.3">
      <c r="A1429" s="37">
        <v>27</v>
      </c>
      <c r="B1429" s="38" t="s">
        <v>1050</v>
      </c>
      <c r="C1429" s="51">
        <v>7896261011106</v>
      </c>
      <c r="D1429" s="40" t="s">
        <v>70</v>
      </c>
      <c r="E1429" s="40"/>
      <c r="F1429" s="40">
        <v>210</v>
      </c>
      <c r="G1429" s="38"/>
      <c r="H1429" s="38" t="s">
        <v>936</v>
      </c>
      <c r="I1429" s="38" t="s">
        <v>311</v>
      </c>
      <c r="J1429" s="38" t="s">
        <v>937</v>
      </c>
      <c r="K1429" s="38" t="s">
        <v>1051</v>
      </c>
      <c r="L1429" s="52" t="s">
        <v>213</v>
      </c>
      <c r="M1429" s="53" t="s">
        <v>213</v>
      </c>
    </row>
    <row r="1430" spans="1:13" x14ac:dyDescent="0.3">
      <c r="A1430" s="37">
        <v>27</v>
      </c>
      <c r="B1430" s="38" t="s">
        <v>1050</v>
      </c>
      <c r="C1430" s="51">
        <v>7896261011106</v>
      </c>
      <c r="D1430" s="40" t="s">
        <v>70</v>
      </c>
      <c r="E1430" s="40"/>
      <c r="F1430" s="40">
        <v>407</v>
      </c>
      <c r="G1430" s="38"/>
      <c r="H1430" s="38" t="s">
        <v>991</v>
      </c>
      <c r="I1430" s="38" t="s">
        <v>424</v>
      </c>
      <c r="J1430" s="38" t="s">
        <v>937</v>
      </c>
      <c r="K1430" s="56">
        <v>0.4</v>
      </c>
      <c r="L1430" s="52" t="s">
        <v>213</v>
      </c>
      <c r="M1430" s="53" t="s">
        <v>213</v>
      </c>
    </row>
    <row r="1431" spans="1:13" x14ac:dyDescent="0.3">
      <c r="A1431" s="37">
        <v>27</v>
      </c>
      <c r="B1431" s="38" t="s">
        <v>1052</v>
      </c>
      <c r="C1431" s="51">
        <v>7896261012332</v>
      </c>
      <c r="D1431" s="40" t="s">
        <v>70</v>
      </c>
      <c r="E1431" s="40"/>
      <c r="F1431" s="40">
        <v>94</v>
      </c>
      <c r="G1431" s="38"/>
      <c r="H1431" s="38" t="s">
        <v>940</v>
      </c>
      <c r="I1431" s="38" t="s">
        <v>311</v>
      </c>
      <c r="J1431" s="38">
        <v>0</v>
      </c>
      <c r="K1431" s="38" t="s">
        <v>1053</v>
      </c>
      <c r="L1431" s="52" t="s">
        <v>213</v>
      </c>
      <c r="M1431" s="53" t="s">
        <v>213</v>
      </c>
    </row>
    <row r="1432" spans="1:13" x14ac:dyDescent="0.3">
      <c r="A1432" s="37">
        <v>27</v>
      </c>
      <c r="B1432" s="38" t="s">
        <v>1052</v>
      </c>
      <c r="C1432" s="51">
        <v>7896261012332</v>
      </c>
      <c r="D1432" s="40" t="s">
        <v>70</v>
      </c>
      <c r="E1432" s="40"/>
      <c r="F1432" s="40">
        <v>159</v>
      </c>
      <c r="G1432" s="38"/>
      <c r="H1432" s="38" t="s">
        <v>942</v>
      </c>
      <c r="I1432" s="38" t="s">
        <v>311</v>
      </c>
      <c r="J1432" s="38">
        <v>0</v>
      </c>
      <c r="K1432" s="38" t="s">
        <v>1054</v>
      </c>
      <c r="L1432" s="52" t="s">
        <v>213</v>
      </c>
      <c r="M1432" s="53" t="s">
        <v>213</v>
      </c>
    </row>
    <row r="1433" spans="1:13" x14ac:dyDescent="0.3">
      <c r="A1433" s="37">
        <v>27</v>
      </c>
      <c r="B1433" s="38" t="s">
        <v>1052</v>
      </c>
      <c r="C1433" s="51">
        <v>7896261012332</v>
      </c>
      <c r="D1433" s="40" t="s">
        <v>70</v>
      </c>
      <c r="E1433" s="40"/>
      <c r="F1433" s="40">
        <v>164</v>
      </c>
      <c r="G1433" s="38"/>
      <c r="H1433" s="38" t="s">
        <v>944</v>
      </c>
      <c r="I1433" s="38" t="s">
        <v>311</v>
      </c>
      <c r="J1433" s="38">
        <v>0</v>
      </c>
      <c r="K1433" s="38" t="s">
        <v>1054</v>
      </c>
      <c r="L1433" s="52" t="s">
        <v>213</v>
      </c>
      <c r="M1433" s="53" t="s">
        <v>213</v>
      </c>
    </row>
    <row r="1434" spans="1:13" x14ac:dyDescent="0.3">
      <c r="A1434" s="37">
        <v>27</v>
      </c>
      <c r="B1434" s="38" t="s">
        <v>1052</v>
      </c>
      <c r="C1434" s="51">
        <v>7896261012332</v>
      </c>
      <c r="D1434" s="40" t="s">
        <v>70</v>
      </c>
      <c r="E1434" s="40"/>
      <c r="F1434" s="40">
        <v>174</v>
      </c>
      <c r="G1434" s="38"/>
      <c r="H1434" s="38" t="s">
        <v>945</v>
      </c>
      <c r="I1434" s="38" t="s">
        <v>311</v>
      </c>
      <c r="J1434" s="38">
        <v>0</v>
      </c>
      <c r="K1434" s="38" t="s">
        <v>1054</v>
      </c>
      <c r="L1434" s="52" t="s">
        <v>213</v>
      </c>
      <c r="M1434" s="53" t="s">
        <v>213</v>
      </c>
    </row>
    <row r="1435" spans="1:13" x14ac:dyDescent="0.3">
      <c r="A1435" s="37">
        <v>27</v>
      </c>
      <c r="B1435" s="38" t="s">
        <v>1052</v>
      </c>
      <c r="C1435" s="51">
        <v>7896261012332</v>
      </c>
      <c r="D1435" s="40" t="s">
        <v>70</v>
      </c>
      <c r="E1435" s="40"/>
      <c r="F1435" s="40">
        <v>178</v>
      </c>
      <c r="G1435" s="38"/>
      <c r="H1435" s="38" t="s">
        <v>946</v>
      </c>
      <c r="I1435" s="38" t="s">
        <v>424</v>
      </c>
      <c r="J1435" s="38" t="s">
        <v>947</v>
      </c>
      <c r="K1435" s="56">
        <v>0.59</v>
      </c>
      <c r="L1435" s="52" t="s">
        <v>213</v>
      </c>
      <c r="M1435" s="53" t="s">
        <v>213</v>
      </c>
    </row>
    <row r="1436" spans="1:13" x14ac:dyDescent="0.3">
      <c r="A1436" s="37">
        <v>27</v>
      </c>
      <c r="B1436" s="38" t="s">
        <v>1052</v>
      </c>
      <c r="C1436" s="51">
        <v>7896261012332</v>
      </c>
      <c r="D1436" s="40" t="s">
        <v>70</v>
      </c>
      <c r="E1436" s="40"/>
      <c r="F1436" s="40">
        <v>179</v>
      </c>
      <c r="G1436" s="38"/>
      <c r="H1436" s="38" t="s">
        <v>948</v>
      </c>
      <c r="I1436" s="38" t="s">
        <v>424</v>
      </c>
      <c r="J1436" s="38" t="s">
        <v>947</v>
      </c>
      <c r="K1436" s="56">
        <v>0.69</v>
      </c>
      <c r="L1436" s="52" t="s">
        <v>213</v>
      </c>
      <c r="M1436" s="53" t="s">
        <v>213</v>
      </c>
    </row>
    <row r="1437" spans="1:13" x14ac:dyDescent="0.3">
      <c r="A1437" s="37">
        <v>27</v>
      </c>
      <c r="B1437" s="38" t="s">
        <v>1052</v>
      </c>
      <c r="C1437" s="51">
        <v>7896261012332</v>
      </c>
      <c r="D1437" s="40" t="s">
        <v>70</v>
      </c>
      <c r="E1437" s="40"/>
      <c r="F1437" s="40">
        <v>185</v>
      </c>
      <c r="G1437" s="38"/>
      <c r="H1437" s="38" t="s">
        <v>977</v>
      </c>
      <c r="I1437" s="38" t="s">
        <v>424</v>
      </c>
      <c r="J1437" s="38">
        <v>0</v>
      </c>
      <c r="K1437" s="56">
        <v>0.59</v>
      </c>
      <c r="L1437" s="52" t="s">
        <v>213</v>
      </c>
      <c r="M1437" s="53" t="s">
        <v>213</v>
      </c>
    </row>
    <row r="1438" spans="1:13" x14ac:dyDescent="0.3">
      <c r="A1438" s="37">
        <v>27</v>
      </c>
      <c r="B1438" s="38" t="s">
        <v>1052</v>
      </c>
      <c r="C1438" s="51">
        <v>7896261012332</v>
      </c>
      <c r="D1438" s="40" t="s">
        <v>70</v>
      </c>
      <c r="E1438" s="40"/>
      <c r="F1438" s="40">
        <v>196</v>
      </c>
      <c r="G1438" s="38"/>
      <c r="H1438" s="38" t="s">
        <v>949</v>
      </c>
      <c r="I1438" s="38" t="s">
        <v>311</v>
      </c>
      <c r="J1438" s="38" t="s">
        <v>947</v>
      </c>
      <c r="K1438" s="38" t="s">
        <v>1055</v>
      </c>
      <c r="L1438" s="52" t="s">
        <v>213</v>
      </c>
      <c r="M1438" s="53" t="s">
        <v>213</v>
      </c>
    </row>
    <row r="1439" spans="1:13" x14ac:dyDescent="0.3">
      <c r="A1439" s="37">
        <v>27</v>
      </c>
      <c r="B1439" s="38" t="s">
        <v>1052</v>
      </c>
      <c r="C1439" s="51">
        <v>7896261012332</v>
      </c>
      <c r="D1439" s="40" t="s">
        <v>70</v>
      </c>
      <c r="E1439" s="40"/>
      <c r="F1439" s="40">
        <v>197</v>
      </c>
      <c r="G1439" s="38"/>
      <c r="H1439" s="38" t="s">
        <v>951</v>
      </c>
      <c r="I1439" s="38" t="s">
        <v>311</v>
      </c>
      <c r="J1439" s="38" t="s">
        <v>947</v>
      </c>
      <c r="K1439" s="38" t="s">
        <v>1055</v>
      </c>
      <c r="L1439" s="52" t="s">
        <v>213</v>
      </c>
      <c r="M1439" s="53" t="s">
        <v>213</v>
      </c>
    </row>
    <row r="1440" spans="1:13" x14ac:dyDescent="0.3">
      <c r="A1440" s="37">
        <v>27</v>
      </c>
      <c r="B1440" s="38" t="s">
        <v>1052</v>
      </c>
      <c r="C1440" s="51">
        <v>7896261012332</v>
      </c>
      <c r="D1440" s="40" t="s">
        <v>70</v>
      </c>
      <c r="E1440" s="40"/>
      <c r="F1440" s="40">
        <v>198</v>
      </c>
      <c r="G1440" s="38"/>
      <c r="H1440" s="38" t="s">
        <v>952</v>
      </c>
      <c r="I1440" s="38" t="s">
        <v>311</v>
      </c>
      <c r="J1440" s="38" t="s">
        <v>947</v>
      </c>
      <c r="K1440" s="38" t="s">
        <v>1055</v>
      </c>
      <c r="L1440" s="52" t="s">
        <v>213</v>
      </c>
      <c r="M1440" s="53" t="s">
        <v>213</v>
      </c>
    </row>
    <row r="1441" spans="1:13" x14ac:dyDescent="0.3">
      <c r="A1441" s="37">
        <v>27</v>
      </c>
      <c r="B1441" s="38" t="s">
        <v>1052</v>
      </c>
      <c r="C1441" s="51">
        <v>7896261012332</v>
      </c>
      <c r="D1441" s="40" t="s">
        <v>70</v>
      </c>
      <c r="E1441" s="40"/>
      <c r="F1441" s="40">
        <v>199</v>
      </c>
      <c r="G1441" s="38"/>
      <c r="H1441" s="38" t="s">
        <v>953</v>
      </c>
      <c r="I1441" s="38" t="s">
        <v>311</v>
      </c>
      <c r="J1441" s="38" t="s">
        <v>947</v>
      </c>
      <c r="K1441" s="38" t="s">
        <v>1055</v>
      </c>
      <c r="L1441" s="52" t="s">
        <v>213</v>
      </c>
      <c r="M1441" s="53" t="s">
        <v>213</v>
      </c>
    </row>
    <row r="1442" spans="1:13" x14ac:dyDescent="0.3">
      <c r="A1442" s="37">
        <v>27</v>
      </c>
      <c r="B1442" s="38" t="s">
        <v>1052</v>
      </c>
      <c r="C1442" s="51">
        <v>7896261012332</v>
      </c>
      <c r="D1442" s="40" t="s">
        <v>70</v>
      </c>
      <c r="E1442" s="40"/>
      <c r="F1442" s="40">
        <v>200</v>
      </c>
      <c r="G1442" s="38"/>
      <c r="H1442" s="38" t="s">
        <v>954</v>
      </c>
      <c r="I1442" s="38" t="s">
        <v>311</v>
      </c>
      <c r="J1442" s="38" t="s">
        <v>947</v>
      </c>
      <c r="K1442" s="38" t="s">
        <v>1055</v>
      </c>
      <c r="L1442" s="52" t="s">
        <v>213</v>
      </c>
      <c r="M1442" s="53" t="s">
        <v>213</v>
      </c>
    </row>
    <row r="1443" spans="1:13" x14ac:dyDescent="0.3">
      <c r="A1443" s="37">
        <v>27</v>
      </c>
      <c r="B1443" s="38" t="s">
        <v>1052</v>
      </c>
      <c r="C1443" s="51">
        <v>7896261012332</v>
      </c>
      <c r="D1443" s="40" t="s">
        <v>70</v>
      </c>
      <c r="E1443" s="40"/>
      <c r="F1443" s="40">
        <v>215</v>
      </c>
      <c r="G1443" s="38"/>
      <c r="H1443" s="38" t="s">
        <v>955</v>
      </c>
      <c r="I1443" s="38" t="s">
        <v>311</v>
      </c>
      <c r="J1443" s="38" t="s">
        <v>947</v>
      </c>
      <c r="K1443" s="38" t="s">
        <v>1055</v>
      </c>
      <c r="L1443" s="52" t="s">
        <v>213</v>
      </c>
      <c r="M1443" s="53" t="s">
        <v>213</v>
      </c>
    </row>
    <row r="1444" spans="1:13" x14ac:dyDescent="0.3">
      <c r="A1444" s="37">
        <v>27</v>
      </c>
      <c r="B1444" s="38" t="s">
        <v>1052</v>
      </c>
      <c r="C1444" s="51">
        <v>7896261012332</v>
      </c>
      <c r="D1444" s="40" t="s">
        <v>70</v>
      </c>
      <c r="E1444" s="40"/>
      <c r="F1444" s="40">
        <v>217</v>
      </c>
      <c r="G1444" s="38"/>
      <c r="H1444" s="38" t="s">
        <v>956</v>
      </c>
      <c r="I1444" s="38" t="s">
        <v>311</v>
      </c>
      <c r="J1444" s="38" t="s">
        <v>947</v>
      </c>
      <c r="K1444" s="38" t="s">
        <v>1055</v>
      </c>
      <c r="L1444" s="52" t="s">
        <v>213</v>
      </c>
      <c r="M1444" s="53" t="s">
        <v>213</v>
      </c>
    </row>
    <row r="1445" spans="1:13" x14ac:dyDescent="0.3">
      <c r="A1445" s="37">
        <v>27</v>
      </c>
      <c r="B1445" s="38" t="s">
        <v>1052</v>
      </c>
      <c r="C1445" s="51">
        <v>7896261012332</v>
      </c>
      <c r="D1445" s="40" t="s">
        <v>70</v>
      </c>
      <c r="E1445" s="40"/>
      <c r="F1445" s="40">
        <v>219</v>
      </c>
      <c r="G1445" s="38"/>
      <c r="H1445" s="38" t="s">
        <v>957</v>
      </c>
      <c r="I1445" s="38" t="s">
        <v>311</v>
      </c>
      <c r="J1445" s="38" t="s">
        <v>947</v>
      </c>
      <c r="K1445" s="38" t="s">
        <v>1055</v>
      </c>
      <c r="L1445" s="52" t="s">
        <v>213</v>
      </c>
      <c r="M1445" s="53" t="s">
        <v>213</v>
      </c>
    </row>
    <row r="1446" spans="1:13" x14ac:dyDescent="0.3">
      <c r="A1446" s="37">
        <v>27</v>
      </c>
      <c r="B1446" s="38" t="s">
        <v>1052</v>
      </c>
      <c r="C1446" s="51">
        <v>7896261012332</v>
      </c>
      <c r="D1446" s="40" t="s">
        <v>70</v>
      </c>
      <c r="E1446" s="40"/>
      <c r="F1446" s="40">
        <v>228</v>
      </c>
      <c r="G1446" s="38"/>
      <c r="H1446" s="38" t="s">
        <v>958</v>
      </c>
      <c r="I1446" s="38" t="s">
        <v>311</v>
      </c>
      <c r="J1446" s="38" t="s">
        <v>947</v>
      </c>
      <c r="K1446" s="38" t="s">
        <v>1055</v>
      </c>
      <c r="L1446" s="52" t="s">
        <v>213</v>
      </c>
      <c r="M1446" s="53" t="s">
        <v>213</v>
      </c>
    </row>
    <row r="1447" spans="1:13" x14ac:dyDescent="0.3">
      <c r="A1447" s="37">
        <v>27</v>
      </c>
      <c r="B1447" s="38" t="s">
        <v>1052</v>
      </c>
      <c r="C1447" s="51">
        <v>7896261012332</v>
      </c>
      <c r="D1447" s="40" t="s">
        <v>70</v>
      </c>
      <c r="E1447" s="40"/>
      <c r="F1447" s="40">
        <v>229</v>
      </c>
      <c r="G1447" s="38"/>
      <c r="H1447" s="38" t="s">
        <v>959</v>
      </c>
      <c r="I1447" s="38" t="s">
        <v>311</v>
      </c>
      <c r="J1447" s="38" t="s">
        <v>947</v>
      </c>
      <c r="K1447" s="38" t="s">
        <v>1055</v>
      </c>
      <c r="L1447" s="52" t="s">
        <v>213</v>
      </c>
      <c r="M1447" s="53" t="s">
        <v>213</v>
      </c>
    </row>
    <row r="1448" spans="1:13" x14ac:dyDescent="0.3">
      <c r="A1448" s="37">
        <v>27</v>
      </c>
      <c r="B1448" s="38" t="s">
        <v>1052</v>
      </c>
      <c r="C1448" s="51">
        <v>7896261012332</v>
      </c>
      <c r="D1448" s="40" t="s">
        <v>70</v>
      </c>
      <c r="E1448" s="40"/>
      <c r="F1448" s="40">
        <v>247</v>
      </c>
      <c r="G1448" s="38"/>
      <c r="H1448" s="38" t="s">
        <v>979</v>
      </c>
      <c r="I1448" s="38" t="s">
        <v>424</v>
      </c>
      <c r="J1448" s="38" t="s">
        <v>947</v>
      </c>
      <c r="K1448" s="56">
        <v>0.6</v>
      </c>
      <c r="L1448" s="52" t="s">
        <v>213</v>
      </c>
      <c r="M1448" s="53" t="s">
        <v>213</v>
      </c>
    </row>
    <row r="1449" spans="1:13" x14ac:dyDescent="0.3">
      <c r="A1449" s="37">
        <v>27</v>
      </c>
      <c r="B1449" s="38" t="s">
        <v>1052</v>
      </c>
      <c r="C1449" s="51">
        <v>7896261012332</v>
      </c>
      <c r="D1449" s="40" t="s">
        <v>70</v>
      </c>
      <c r="E1449" s="40"/>
      <c r="F1449" s="40">
        <v>249</v>
      </c>
      <c r="G1449" s="38"/>
      <c r="H1449" s="38" t="s">
        <v>960</v>
      </c>
      <c r="I1449" s="38" t="s">
        <v>311</v>
      </c>
      <c r="J1449" s="38" t="s">
        <v>947</v>
      </c>
      <c r="K1449" s="38" t="s">
        <v>1055</v>
      </c>
      <c r="L1449" s="52" t="s">
        <v>213</v>
      </c>
      <c r="M1449" s="53" t="s">
        <v>213</v>
      </c>
    </row>
    <row r="1450" spans="1:13" x14ac:dyDescent="0.3">
      <c r="A1450" s="37">
        <v>27</v>
      </c>
      <c r="B1450" s="38" t="s">
        <v>1052</v>
      </c>
      <c r="C1450" s="51">
        <v>7896261012332</v>
      </c>
      <c r="D1450" s="40" t="s">
        <v>70</v>
      </c>
      <c r="E1450" s="40"/>
      <c r="F1450" s="40">
        <v>262</v>
      </c>
      <c r="G1450" s="38"/>
      <c r="H1450" s="38" t="s">
        <v>961</v>
      </c>
      <c r="I1450" s="38" t="s">
        <v>424</v>
      </c>
      <c r="J1450" s="38" t="s">
        <v>947</v>
      </c>
      <c r="K1450" s="38">
        <v>58.7</v>
      </c>
      <c r="L1450" s="52" t="s">
        <v>213</v>
      </c>
      <c r="M1450" s="53" t="s">
        <v>213</v>
      </c>
    </row>
    <row r="1451" spans="1:13" x14ac:dyDescent="0.3">
      <c r="A1451" s="37">
        <v>27</v>
      </c>
      <c r="B1451" s="38" t="s">
        <v>1052</v>
      </c>
      <c r="C1451" s="51">
        <v>7896261012332</v>
      </c>
      <c r="D1451" s="40" t="s">
        <v>70</v>
      </c>
      <c r="E1451" s="40"/>
      <c r="F1451" s="40">
        <v>301</v>
      </c>
      <c r="G1451" s="38"/>
      <c r="H1451" s="38" t="s">
        <v>963</v>
      </c>
      <c r="I1451" s="38" t="s">
        <v>311</v>
      </c>
      <c r="J1451" s="38" t="s">
        <v>947</v>
      </c>
      <c r="K1451" s="38" t="s">
        <v>950</v>
      </c>
      <c r="L1451" s="52" t="s">
        <v>213</v>
      </c>
      <c r="M1451" s="53" t="s">
        <v>213</v>
      </c>
    </row>
    <row r="1452" spans="1:13" x14ac:dyDescent="0.3">
      <c r="A1452" s="37">
        <v>27</v>
      </c>
      <c r="B1452" s="38" t="s">
        <v>1056</v>
      </c>
      <c r="C1452" s="51">
        <v>7896261012356</v>
      </c>
      <c r="D1452" s="40" t="s">
        <v>70</v>
      </c>
      <c r="E1452" s="40"/>
      <c r="F1452" s="40">
        <v>94</v>
      </c>
      <c r="G1452" s="38"/>
      <c r="H1452" s="38" t="s">
        <v>940</v>
      </c>
      <c r="I1452" s="38" t="s">
        <v>311</v>
      </c>
      <c r="J1452" s="38">
        <v>0</v>
      </c>
      <c r="K1452" s="38" t="s">
        <v>1053</v>
      </c>
      <c r="L1452" s="52" t="s">
        <v>213</v>
      </c>
      <c r="M1452" s="53" t="s">
        <v>213</v>
      </c>
    </row>
    <row r="1453" spans="1:13" x14ac:dyDescent="0.3">
      <c r="A1453" s="37">
        <v>27</v>
      </c>
      <c r="B1453" s="38" t="s">
        <v>1056</v>
      </c>
      <c r="C1453" s="51">
        <v>7896261012356</v>
      </c>
      <c r="D1453" s="40" t="s">
        <v>70</v>
      </c>
      <c r="E1453" s="40"/>
      <c r="F1453" s="40">
        <v>159</v>
      </c>
      <c r="G1453" s="38"/>
      <c r="H1453" s="38" t="s">
        <v>942</v>
      </c>
      <c r="I1453" s="38" t="s">
        <v>311</v>
      </c>
      <c r="J1453" s="38">
        <v>0</v>
      </c>
      <c r="K1453" s="38" t="s">
        <v>1054</v>
      </c>
      <c r="L1453" s="52" t="s">
        <v>213</v>
      </c>
      <c r="M1453" s="53" t="s">
        <v>213</v>
      </c>
    </row>
    <row r="1454" spans="1:13" x14ac:dyDescent="0.3">
      <c r="A1454" s="37">
        <v>27</v>
      </c>
      <c r="B1454" s="38" t="s">
        <v>1056</v>
      </c>
      <c r="C1454" s="51">
        <v>7896261012356</v>
      </c>
      <c r="D1454" s="40" t="s">
        <v>70</v>
      </c>
      <c r="E1454" s="40"/>
      <c r="F1454" s="40">
        <v>164</v>
      </c>
      <c r="G1454" s="38"/>
      <c r="H1454" s="38" t="s">
        <v>944</v>
      </c>
      <c r="I1454" s="38" t="s">
        <v>311</v>
      </c>
      <c r="J1454" s="38">
        <v>0</v>
      </c>
      <c r="K1454" s="38" t="s">
        <v>1054</v>
      </c>
      <c r="L1454" s="52" t="s">
        <v>213</v>
      </c>
      <c r="M1454" s="53" t="s">
        <v>213</v>
      </c>
    </row>
    <row r="1455" spans="1:13" x14ac:dyDescent="0.3">
      <c r="A1455" s="37">
        <v>27</v>
      </c>
      <c r="B1455" s="38" t="s">
        <v>1056</v>
      </c>
      <c r="C1455" s="51">
        <v>7896261012356</v>
      </c>
      <c r="D1455" s="40" t="s">
        <v>70</v>
      </c>
      <c r="E1455" s="40"/>
      <c r="F1455" s="40">
        <v>174</v>
      </c>
      <c r="G1455" s="38"/>
      <c r="H1455" s="38" t="s">
        <v>945</v>
      </c>
      <c r="I1455" s="38" t="s">
        <v>311</v>
      </c>
      <c r="J1455" s="38">
        <v>0</v>
      </c>
      <c r="K1455" s="38" t="s">
        <v>1054</v>
      </c>
      <c r="L1455" s="52" t="s">
        <v>213</v>
      </c>
      <c r="M1455" s="53" t="s">
        <v>213</v>
      </c>
    </row>
    <row r="1456" spans="1:13" x14ac:dyDescent="0.3">
      <c r="A1456" s="37">
        <v>27</v>
      </c>
      <c r="B1456" s="38" t="s">
        <v>1056</v>
      </c>
      <c r="C1456" s="51">
        <v>7896261012356</v>
      </c>
      <c r="D1456" s="40" t="s">
        <v>70</v>
      </c>
      <c r="E1456" s="40"/>
      <c r="F1456" s="40">
        <v>178</v>
      </c>
      <c r="G1456" s="38"/>
      <c r="H1456" s="38" t="s">
        <v>946</v>
      </c>
      <c r="I1456" s="38" t="s">
        <v>424</v>
      </c>
      <c r="J1456" s="38" t="s">
        <v>947</v>
      </c>
      <c r="K1456" s="56">
        <v>0.59</v>
      </c>
      <c r="L1456" s="52" t="s">
        <v>213</v>
      </c>
      <c r="M1456" s="53" t="s">
        <v>213</v>
      </c>
    </row>
    <row r="1457" spans="1:13" x14ac:dyDescent="0.3">
      <c r="A1457" s="37">
        <v>27</v>
      </c>
      <c r="B1457" s="38" t="s">
        <v>1056</v>
      </c>
      <c r="C1457" s="51">
        <v>7896261012356</v>
      </c>
      <c r="D1457" s="40" t="s">
        <v>70</v>
      </c>
      <c r="E1457" s="40"/>
      <c r="F1457" s="40">
        <v>179</v>
      </c>
      <c r="G1457" s="38"/>
      <c r="H1457" s="38" t="s">
        <v>948</v>
      </c>
      <c r="I1457" s="38" t="s">
        <v>424</v>
      </c>
      <c r="J1457" s="38" t="s">
        <v>947</v>
      </c>
      <c r="K1457" s="56">
        <v>0.69</v>
      </c>
      <c r="L1457" s="52" t="s">
        <v>213</v>
      </c>
      <c r="M1457" s="53" t="s">
        <v>213</v>
      </c>
    </row>
    <row r="1458" spans="1:13" x14ac:dyDescent="0.3">
      <c r="A1458" s="37">
        <v>27</v>
      </c>
      <c r="B1458" s="38" t="s">
        <v>1056</v>
      </c>
      <c r="C1458" s="51">
        <v>7896261012356</v>
      </c>
      <c r="D1458" s="40" t="s">
        <v>70</v>
      </c>
      <c r="E1458" s="40"/>
      <c r="F1458" s="40">
        <v>185</v>
      </c>
      <c r="G1458" s="38"/>
      <c r="H1458" s="38" t="s">
        <v>977</v>
      </c>
      <c r="I1458" s="38" t="s">
        <v>424</v>
      </c>
      <c r="J1458" s="38">
        <v>0</v>
      </c>
      <c r="K1458" s="56">
        <v>0.59</v>
      </c>
      <c r="L1458" s="52" t="s">
        <v>213</v>
      </c>
      <c r="M1458" s="53" t="s">
        <v>213</v>
      </c>
    </row>
    <row r="1459" spans="1:13" x14ac:dyDescent="0.3">
      <c r="A1459" s="37">
        <v>27</v>
      </c>
      <c r="B1459" s="38" t="s">
        <v>1056</v>
      </c>
      <c r="C1459" s="51">
        <v>7896261012356</v>
      </c>
      <c r="D1459" s="40" t="s">
        <v>70</v>
      </c>
      <c r="E1459" s="40"/>
      <c r="F1459" s="40">
        <v>196</v>
      </c>
      <c r="G1459" s="38"/>
      <c r="H1459" s="38" t="s">
        <v>949</v>
      </c>
      <c r="I1459" s="38" t="s">
        <v>311</v>
      </c>
      <c r="J1459" s="38" t="s">
        <v>947</v>
      </c>
      <c r="K1459" s="38" t="s">
        <v>1055</v>
      </c>
      <c r="L1459" s="52" t="s">
        <v>213</v>
      </c>
      <c r="M1459" s="53" t="s">
        <v>213</v>
      </c>
    </row>
    <row r="1460" spans="1:13" x14ac:dyDescent="0.3">
      <c r="A1460" s="37">
        <v>27</v>
      </c>
      <c r="B1460" s="38" t="s">
        <v>1056</v>
      </c>
      <c r="C1460" s="51">
        <v>7896261012356</v>
      </c>
      <c r="D1460" s="40" t="s">
        <v>70</v>
      </c>
      <c r="E1460" s="40"/>
      <c r="F1460" s="40">
        <v>197</v>
      </c>
      <c r="G1460" s="38"/>
      <c r="H1460" s="38" t="s">
        <v>951</v>
      </c>
      <c r="I1460" s="38" t="s">
        <v>311</v>
      </c>
      <c r="J1460" s="38" t="s">
        <v>947</v>
      </c>
      <c r="K1460" s="38" t="s">
        <v>1055</v>
      </c>
      <c r="L1460" s="52" t="s">
        <v>213</v>
      </c>
      <c r="M1460" s="53" t="s">
        <v>213</v>
      </c>
    </row>
    <row r="1461" spans="1:13" x14ac:dyDescent="0.3">
      <c r="A1461" s="37">
        <v>27</v>
      </c>
      <c r="B1461" s="38" t="s">
        <v>1056</v>
      </c>
      <c r="C1461" s="51">
        <v>7896261012356</v>
      </c>
      <c r="D1461" s="40" t="s">
        <v>70</v>
      </c>
      <c r="E1461" s="40"/>
      <c r="F1461" s="40">
        <v>198</v>
      </c>
      <c r="G1461" s="38"/>
      <c r="H1461" s="38" t="s">
        <v>952</v>
      </c>
      <c r="I1461" s="38" t="s">
        <v>311</v>
      </c>
      <c r="J1461" s="38" t="s">
        <v>947</v>
      </c>
      <c r="K1461" s="38" t="s">
        <v>1055</v>
      </c>
      <c r="L1461" s="52" t="s">
        <v>213</v>
      </c>
      <c r="M1461" s="53" t="s">
        <v>213</v>
      </c>
    </row>
    <row r="1462" spans="1:13" x14ac:dyDescent="0.3">
      <c r="A1462" s="37">
        <v>27</v>
      </c>
      <c r="B1462" s="38" t="s">
        <v>1056</v>
      </c>
      <c r="C1462" s="51">
        <v>7896261012356</v>
      </c>
      <c r="D1462" s="40" t="s">
        <v>70</v>
      </c>
      <c r="E1462" s="40"/>
      <c r="F1462" s="40">
        <v>199</v>
      </c>
      <c r="G1462" s="38"/>
      <c r="H1462" s="38" t="s">
        <v>953</v>
      </c>
      <c r="I1462" s="38" t="s">
        <v>311</v>
      </c>
      <c r="J1462" s="38" t="s">
        <v>947</v>
      </c>
      <c r="K1462" s="38" t="s">
        <v>1055</v>
      </c>
      <c r="L1462" s="52" t="s">
        <v>213</v>
      </c>
      <c r="M1462" s="53" t="s">
        <v>213</v>
      </c>
    </row>
    <row r="1463" spans="1:13" x14ac:dyDescent="0.3">
      <c r="A1463" s="37">
        <v>27</v>
      </c>
      <c r="B1463" s="38" t="s">
        <v>1056</v>
      </c>
      <c r="C1463" s="51">
        <v>7896261012356</v>
      </c>
      <c r="D1463" s="40" t="s">
        <v>70</v>
      </c>
      <c r="E1463" s="40"/>
      <c r="F1463" s="40">
        <v>200</v>
      </c>
      <c r="G1463" s="38"/>
      <c r="H1463" s="38" t="s">
        <v>954</v>
      </c>
      <c r="I1463" s="38" t="s">
        <v>311</v>
      </c>
      <c r="J1463" s="38" t="s">
        <v>947</v>
      </c>
      <c r="K1463" s="38" t="s">
        <v>1055</v>
      </c>
      <c r="L1463" s="52" t="s">
        <v>213</v>
      </c>
      <c r="M1463" s="53" t="s">
        <v>213</v>
      </c>
    </row>
    <row r="1464" spans="1:13" x14ac:dyDescent="0.3">
      <c r="A1464" s="37">
        <v>27</v>
      </c>
      <c r="B1464" s="38" t="s">
        <v>1056</v>
      </c>
      <c r="C1464" s="51">
        <v>7896261012356</v>
      </c>
      <c r="D1464" s="40" t="s">
        <v>70</v>
      </c>
      <c r="E1464" s="40"/>
      <c r="F1464" s="40">
        <v>215</v>
      </c>
      <c r="G1464" s="38"/>
      <c r="H1464" s="38" t="s">
        <v>955</v>
      </c>
      <c r="I1464" s="38" t="s">
        <v>311</v>
      </c>
      <c r="J1464" s="38" t="s">
        <v>947</v>
      </c>
      <c r="K1464" s="38" t="s">
        <v>1055</v>
      </c>
      <c r="L1464" s="52" t="s">
        <v>213</v>
      </c>
      <c r="M1464" s="53" t="s">
        <v>213</v>
      </c>
    </row>
    <row r="1465" spans="1:13" x14ac:dyDescent="0.3">
      <c r="A1465" s="37">
        <v>27</v>
      </c>
      <c r="B1465" s="38" t="s">
        <v>1056</v>
      </c>
      <c r="C1465" s="51">
        <v>7896261012356</v>
      </c>
      <c r="D1465" s="40" t="s">
        <v>70</v>
      </c>
      <c r="E1465" s="40"/>
      <c r="F1465" s="40">
        <v>217</v>
      </c>
      <c r="G1465" s="38"/>
      <c r="H1465" s="38" t="s">
        <v>956</v>
      </c>
      <c r="I1465" s="38" t="s">
        <v>311</v>
      </c>
      <c r="J1465" s="38" t="s">
        <v>947</v>
      </c>
      <c r="K1465" s="38" t="s">
        <v>1055</v>
      </c>
      <c r="L1465" s="52" t="s">
        <v>213</v>
      </c>
      <c r="M1465" s="53" t="s">
        <v>213</v>
      </c>
    </row>
    <row r="1466" spans="1:13" x14ac:dyDescent="0.3">
      <c r="A1466" s="37">
        <v>27</v>
      </c>
      <c r="B1466" s="38" t="s">
        <v>1056</v>
      </c>
      <c r="C1466" s="51">
        <v>7896261012356</v>
      </c>
      <c r="D1466" s="40" t="s">
        <v>70</v>
      </c>
      <c r="E1466" s="40"/>
      <c r="F1466" s="40">
        <v>219</v>
      </c>
      <c r="G1466" s="38"/>
      <c r="H1466" s="38" t="s">
        <v>957</v>
      </c>
      <c r="I1466" s="38" t="s">
        <v>311</v>
      </c>
      <c r="J1466" s="38" t="s">
        <v>947</v>
      </c>
      <c r="K1466" s="38" t="s">
        <v>1055</v>
      </c>
      <c r="L1466" s="52" t="s">
        <v>213</v>
      </c>
      <c r="M1466" s="53" t="s">
        <v>213</v>
      </c>
    </row>
    <row r="1467" spans="1:13" x14ac:dyDescent="0.3">
      <c r="A1467" s="37">
        <v>27</v>
      </c>
      <c r="B1467" s="38" t="s">
        <v>1056</v>
      </c>
      <c r="C1467" s="51">
        <v>7896261012356</v>
      </c>
      <c r="D1467" s="40" t="s">
        <v>70</v>
      </c>
      <c r="E1467" s="40"/>
      <c r="F1467" s="40">
        <v>228</v>
      </c>
      <c r="G1467" s="38"/>
      <c r="H1467" s="38" t="s">
        <v>958</v>
      </c>
      <c r="I1467" s="38" t="s">
        <v>311</v>
      </c>
      <c r="J1467" s="38" t="s">
        <v>947</v>
      </c>
      <c r="K1467" s="38" t="s">
        <v>1055</v>
      </c>
      <c r="L1467" s="52" t="s">
        <v>213</v>
      </c>
      <c r="M1467" s="53" t="s">
        <v>213</v>
      </c>
    </row>
    <row r="1468" spans="1:13" x14ac:dyDescent="0.3">
      <c r="A1468" s="37">
        <v>27</v>
      </c>
      <c r="B1468" s="38" t="s">
        <v>1056</v>
      </c>
      <c r="C1468" s="51">
        <v>7896261012356</v>
      </c>
      <c r="D1468" s="40" t="s">
        <v>70</v>
      </c>
      <c r="E1468" s="40"/>
      <c r="F1468" s="40">
        <v>229</v>
      </c>
      <c r="G1468" s="38"/>
      <c r="H1468" s="38" t="s">
        <v>959</v>
      </c>
      <c r="I1468" s="38" t="s">
        <v>311</v>
      </c>
      <c r="J1468" s="38" t="s">
        <v>947</v>
      </c>
      <c r="K1468" s="38" t="s">
        <v>1055</v>
      </c>
      <c r="L1468" s="52" t="s">
        <v>213</v>
      </c>
      <c r="M1468" s="53" t="s">
        <v>213</v>
      </c>
    </row>
    <row r="1469" spans="1:13" x14ac:dyDescent="0.3">
      <c r="A1469" s="37">
        <v>27</v>
      </c>
      <c r="B1469" s="38" t="s">
        <v>1056</v>
      </c>
      <c r="C1469" s="51">
        <v>7896261012356</v>
      </c>
      <c r="D1469" s="40" t="s">
        <v>70</v>
      </c>
      <c r="E1469" s="40"/>
      <c r="F1469" s="40">
        <v>247</v>
      </c>
      <c r="G1469" s="38"/>
      <c r="H1469" s="38" t="s">
        <v>979</v>
      </c>
      <c r="I1469" s="38" t="s">
        <v>424</v>
      </c>
      <c r="J1469" s="38" t="s">
        <v>947</v>
      </c>
      <c r="K1469" s="56">
        <v>0.6</v>
      </c>
      <c r="L1469" s="52" t="s">
        <v>213</v>
      </c>
      <c r="M1469" s="53" t="s">
        <v>213</v>
      </c>
    </row>
    <row r="1470" spans="1:13" x14ac:dyDescent="0.3">
      <c r="A1470" s="37">
        <v>27</v>
      </c>
      <c r="B1470" s="38" t="s">
        <v>1056</v>
      </c>
      <c r="C1470" s="51">
        <v>7896261012356</v>
      </c>
      <c r="D1470" s="40" t="s">
        <v>70</v>
      </c>
      <c r="E1470" s="40"/>
      <c r="F1470" s="40">
        <v>249</v>
      </c>
      <c r="G1470" s="38"/>
      <c r="H1470" s="38" t="s">
        <v>960</v>
      </c>
      <c r="I1470" s="38" t="s">
        <v>311</v>
      </c>
      <c r="J1470" s="38" t="s">
        <v>947</v>
      </c>
      <c r="K1470" s="38" t="s">
        <v>1055</v>
      </c>
      <c r="L1470" s="52" t="s">
        <v>213</v>
      </c>
      <c r="M1470" s="53" t="s">
        <v>213</v>
      </c>
    </row>
    <row r="1471" spans="1:13" x14ac:dyDescent="0.3">
      <c r="A1471" s="37">
        <v>27</v>
      </c>
      <c r="B1471" s="38" t="s">
        <v>1056</v>
      </c>
      <c r="C1471" s="51">
        <v>7896261012356</v>
      </c>
      <c r="D1471" s="40" t="s">
        <v>70</v>
      </c>
      <c r="E1471" s="40"/>
      <c r="F1471" s="40">
        <v>262</v>
      </c>
      <c r="G1471" s="38"/>
      <c r="H1471" s="38" t="s">
        <v>961</v>
      </c>
      <c r="I1471" s="38" t="s">
        <v>424</v>
      </c>
      <c r="J1471" s="38" t="s">
        <v>947</v>
      </c>
      <c r="K1471" s="38">
        <v>58.7</v>
      </c>
      <c r="L1471" s="52" t="s">
        <v>213</v>
      </c>
      <c r="M1471" s="53" t="s">
        <v>213</v>
      </c>
    </row>
    <row r="1472" spans="1:13" x14ac:dyDescent="0.3">
      <c r="A1472" s="37">
        <v>27</v>
      </c>
      <c r="B1472" s="38" t="s">
        <v>1056</v>
      </c>
      <c r="C1472" s="51">
        <v>7896261012356</v>
      </c>
      <c r="D1472" s="40" t="s">
        <v>70</v>
      </c>
      <c r="E1472" s="40"/>
      <c r="F1472" s="40">
        <v>301</v>
      </c>
      <c r="G1472" s="38"/>
      <c r="H1472" s="38" t="s">
        <v>963</v>
      </c>
      <c r="I1472" s="38" t="s">
        <v>311</v>
      </c>
      <c r="J1472" s="38" t="s">
        <v>947</v>
      </c>
      <c r="K1472" s="38" t="s">
        <v>950</v>
      </c>
      <c r="L1472" s="52" t="s">
        <v>213</v>
      </c>
      <c r="M1472" s="53" t="s">
        <v>213</v>
      </c>
    </row>
    <row r="1473" spans="1:13" x14ac:dyDescent="0.3">
      <c r="A1473" s="37">
        <v>27</v>
      </c>
      <c r="B1473" s="38" t="s">
        <v>1057</v>
      </c>
      <c r="C1473" s="51">
        <v>7896261012448</v>
      </c>
      <c r="D1473" s="40" t="s">
        <v>70</v>
      </c>
      <c r="E1473" s="40"/>
      <c r="F1473" s="40">
        <v>94</v>
      </c>
      <c r="G1473" s="38"/>
      <c r="H1473" s="38" t="s">
        <v>940</v>
      </c>
      <c r="I1473" s="38" t="s">
        <v>311</v>
      </c>
      <c r="J1473" s="38">
        <v>0</v>
      </c>
      <c r="K1473" s="38" t="s">
        <v>1058</v>
      </c>
      <c r="L1473" s="52" t="s">
        <v>213</v>
      </c>
      <c r="M1473" s="53" t="s">
        <v>213</v>
      </c>
    </row>
    <row r="1474" spans="1:13" x14ac:dyDescent="0.3">
      <c r="A1474" s="37">
        <v>27</v>
      </c>
      <c r="B1474" s="38" t="s">
        <v>1057</v>
      </c>
      <c r="C1474" s="51">
        <v>7896261012448</v>
      </c>
      <c r="D1474" s="40" t="s">
        <v>70</v>
      </c>
      <c r="E1474" s="40"/>
      <c r="F1474" s="40">
        <v>159</v>
      </c>
      <c r="G1474" s="38"/>
      <c r="H1474" s="38" t="s">
        <v>942</v>
      </c>
      <c r="I1474" s="38" t="s">
        <v>311</v>
      </c>
      <c r="J1474" s="38">
        <v>0</v>
      </c>
      <c r="K1474" s="38" t="s">
        <v>1059</v>
      </c>
      <c r="L1474" s="52" t="s">
        <v>213</v>
      </c>
      <c r="M1474" s="53" t="s">
        <v>213</v>
      </c>
    </row>
    <row r="1475" spans="1:13" x14ac:dyDescent="0.3">
      <c r="A1475" s="37">
        <v>27</v>
      </c>
      <c r="B1475" s="38" t="s">
        <v>1057</v>
      </c>
      <c r="C1475" s="51">
        <v>7896261012448</v>
      </c>
      <c r="D1475" s="40" t="s">
        <v>70</v>
      </c>
      <c r="E1475" s="40"/>
      <c r="F1475" s="40">
        <v>164</v>
      </c>
      <c r="G1475" s="38"/>
      <c r="H1475" s="38" t="s">
        <v>944</v>
      </c>
      <c r="I1475" s="38" t="s">
        <v>311</v>
      </c>
      <c r="J1475" s="38">
        <v>0</v>
      </c>
      <c r="K1475" s="38" t="s">
        <v>1059</v>
      </c>
      <c r="L1475" s="52" t="s">
        <v>213</v>
      </c>
      <c r="M1475" s="53" t="s">
        <v>213</v>
      </c>
    </row>
    <row r="1476" spans="1:13" x14ac:dyDescent="0.3">
      <c r="A1476" s="37">
        <v>27</v>
      </c>
      <c r="B1476" s="38" t="s">
        <v>1057</v>
      </c>
      <c r="C1476" s="51">
        <v>7896261012448</v>
      </c>
      <c r="D1476" s="40" t="s">
        <v>70</v>
      </c>
      <c r="E1476" s="40"/>
      <c r="F1476" s="40">
        <v>174</v>
      </c>
      <c r="G1476" s="38"/>
      <c r="H1476" s="38" t="s">
        <v>945</v>
      </c>
      <c r="I1476" s="38" t="s">
        <v>311</v>
      </c>
      <c r="J1476" s="38">
        <v>0</v>
      </c>
      <c r="K1476" s="38" t="s">
        <v>1059</v>
      </c>
      <c r="L1476" s="52" t="s">
        <v>213</v>
      </c>
      <c r="M1476" s="53" t="s">
        <v>213</v>
      </c>
    </row>
    <row r="1477" spans="1:13" x14ac:dyDescent="0.3">
      <c r="A1477" s="37">
        <v>27</v>
      </c>
      <c r="B1477" s="38" t="s">
        <v>1057</v>
      </c>
      <c r="C1477" s="51">
        <v>7896261012448</v>
      </c>
      <c r="D1477" s="40" t="s">
        <v>70</v>
      </c>
      <c r="E1477" s="40"/>
      <c r="F1477" s="40">
        <v>178</v>
      </c>
      <c r="G1477" s="38"/>
      <c r="H1477" s="38" t="s">
        <v>946</v>
      </c>
      <c r="I1477" s="38" t="s">
        <v>424</v>
      </c>
      <c r="J1477" s="38" t="s">
        <v>947</v>
      </c>
      <c r="K1477" s="56">
        <v>0.6</v>
      </c>
      <c r="L1477" s="52" t="s">
        <v>213</v>
      </c>
      <c r="M1477" s="53" t="s">
        <v>213</v>
      </c>
    </row>
    <row r="1478" spans="1:13" x14ac:dyDescent="0.3">
      <c r="A1478" s="37">
        <v>27</v>
      </c>
      <c r="B1478" s="38" t="s">
        <v>1057</v>
      </c>
      <c r="C1478" s="51">
        <v>7896261012448</v>
      </c>
      <c r="D1478" s="40" t="s">
        <v>70</v>
      </c>
      <c r="E1478" s="40"/>
      <c r="F1478" s="40">
        <v>179</v>
      </c>
      <c r="G1478" s="38"/>
      <c r="H1478" s="38" t="s">
        <v>948</v>
      </c>
      <c r="I1478" s="38" t="s">
        <v>424</v>
      </c>
      <c r="J1478" s="38" t="s">
        <v>947</v>
      </c>
      <c r="K1478" s="56">
        <v>0.7</v>
      </c>
      <c r="L1478" s="52" t="s">
        <v>213</v>
      </c>
      <c r="M1478" s="53" t="s">
        <v>213</v>
      </c>
    </row>
    <row r="1479" spans="1:13" x14ac:dyDescent="0.3">
      <c r="A1479" s="37">
        <v>27</v>
      </c>
      <c r="B1479" s="38" t="s">
        <v>1057</v>
      </c>
      <c r="C1479" s="51">
        <v>7896261012448</v>
      </c>
      <c r="D1479" s="40" t="s">
        <v>70</v>
      </c>
      <c r="E1479" s="40"/>
      <c r="F1479" s="40">
        <v>196</v>
      </c>
      <c r="G1479" s="38"/>
      <c r="H1479" s="38" t="s">
        <v>949</v>
      </c>
      <c r="I1479" s="38" t="s">
        <v>311</v>
      </c>
      <c r="J1479" s="38" t="s">
        <v>947</v>
      </c>
      <c r="K1479" s="38" t="s">
        <v>1060</v>
      </c>
      <c r="L1479" s="52" t="s">
        <v>213</v>
      </c>
      <c r="M1479" s="53" t="s">
        <v>213</v>
      </c>
    </row>
    <row r="1480" spans="1:13" x14ac:dyDescent="0.3">
      <c r="A1480" s="37">
        <v>27</v>
      </c>
      <c r="B1480" s="38" t="s">
        <v>1057</v>
      </c>
      <c r="C1480" s="51">
        <v>7896261012448</v>
      </c>
      <c r="D1480" s="40" t="s">
        <v>70</v>
      </c>
      <c r="E1480" s="40"/>
      <c r="F1480" s="40">
        <v>197</v>
      </c>
      <c r="G1480" s="38"/>
      <c r="H1480" s="38" t="s">
        <v>951</v>
      </c>
      <c r="I1480" s="38" t="s">
        <v>311</v>
      </c>
      <c r="J1480" s="38" t="s">
        <v>947</v>
      </c>
      <c r="K1480" s="38" t="s">
        <v>1060</v>
      </c>
      <c r="L1480" s="52" t="s">
        <v>213</v>
      </c>
      <c r="M1480" s="53" t="s">
        <v>213</v>
      </c>
    </row>
    <row r="1481" spans="1:13" x14ac:dyDescent="0.3">
      <c r="A1481" s="37">
        <v>27</v>
      </c>
      <c r="B1481" s="38" t="s">
        <v>1057</v>
      </c>
      <c r="C1481" s="51">
        <v>7896261012448</v>
      </c>
      <c r="D1481" s="40" t="s">
        <v>70</v>
      </c>
      <c r="E1481" s="40"/>
      <c r="F1481" s="40">
        <v>198</v>
      </c>
      <c r="G1481" s="38"/>
      <c r="H1481" s="38" t="s">
        <v>952</v>
      </c>
      <c r="I1481" s="38" t="s">
        <v>311</v>
      </c>
      <c r="J1481" s="38" t="s">
        <v>947</v>
      </c>
      <c r="K1481" s="38" t="s">
        <v>1060</v>
      </c>
      <c r="L1481" s="52" t="s">
        <v>213</v>
      </c>
      <c r="M1481" s="53" t="s">
        <v>213</v>
      </c>
    </row>
    <row r="1482" spans="1:13" x14ac:dyDescent="0.3">
      <c r="A1482" s="37">
        <v>27</v>
      </c>
      <c r="B1482" s="38" t="s">
        <v>1057</v>
      </c>
      <c r="C1482" s="51">
        <v>7896261012448</v>
      </c>
      <c r="D1482" s="40" t="s">
        <v>70</v>
      </c>
      <c r="E1482" s="40"/>
      <c r="F1482" s="40">
        <v>199</v>
      </c>
      <c r="G1482" s="38"/>
      <c r="H1482" s="38" t="s">
        <v>953</v>
      </c>
      <c r="I1482" s="38" t="s">
        <v>311</v>
      </c>
      <c r="J1482" s="38" t="s">
        <v>947</v>
      </c>
      <c r="K1482" s="38" t="s">
        <v>1060</v>
      </c>
      <c r="L1482" s="52" t="s">
        <v>213</v>
      </c>
      <c r="M1482" s="53" t="s">
        <v>213</v>
      </c>
    </row>
    <row r="1483" spans="1:13" x14ac:dyDescent="0.3">
      <c r="A1483" s="37">
        <v>27</v>
      </c>
      <c r="B1483" s="38" t="s">
        <v>1057</v>
      </c>
      <c r="C1483" s="51">
        <v>7896261012448</v>
      </c>
      <c r="D1483" s="40" t="s">
        <v>70</v>
      </c>
      <c r="E1483" s="40"/>
      <c r="F1483" s="40">
        <v>200</v>
      </c>
      <c r="G1483" s="38"/>
      <c r="H1483" s="38" t="s">
        <v>954</v>
      </c>
      <c r="I1483" s="38" t="s">
        <v>311</v>
      </c>
      <c r="J1483" s="38" t="s">
        <v>947</v>
      </c>
      <c r="K1483" s="38" t="s">
        <v>1060</v>
      </c>
      <c r="L1483" s="52" t="s">
        <v>213</v>
      </c>
      <c r="M1483" s="53" t="s">
        <v>213</v>
      </c>
    </row>
    <row r="1484" spans="1:13" x14ac:dyDescent="0.3">
      <c r="A1484" s="37">
        <v>27</v>
      </c>
      <c r="B1484" s="38" t="s">
        <v>1057</v>
      </c>
      <c r="C1484" s="51">
        <v>7896261012448</v>
      </c>
      <c r="D1484" s="40" t="s">
        <v>70</v>
      </c>
      <c r="E1484" s="40"/>
      <c r="F1484" s="40">
        <v>215</v>
      </c>
      <c r="G1484" s="38"/>
      <c r="H1484" s="38" t="s">
        <v>955</v>
      </c>
      <c r="I1484" s="38" t="s">
        <v>311</v>
      </c>
      <c r="J1484" s="38" t="s">
        <v>947</v>
      </c>
      <c r="K1484" s="38" t="s">
        <v>1060</v>
      </c>
      <c r="L1484" s="52" t="s">
        <v>213</v>
      </c>
      <c r="M1484" s="53" t="s">
        <v>213</v>
      </c>
    </row>
    <row r="1485" spans="1:13" x14ac:dyDescent="0.3">
      <c r="A1485" s="37">
        <v>27</v>
      </c>
      <c r="B1485" s="38" t="s">
        <v>1057</v>
      </c>
      <c r="C1485" s="51">
        <v>7896261012448</v>
      </c>
      <c r="D1485" s="40" t="s">
        <v>70</v>
      </c>
      <c r="E1485" s="40"/>
      <c r="F1485" s="40">
        <v>217</v>
      </c>
      <c r="G1485" s="38"/>
      <c r="H1485" s="38" t="s">
        <v>956</v>
      </c>
      <c r="I1485" s="38" t="s">
        <v>311</v>
      </c>
      <c r="J1485" s="38" t="s">
        <v>947</v>
      </c>
      <c r="K1485" s="38" t="s">
        <v>1060</v>
      </c>
      <c r="L1485" s="52" t="s">
        <v>213</v>
      </c>
      <c r="M1485" s="53" t="s">
        <v>213</v>
      </c>
    </row>
    <row r="1486" spans="1:13" x14ac:dyDescent="0.3">
      <c r="A1486" s="37">
        <v>27</v>
      </c>
      <c r="B1486" s="38" t="s">
        <v>1057</v>
      </c>
      <c r="C1486" s="51">
        <v>7896261012448</v>
      </c>
      <c r="D1486" s="40" t="s">
        <v>70</v>
      </c>
      <c r="E1486" s="40"/>
      <c r="F1486" s="40">
        <v>219</v>
      </c>
      <c r="G1486" s="38"/>
      <c r="H1486" s="38" t="s">
        <v>957</v>
      </c>
      <c r="I1486" s="38" t="s">
        <v>311</v>
      </c>
      <c r="J1486" s="38" t="s">
        <v>947</v>
      </c>
      <c r="K1486" s="38" t="s">
        <v>1060</v>
      </c>
      <c r="L1486" s="52" t="s">
        <v>213</v>
      </c>
      <c r="M1486" s="53" t="s">
        <v>213</v>
      </c>
    </row>
    <row r="1487" spans="1:13" x14ac:dyDescent="0.3">
      <c r="A1487" s="37">
        <v>27</v>
      </c>
      <c r="B1487" s="38" t="s">
        <v>1057</v>
      </c>
      <c r="C1487" s="51">
        <v>7896261012448</v>
      </c>
      <c r="D1487" s="40" t="s">
        <v>70</v>
      </c>
      <c r="E1487" s="40"/>
      <c r="F1487" s="40">
        <v>228</v>
      </c>
      <c r="G1487" s="38"/>
      <c r="H1487" s="38" t="s">
        <v>958</v>
      </c>
      <c r="I1487" s="38" t="s">
        <v>311</v>
      </c>
      <c r="J1487" s="38" t="s">
        <v>947</v>
      </c>
      <c r="K1487" s="38" t="s">
        <v>1060</v>
      </c>
      <c r="L1487" s="52" t="s">
        <v>213</v>
      </c>
      <c r="M1487" s="53" t="s">
        <v>213</v>
      </c>
    </row>
    <row r="1488" spans="1:13" x14ac:dyDescent="0.3">
      <c r="A1488" s="37">
        <v>27</v>
      </c>
      <c r="B1488" s="38" t="s">
        <v>1057</v>
      </c>
      <c r="C1488" s="51">
        <v>7896261012448</v>
      </c>
      <c r="D1488" s="40" t="s">
        <v>70</v>
      </c>
      <c r="E1488" s="40"/>
      <c r="F1488" s="40">
        <v>229</v>
      </c>
      <c r="G1488" s="38"/>
      <c r="H1488" s="38" t="s">
        <v>959</v>
      </c>
      <c r="I1488" s="38" t="s">
        <v>311</v>
      </c>
      <c r="J1488" s="38" t="s">
        <v>947</v>
      </c>
      <c r="K1488" s="38" t="s">
        <v>1060</v>
      </c>
      <c r="L1488" s="52" t="s">
        <v>213</v>
      </c>
      <c r="M1488" s="53" t="s">
        <v>213</v>
      </c>
    </row>
    <row r="1489" spans="1:13" x14ac:dyDescent="0.3">
      <c r="A1489" s="37">
        <v>27</v>
      </c>
      <c r="B1489" s="38" t="s">
        <v>1057</v>
      </c>
      <c r="C1489" s="51">
        <v>7896261012448</v>
      </c>
      <c r="D1489" s="40" t="s">
        <v>70</v>
      </c>
      <c r="E1489" s="40"/>
      <c r="F1489" s="40">
        <v>249</v>
      </c>
      <c r="G1489" s="38"/>
      <c r="H1489" s="38" t="s">
        <v>960</v>
      </c>
      <c r="I1489" s="38" t="s">
        <v>311</v>
      </c>
      <c r="J1489" s="38" t="s">
        <v>947</v>
      </c>
      <c r="K1489" s="38" t="s">
        <v>1060</v>
      </c>
      <c r="L1489" s="52" t="s">
        <v>213</v>
      </c>
      <c r="M1489" s="53" t="s">
        <v>213</v>
      </c>
    </row>
    <row r="1490" spans="1:13" x14ac:dyDescent="0.3">
      <c r="A1490" s="37">
        <v>27</v>
      </c>
      <c r="B1490" s="38" t="s">
        <v>1057</v>
      </c>
      <c r="C1490" s="51">
        <v>7896261012448</v>
      </c>
      <c r="D1490" s="40" t="s">
        <v>70</v>
      </c>
      <c r="E1490" s="40"/>
      <c r="F1490" s="40">
        <v>262</v>
      </c>
      <c r="G1490" s="38"/>
      <c r="H1490" s="38" t="s">
        <v>961</v>
      </c>
      <c r="I1490" s="38" t="s">
        <v>424</v>
      </c>
      <c r="J1490" s="38" t="s">
        <v>947</v>
      </c>
      <c r="K1490" s="38">
        <v>49.7</v>
      </c>
      <c r="L1490" s="52" t="s">
        <v>213</v>
      </c>
      <c r="M1490" s="53" t="s">
        <v>213</v>
      </c>
    </row>
    <row r="1491" spans="1:13" x14ac:dyDescent="0.3">
      <c r="A1491" s="37">
        <v>27</v>
      </c>
      <c r="B1491" s="38" t="s">
        <v>1057</v>
      </c>
      <c r="C1491" s="51">
        <v>7896261012448</v>
      </c>
      <c r="D1491" s="40" t="s">
        <v>70</v>
      </c>
      <c r="E1491" s="40"/>
      <c r="F1491" s="40">
        <v>301</v>
      </c>
      <c r="G1491" s="38"/>
      <c r="H1491" s="38" t="s">
        <v>963</v>
      </c>
      <c r="I1491" s="38" t="s">
        <v>311</v>
      </c>
      <c r="J1491" s="38" t="s">
        <v>947</v>
      </c>
      <c r="K1491" s="38" t="s">
        <v>1060</v>
      </c>
      <c r="L1491" s="52" t="s">
        <v>213</v>
      </c>
      <c r="M1491" s="53" t="s">
        <v>213</v>
      </c>
    </row>
    <row r="1492" spans="1:13" x14ac:dyDescent="0.3">
      <c r="A1492" s="37">
        <v>27</v>
      </c>
      <c r="B1492" s="38" t="s">
        <v>1057</v>
      </c>
      <c r="C1492" s="51">
        <v>7896261012448</v>
      </c>
      <c r="D1492" s="40" t="s">
        <v>70</v>
      </c>
      <c r="E1492" s="40"/>
      <c r="F1492" s="40">
        <v>422</v>
      </c>
      <c r="G1492" s="38"/>
      <c r="H1492" s="38" t="s">
        <v>1061</v>
      </c>
      <c r="I1492" s="38" t="s">
        <v>311</v>
      </c>
      <c r="J1492" s="38" t="s">
        <v>947</v>
      </c>
      <c r="K1492" s="38" t="s">
        <v>1062</v>
      </c>
      <c r="L1492" s="52" t="s">
        <v>213</v>
      </c>
      <c r="M1492" s="53" t="s">
        <v>213</v>
      </c>
    </row>
    <row r="1493" spans="1:13" x14ac:dyDescent="0.3">
      <c r="A1493" s="37">
        <v>27</v>
      </c>
      <c r="B1493" s="38" t="s">
        <v>1063</v>
      </c>
      <c r="C1493" s="51">
        <v>7896261012486</v>
      </c>
      <c r="D1493" s="40" t="s">
        <v>70</v>
      </c>
      <c r="E1493" s="40"/>
      <c r="F1493" s="40">
        <v>94</v>
      </c>
      <c r="G1493" s="38"/>
      <c r="H1493" s="38" t="s">
        <v>940</v>
      </c>
      <c r="I1493" s="38" t="s">
        <v>311</v>
      </c>
      <c r="J1493" s="38">
        <v>0</v>
      </c>
      <c r="K1493" s="38" t="s">
        <v>1058</v>
      </c>
      <c r="L1493" s="52" t="s">
        <v>213</v>
      </c>
      <c r="M1493" s="53" t="s">
        <v>213</v>
      </c>
    </row>
    <row r="1494" spans="1:13" x14ac:dyDescent="0.3">
      <c r="A1494" s="37">
        <v>27</v>
      </c>
      <c r="B1494" s="38" t="s">
        <v>1063</v>
      </c>
      <c r="C1494" s="51">
        <v>7896261012486</v>
      </c>
      <c r="D1494" s="40" t="s">
        <v>70</v>
      </c>
      <c r="E1494" s="40"/>
      <c r="F1494" s="40">
        <v>159</v>
      </c>
      <c r="G1494" s="38"/>
      <c r="H1494" s="38" t="s">
        <v>942</v>
      </c>
      <c r="I1494" s="38" t="s">
        <v>311</v>
      </c>
      <c r="J1494" s="38">
        <v>0</v>
      </c>
      <c r="K1494" s="38" t="s">
        <v>1059</v>
      </c>
      <c r="L1494" s="52" t="s">
        <v>213</v>
      </c>
      <c r="M1494" s="53" t="s">
        <v>213</v>
      </c>
    </row>
    <row r="1495" spans="1:13" x14ac:dyDescent="0.3">
      <c r="A1495" s="37">
        <v>27</v>
      </c>
      <c r="B1495" s="38" t="s">
        <v>1063</v>
      </c>
      <c r="C1495" s="51">
        <v>7896261012486</v>
      </c>
      <c r="D1495" s="40" t="s">
        <v>70</v>
      </c>
      <c r="E1495" s="40"/>
      <c r="F1495" s="40">
        <v>164</v>
      </c>
      <c r="G1495" s="38"/>
      <c r="H1495" s="38" t="s">
        <v>944</v>
      </c>
      <c r="I1495" s="38" t="s">
        <v>311</v>
      </c>
      <c r="J1495" s="38">
        <v>0</v>
      </c>
      <c r="K1495" s="38" t="s">
        <v>1059</v>
      </c>
      <c r="L1495" s="52" t="s">
        <v>213</v>
      </c>
      <c r="M1495" s="53" t="s">
        <v>213</v>
      </c>
    </row>
    <row r="1496" spans="1:13" x14ac:dyDescent="0.3">
      <c r="A1496" s="37">
        <v>27</v>
      </c>
      <c r="B1496" s="38" t="s">
        <v>1063</v>
      </c>
      <c r="C1496" s="51">
        <v>7896261012486</v>
      </c>
      <c r="D1496" s="40" t="s">
        <v>70</v>
      </c>
      <c r="E1496" s="40"/>
      <c r="F1496" s="40">
        <v>174</v>
      </c>
      <c r="G1496" s="38"/>
      <c r="H1496" s="38" t="s">
        <v>945</v>
      </c>
      <c r="I1496" s="38" t="s">
        <v>311</v>
      </c>
      <c r="J1496" s="38">
        <v>0</v>
      </c>
      <c r="K1496" s="38" t="s">
        <v>1059</v>
      </c>
      <c r="L1496" s="52" t="s">
        <v>213</v>
      </c>
      <c r="M1496" s="53" t="s">
        <v>213</v>
      </c>
    </row>
    <row r="1497" spans="1:13" x14ac:dyDescent="0.3">
      <c r="A1497" s="37">
        <v>27</v>
      </c>
      <c r="B1497" s="38" t="s">
        <v>1063</v>
      </c>
      <c r="C1497" s="51">
        <v>7896261012486</v>
      </c>
      <c r="D1497" s="40" t="s">
        <v>70</v>
      </c>
      <c r="E1497" s="40"/>
      <c r="F1497" s="40">
        <v>178</v>
      </c>
      <c r="G1497" s="38"/>
      <c r="H1497" s="38" t="s">
        <v>946</v>
      </c>
      <c r="I1497" s="38" t="s">
        <v>424</v>
      </c>
      <c r="J1497" s="38" t="s">
        <v>947</v>
      </c>
      <c r="K1497" s="56">
        <v>0.6</v>
      </c>
      <c r="L1497" s="52" t="s">
        <v>213</v>
      </c>
      <c r="M1497" s="53" t="s">
        <v>213</v>
      </c>
    </row>
    <row r="1498" spans="1:13" x14ac:dyDescent="0.3">
      <c r="A1498" s="37">
        <v>27</v>
      </c>
      <c r="B1498" s="38" t="s">
        <v>1063</v>
      </c>
      <c r="C1498" s="51">
        <v>7896261012486</v>
      </c>
      <c r="D1498" s="40" t="s">
        <v>70</v>
      </c>
      <c r="E1498" s="40"/>
      <c r="F1498" s="40">
        <v>179</v>
      </c>
      <c r="G1498" s="38"/>
      <c r="H1498" s="38" t="s">
        <v>948</v>
      </c>
      <c r="I1498" s="38" t="s">
        <v>424</v>
      </c>
      <c r="J1498" s="38" t="s">
        <v>947</v>
      </c>
      <c r="K1498" s="56">
        <v>0.7</v>
      </c>
      <c r="L1498" s="52" t="s">
        <v>213</v>
      </c>
      <c r="M1498" s="53" t="s">
        <v>213</v>
      </c>
    </row>
    <row r="1499" spans="1:13" x14ac:dyDescent="0.3">
      <c r="A1499" s="37">
        <v>27</v>
      </c>
      <c r="B1499" s="38" t="s">
        <v>1063</v>
      </c>
      <c r="C1499" s="51">
        <v>7896261012486</v>
      </c>
      <c r="D1499" s="40" t="s">
        <v>70</v>
      </c>
      <c r="E1499" s="40"/>
      <c r="F1499" s="40">
        <v>185</v>
      </c>
      <c r="G1499" s="38"/>
      <c r="H1499" s="38" t="s">
        <v>977</v>
      </c>
      <c r="I1499" s="38" t="s">
        <v>424</v>
      </c>
      <c r="J1499" s="38">
        <v>0</v>
      </c>
      <c r="K1499" s="56">
        <v>0.6</v>
      </c>
      <c r="L1499" s="52" t="s">
        <v>213</v>
      </c>
      <c r="M1499" s="53" t="s">
        <v>213</v>
      </c>
    </row>
    <row r="1500" spans="1:13" x14ac:dyDescent="0.3">
      <c r="A1500" s="37">
        <v>27</v>
      </c>
      <c r="B1500" s="38" t="s">
        <v>1063</v>
      </c>
      <c r="C1500" s="51">
        <v>7896261012486</v>
      </c>
      <c r="D1500" s="40" t="s">
        <v>70</v>
      </c>
      <c r="E1500" s="40"/>
      <c r="F1500" s="40">
        <v>196</v>
      </c>
      <c r="G1500" s="38"/>
      <c r="H1500" s="38" t="s">
        <v>949</v>
      </c>
      <c r="I1500" s="38" t="s">
        <v>311</v>
      </c>
      <c r="J1500" s="38" t="s">
        <v>947</v>
      </c>
      <c r="K1500" s="38" t="s">
        <v>1060</v>
      </c>
      <c r="L1500" s="52" t="s">
        <v>213</v>
      </c>
      <c r="M1500" s="53" t="s">
        <v>213</v>
      </c>
    </row>
    <row r="1501" spans="1:13" x14ac:dyDescent="0.3">
      <c r="A1501" s="37">
        <v>27</v>
      </c>
      <c r="B1501" s="38" t="s">
        <v>1063</v>
      </c>
      <c r="C1501" s="51">
        <v>7896261012486</v>
      </c>
      <c r="D1501" s="40" t="s">
        <v>70</v>
      </c>
      <c r="E1501" s="40"/>
      <c r="F1501" s="40">
        <v>197</v>
      </c>
      <c r="G1501" s="38"/>
      <c r="H1501" s="38" t="s">
        <v>951</v>
      </c>
      <c r="I1501" s="38" t="s">
        <v>311</v>
      </c>
      <c r="J1501" s="38" t="s">
        <v>947</v>
      </c>
      <c r="K1501" s="38" t="s">
        <v>1060</v>
      </c>
      <c r="L1501" s="52" t="s">
        <v>213</v>
      </c>
      <c r="M1501" s="53" t="s">
        <v>213</v>
      </c>
    </row>
    <row r="1502" spans="1:13" x14ac:dyDescent="0.3">
      <c r="A1502" s="37">
        <v>27</v>
      </c>
      <c r="B1502" s="38" t="s">
        <v>1063</v>
      </c>
      <c r="C1502" s="51">
        <v>7896261012486</v>
      </c>
      <c r="D1502" s="40" t="s">
        <v>70</v>
      </c>
      <c r="E1502" s="40"/>
      <c r="F1502" s="40">
        <v>198</v>
      </c>
      <c r="G1502" s="38"/>
      <c r="H1502" s="38" t="s">
        <v>952</v>
      </c>
      <c r="I1502" s="38" t="s">
        <v>311</v>
      </c>
      <c r="J1502" s="38" t="s">
        <v>947</v>
      </c>
      <c r="K1502" s="38" t="s">
        <v>1060</v>
      </c>
      <c r="L1502" s="52" t="s">
        <v>213</v>
      </c>
      <c r="M1502" s="53" t="s">
        <v>213</v>
      </c>
    </row>
    <row r="1503" spans="1:13" x14ac:dyDescent="0.3">
      <c r="A1503" s="37">
        <v>27</v>
      </c>
      <c r="B1503" s="38" t="s">
        <v>1063</v>
      </c>
      <c r="C1503" s="51">
        <v>7896261012486</v>
      </c>
      <c r="D1503" s="40" t="s">
        <v>70</v>
      </c>
      <c r="E1503" s="40"/>
      <c r="F1503" s="40">
        <v>199</v>
      </c>
      <c r="G1503" s="38"/>
      <c r="H1503" s="38" t="s">
        <v>953</v>
      </c>
      <c r="I1503" s="38" t="s">
        <v>311</v>
      </c>
      <c r="J1503" s="38" t="s">
        <v>947</v>
      </c>
      <c r="K1503" s="38" t="s">
        <v>1060</v>
      </c>
      <c r="L1503" s="52" t="s">
        <v>213</v>
      </c>
      <c r="M1503" s="53" t="s">
        <v>213</v>
      </c>
    </row>
    <row r="1504" spans="1:13" x14ac:dyDescent="0.3">
      <c r="A1504" s="37">
        <v>27</v>
      </c>
      <c r="B1504" s="38" t="s">
        <v>1063</v>
      </c>
      <c r="C1504" s="51">
        <v>7896261012486</v>
      </c>
      <c r="D1504" s="40" t="s">
        <v>70</v>
      </c>
      <c r="E1504" s="40"/>
      <c r="F1504" s="40">
        <v>200</v>
      </c>
      <c r="G1504" s="38"/>
      <c r="H1504" s="38" t="s">
        <v>954</v>
      </c>
      <c r="I1504" s="38" t="s">
        <v>311</v>
      </c>
      <c r="J1504" s="38" t="s">
        <v>947</v>
      </c>
      <c r="K1504" s="38" t="s">
        <v>1060</v>
      </c>
      <c r="L1504" s="52" t="s">
        <v>213</v>
      </c>
      <c r="M1504" s="53" t="s">
        <v>213</v>
      </c>
    </row>
    <row r="1505" spans="1:13" x14ac:dyDescent="0.3">
      <c r="A1505" s="37">
        <v>27</v>
      </c>
      <c r="B1505" s="38" t="s">
        <v>1063</v>
      </c>
      <c r="C1505" s="51">
        <v>7896261012486</v>
      </c>
      <c r="D1505" s="40" t="s">
        <v>70</v>
      </c>
      <c r="E1505" s="40"/>
      <c r="F1505" s="40">
        <v>215</v>
      </c>
      <c r="G1505" s="38"/>
      <c r="H1505" s="38" t="s">
        <v>955</v>
      </c>
      <c r="I1505" s="38" t="s">
        <v>311</v>
      </c>
      <c r="J1505" s="38" t="s">
        <v>947</v>
      </c>
      <c r="K1505" s="38" t="s">
        <v>1060</v>
      </c>
      <c r="L1505" s="52" t="s">
        <v>213</v>
      </c>
      <c r="M1505" s="53" t="s">
        <v>213</v>
      </c>
    </row>
    <row r="1506" spans="1:13" x14ac:dyDescent="0.3">
      <c r="A1506" s="37">
        <v>27</v>
      </c>
      <c r="B1506" s="38" t="s">
        <v>1063</v>
      </c>
      <c r="C1506" s="51">
        <v>7896261012486</v>
      </c>
      <c r="D1506" s="40" t="s">
        <v>70</v>
      </c>
      <c r="E1506" s="40"/>
      <c r="F1506" s="40">
        <v>217</v>
      </c>
      <c r="G1506" s="38"/>
      <c r="H1506" s="38" t="s">
        <v>956</v>
      </c>
      <c r="I1506" s="38" t="s">
        <v>311</v>
      </c>
      <c r="J1506" s="38" t="s">
        <v>947</v>
      </c>
      <c r="K1506" s="38" t="s">
        <v>1060</v>
      </c>
      <c r="L1506" s="52" t="s">
        <v>213</v>
      </c>
      <c r="M1506" s="53" t="s">
        <v>213</v>
      </c>
    </row>
    <row r="1507" spans="1:13" x14ac:dyDescent="0.3">
      <c r="A1507" s="37">
        <v>27</v>
      </c>
      <c r="B1507" s="38" t="s">
        <v>1063</v>
      </c>
      <c r="C1507" s="51">
        <v>7896261012486</v>
      </c>
      <c r="D1507" s="40" t="s">
        <v>70</v>
      </c>
      <c r="E1507" s="40"/>
      <c r="F1507" s="40">
        <v>219</v>
      </c>
      <c r="G1507" s="38"/>
      <c r="H1507" s="38" t="s">
        <v>957</v>
      </c>
      <c r="I1507" s="38" t="s">
        <v>311</v>
      </c>
      <c r="J1507" s="38" t="s">
        <v>947</v>
      </c>
      <c r="K1507" s="38" t="s">
        <v>1060</v>
      </c>
      <c r="L1507" s="52" t="s">
        <v>213</v>
      </c>
      <c r="M1507" s="53" t="s">
        <v>213</v>
      </c>
    </row>
    <row r="1508" spans="1:13" x14ac:dyDescent="0.3">
      <c r="A1508" s="37">
        <v>27</v>
      </c>
      <c r="B1508" s="38" t="s">
        <v>1063</v>
      </c>
      <c r="C1508" s="51">
        <v>7896261012486</v>
      </c>
      <c r="D1508" s="40" t="s">
        <v>70</v>
      </c>
      <c r="E1508" s="40"/>
      <c r="F1508" s="40">
        <v>228</v>
      </c>
      <c r="G1508" s="38"/>
      <c r="H1508" s="38" t="s">
        <v>958</v>
      </c>
      <c r="I1508" s="38" t="s">
        <v>311</v>
      </c>
      <c r="J1508" s="38" t="s">
        <v>947</v>
      </c>
      <c r="K1508" s="38" t="s">
        <v>1060</v>
      </c>
      <c r="L1508" s="52" t="s">
        <v>213</v>
      </c>
      <c r="M1508" s="53" t="s">
        <v>213</v>
      </c>
    </row>
    <row r="1509" spans="1:13" x14ac:dyDescent="0.3">
      <c r="A1509" s="37">
        <v>27</v>
      </c>
      <c r="B1509" s="38" t="s">
        <v>1063</v>
      </c>
      <c r="C1509" s="51">
        <v>7896261012486</v>
      </c>
      <c r="D1509" s="40" t="s">
        <v>70</v>
      </c>
      <c r="E1509" s="40"/>
      <c r="F1509" s="40">
        <v>229</v>
      </c>
      <c r="G1509" s="38"/>
      <c r="H1509" s="38" t="s">
        <v>959</v>
      </c>
      <c r="I1509" s="38" t="s">
        <v>311</v>
      </c>
      <c r="J1509" s="38" t="s">
        <v>947</v>
      </c>
      <c r="K1509" s="38" t="s">
        <v>1060</v>
      </c>
      <c r="L1509" s="52" t="s">
        <v>213</v>
      </c>
      <c r="M1509" s="53" t="s">
        <v>213</v>
      </c>
    </row>
    <row r="1510" spans="1:13" x14ac:dyDescent="0.3">
      <c r="A1510" s="37">
        <v>27</v>
      </c>
      <c r="B1510" s="38" t="s">
        <v>1063</v>
      </c>
      <c r="C1510" s="51">
        <v>7896261012486</v>
      </c>
      <c r="D1510" s="40" t="s">
        <v>70</v>
      </c>
      <c r="E1510" s="40"/>
      <c r="F1510" s="40">
        <v>247</v>
      </c>
      <c r="G1510" s="38"/>
      <c r="H1510" s="38" t="s">
        <v>979</v>
      </c>
      <c r="I1510" s="38" t="s">
        <v>424</v>
      </c>
      <c r="J1510" s="38" t="s">
        <v>947</v>
      </c>
      <c r="K1510" s="56">
        <v>0.61</v>
      </c>
      <c r="L1510" s="52" t="s">
        <v>213</v>
      </c>
      <c r="M1510" s="53" t="s">
        <v>213</v>
      </c>
    </row>
    <row r="1511" spans="1:13" x14ac:dyDescent="0.3">
      <c r="A1511" s="37">
        <v>27</v>
      </c>
      <c r="B1511" s="38" t="s">
        <v>1063</v>
      </c>
      <c r="C1511" s="51">
        <v>7896261012486</v>
      </c>
      <c r="D1511" s="40" t="s">
        <v>70</v>
      </c>
      <c r="E1511" s="40"/>
      <c r="F1511" s="40">
        <v>249</v>
      </c>
      <c r="G1511" s="38"/>
      <c r="H1511" s="38" t="s">
        <v>960</v>
      </c>
      <c r="I1511" s="38" t="s">
        <v>311</v>
      </c>
      <c r="J1511" s="38" t="s">
        <v>947</v>
      </c>
      <c r="K1511" s="38" t="s">
        <v>1060</v>
      </c>
      <c r="L1511" s="52" t="s">
        <v>213</v>
      </c>
      <c r="M1511" s="53" t="s">
        <v>213</v>
      </c>
    </row>
    <row r="1512" spans="1:13" x14ac:dyDescent="0.3">
      <c r="A1512" s="37">
        <v>27</v>
      </c>
      <c r="B1512" s="38" t="s">
        <v>1063</v>
      </c>
      <c r="C1512" s="51">
        <v>7896261012486</v>
      </c>
      <c r="D1512" s="40" t="s">
        <v>70</v>
      </c>
      <c r="E1512" s="40"/>
      <c r="F1512" s="40">
        <v>262</v>
      </c>
      <c r="G1512" s="38"/>
      <c r="H1512" s="38" t="s">
        <v>961</v>
      </c>
      <c r="I1512" s="38" t="s">
        <v>424</v>
      </c>
      <c r="J1512" s="38" t="s">
        <v>947</v>
      </c>
      <c r="K1512" s="38">
        <v>49.7</v>
      </c>
      <c r="L1512" s="52" t="s">
        <v>213</v>
      </c>
      <c r="M1512" s="53" t="s">
        <v>213</v>
      </c>
    </row>
    <row r="1513" spans="1:13" x14ac:dyDescent="0.3">
      <c r="A1513" s="37">
        <v>27</v>
      </c>
      <c r="B1513" s="38" t="s">
        <v>1063</v>
      </c>
      <c r="C1513" s="51">
        <v>7896261012486</v>
      </c>
      <c r="D1513" s="40" t="s">
        <v>70</v>
      </c>
      <c r="E1513" s="40"/>
      <c r="F1513" s="40">
        <v>266</v>
      </c>
      <c r="G1513" s="38"/>
      <c r="H1513" s="38" t="s">
        <v>1009</v>
      </c>
      <c r="I1513" s="38" t="s">
        <v>424</v>
      </c>
      <c r="J1513" s="38" t="s">
        <v>947</v>
      </c>
      <c r="K1513" s="56">
        <v>0.48699999999999999</v>
      </c>
      <c r="L1513" s="52" t="s">
        <v>213</v>
      </c>
      <c r="M1513" s="53" t="s">
        <v>213</v>
      </c>
    </row>
    <row r="1514" spans="1:13" x14ac:dyDescent="0.3">
      <c r="A1514" s="37">
        <v>27</v>
      </c>
      <c r="B1514" s="38" t="s">
        <v>1063</v>
      </c>
      <c r="C1514" s="51">
        <v>7896261012486</v>
      </c>
      <c r="D1514" s="40" t="s">
        <v>70</v>
      </c>
      <c r="E1514" s="40"/>
      <c r="F1514" s="40">
        <v>301</v>
      </c>
      <c r="G1514" s="38"/>
      <c r="H1514" s="38" t="s">
        <v>963</v>
      </c>
      <c r="I1514" s="38" t="s">
        <v>311</v>
      </c>
      <c r="J1514" s="38" t="s">
        <v>947</v>
      </c>
      <c r="K1514" s="38" t="s">
        <v>1060</v>
      </c>
      <c r="L1514" s="52" t="s">
        <v>213</v>
      </c>
      <c r="M1514" s="53" t="s">
        <v>213</v>
      </c>
    </row>
    <row r="1515" spans="1:13" x14ac:dyDescent="0.3">
      <c r="A1515" s="37">
        <v>27</v>
      </c>
      <c r="B1515" s="38" t="s">
        <v>1063</v>
      </c>
      <c r="C1515" s="51">
        <v>7896261012486</v>
      </c>
      <c r="D1515" s="40" t="s">
        <v>70</v>
      </c>
      <c r="E1515" s="40"/>
      <c r="F1515" s="40">
        <v>328</v>
      </c>
      <c r="G1515" s="38"/>
      <c r="H1515" s="38" t="s">
        <v>1048</v>
      </c>
      <c r="I1515" s="38" t="s">
        <v>311</v>
      </c>
      <c r="J1515" s="38" t="s">
        <v>947</v>
      </c>
      <c r="K1515" s="38" t="s">
        <v>1064</v>
      </c>
      <c r="L1515" s="52" t="s">
        <v>213</v>
      </c>
      <c r="M1515" s="53" t="s">
        <v>213</v>
      </c>
    </row>
    <row r="1516" spans="1:13" x14ac:dyDescent="0.3">
      <c r="A1516" s="37">
        <v>27</v>
      </c>
      <c r="B1516" s="38" t="s">
        <v>1065</v>
      </c>
      <c r="C1516" s="51">
        <v>7896261012523</v>
      </c>
      <c r="D1516" s="40" t="s">
        <v>70</v>
      </c>
      <c r="E1516" s="40"/>
      <c r="F1516" s="40">
        <v>94</v>
      </c>
      <c r="G1516" s="38"/>
      <c r="H1516" s="38" t="s">
        <v>940</v>
      </c>
      <c r="I1516" s="38" t="s">
        <v>311</v>
      </c>
      <c r="J1516" s="38">
        <v>0</v>
      </c>
      <c r="K1516" s="38" t="s">
        <v>1058</v>
      </c>
      <c r="L1516" s="52" t="s">
        <v>213</v>
      </c>
      <c r="M1516" s="53" t="s">
        <v>213</v>
      </c>
    </row>
    <row r="1517" spans="1:13" x14ac:dyDescent="0.3">
      <c r="A1517" s="37">
        <v>27</v>
      </c>
      <c r="B1517" s="38" t="s">
        <v>1065</v>
      </c>
      <c r="C1517" s="51">
        <v>7896261012523</v>
      </c>
      <c r="D1517" s="40" t="s">
        <v>70</v>
      </c>
      <c r="E1517" s="40"/>
      <c r="F1517" s="40">
        <v>159</v>
      </c>
      <c r="G1517" s="38"/>
      <c r="H1517" s="38" t="s">
        <v>942</v>
      </c>
      <c r="I1517" s="38" t="s">
        <v>311</v>
      </c>
      <c r="J1517" s="38">
        <v>0</v>
      </c>
      <c r="K1517" s="38" t="s">
        <v>1059</v>
      </c>
      <c r="L1517" s="52" t="s">
        <v>213</v>
      </c>
      <c r="M1517" s="53" t="s">
        <v>213</v>
      </c>
    </row>
    <row r="1518" spans="1:13" x14ac:dyDescent="0.3">
      <c r="A1518" s="37">
        <v>27</v>
      </c>
      <c r="B1518" s="38" t="s">
        <v>1065</v>
      </c>
      <c r="C1518" s="51">
        <v>7896261012523</v>
      </c>
      <c r="D1518" s="40" t="s">
        <v>70</v>
      </c>
      <c r="E1518" s="40"/>
      <c r="F1518" s="40">
        <v>164</v>
      </c>
      <c r="G1518" s="38"/>
      <c r="H1518" s="38" t="s">
        <v>944</v>
      </c>
      <c r="I1518" s="38" t="s">
        <v>311</v>
      </c>
      <c r="J1518" s="38">
        <v>0</v>
      </c>
      <c r="K1518" s="38" t="s">
        <v>1059</v>
      </c>
      <c r="L1518" s="52" t="s">
        <v>213</v>
      </c>
      <c r="M1518" s="53" t="s">
        <v>213</v>
      </c>
    </row>
    <row r="1519" spans="1:13" x14ac:dyDescent="0.3">
      <c r="A1519" s="37">
        <v>27</v>
      </c>
      <c r="B1519" s="38" t="s">
        <v>1065</v>
      </c>
      <c r="C1519" s="51">
        <v>7896261012523</v>
      </c>
      <c r="D1519" s="40" t="s">
        <v>70</v>
      </c>
      <c r="E1519" s="40"/>
      <c r="F1519" s="40">
        <v>174</v>
      </c>
      <c r="G1519" s="38"/>
      <c r="H1519" s="38" t="s">
        <v>945</v>
      </c>
      <c r="I1519" s="38" t="s">
        <v>311</v>
      </c>
      <c r="J1519" s="38">
        <v>0</v>
      </c>
      <c r="K1519" s="38" t="s">
        <v>1059</v>
      </c>
      <c r="L1519" s="52" t="s">
        <v>213</v>
      </c>
      <c r="M1519" s="53" t="s">
        <v>213</v>
      </c>
    </row>
    <row r="1520" spans="1:13" x14ac:dyDescent="0.3">
      <c r="A1520" s="37">
        <v>27</v>
      </c>
      <c r="B1520" s="38" t="s">
        <v>1065</v>
      </c>
      <c r="C1520" s="51">
        <v>7896261012523</v>
      </c>
      <c r="D1520" s="40" t="s">
        <v>70</v>
      </c>
      <c r="E1520" s="40"/>
      <c r="F1520" s="40">
        <v>179</v>
      </c>
      <c r="G1520" s="38"/>
      <c r="H1520" s="38" t="s">
        <v>948</v>
      </c>
      <c r="I1520" s="38" t="s">
        <v>424</v>
      </c>
      <c r="J1520" s="38" t="s">
        <v>947</v>
      </c>
      <c r="K1520" s="56">
        <v>0.7</v>
      </c>
      <c r="L1520" s="52" t="s">
        <v>213</v>
      </c>
      <c r="M1520" s="53" t="s">
        <v>213</v>
      </c>
    </row>
    <row r="1521" spans="1:13" x14ac:dyDescent="0.3">
      <c r="A1521" s="37">
        <v>27</v>
      </c>
      <c r="B1521" s="38" t="s">
        <v>1065</v>
      </c>
      <c r="C1521" s="51">
        <v>7896261012523</v>
      </c>
      <c r="D1521" s="40" t="s">
        <v>70</v>
      </c>
      <c r="E1521" s="40"/>
      <c r="F1521" s="40">
        <v>196</v>
      </c>
      <c r="G1521" s="38"/>
      <c r="H1521" s="38" t="s">
        <v>949</v>
      </c>
      <c r="I1521" s="38" t="s">
        <v>311</v>
      </c>
      <c r="J1521" s="38" t="s">
        <v>947</v>
      </c>
      <c r="K1521" s="38" t="s">
        <v>1060</v>
      </c>
      <c r="L1521" s="52" t="s">
        <v>213</v>
      </c>
      <c r="M1521" s="53" t="s">
        <v>213</v>
      </c>
    </row>
    <row r="1522" spans="1:13" x14ac:dyDescent="0.3">
      <c r="A1522" s="37">
        <v>27</v>
      </c>
      <c r="B1522" s="38" t="s">
        <v>1065</v>
      </c>
      <c r="C1522" s="51">
        <v>7896261012523</v>
      </c>
      <c r="D1522" s="40" t="s">
        <v>70</v>
      </c>
      <c r="E1522" s="40"/>
      <c r="F1522" s="40">
        <v>197</v>
      </c>
      <c r="G1522" s="38"/>
      <c r="H1522" s="38" t="s">
        <v>951</v>
      </c>
      <c r="I1522" s="38" t="s">
        <v>311</v>
      </c>
      <c r="J1522" s="38" t="s">
        <v>947</v>
      </c>
      <c r="K1522" s="38" t="s">
        <v>1060</v>
      </c>
      <c r="L1522" s="52" t="s">
        <v>213</v>
      </c>
      <c r="M1522" s="53" t="s">
        <v>213</v>
      </c>
    </row>
    <row r="1523" spans="1:13" x14ac:dyDescent="0.3">
      <c r="A1523" s="37">
        <v>27</v>
      </c>
      <c r="B1523" s="38" t="s">
        <v>1065</v>
      </c>
      <c r="C1523" s="51">
        <v>7896261012523</v>
      </c>
      <c r="D1523" s="40" t="s">
        <v>70</v>
      </c>
      <c r="E1523" s="40"/>
      <c r="F1523" s="40">
        <v>198</v>
      </c>
      <c r="G1523" s="38"/>
      <c r="H1523" s="38" t="s">
        <v>952</v>
      </c>
      <c r="I1523" s="38" t="s">
        <v>311</v>
      </c>
      <c r="J1523" s="38" t="s">
        <v>947</v>
      </c>
      <c r="K1523" s="38" t="s">
        <v>1060</v>
      </c>
      <c r="L1523" s="52" t="s">
        <v>213</v>
      </c>
      <c r="M1523" s="53" t="s">
        <v>213</v>
      </c>
    </row>
    <row r="1524" spans="1:13" x14ac:dyDescent="0.3">
      <c r="A1524" s="37">
        <v>27</v>
      </c>
      <c r="B1524" s="38" t="s">
        <v>1065</v>
      </c>
      <c r="C1524" s="51">
        <v>7896261012523</v>
      </c>
      <c r="D1524" s="40" t="s">
        <v>70</v>
      </c>
      <c r="E1524" s="40"/>
      <c r="F1524" s="40">
        <v>199</v>
      </c>
      <c r="G1524" s="38"/>
      <c r="H1524" s="38" t="s">
        <v>953</v>
      </c>
      <c r="I1524" s="38" t="s">
        <v>311</v>
      </c>
      <c r="J1524" s="38" t="s">
        <v>947</v>
      </c>
      <c r="K1524" s="38" t="s">
        <v>1060</v>
      </c>
      <c r="L1524" s="52" t="s">
        <v>213</v>
      </c>
      <c r="M1524" s="53" t="s">
        <v>213</v>
      </c>
    </row>
    <row r="1525" spans="1:13" x14ac:dyDescent="0.3">
      <c r="A1525" s="37">
        <v>27</v>
      </c>
      <c r="B1525" s="38" t="s">
        <v>1065</v>
      </c>
      <c r="C1525" s="51">
        <v>7896261012523</v>
      </c>
      <c r="D1525" s="40" t="s">
        <v>70</v>
      </c>
      <c r="E1525" s="40"/>
      <c r="F1525" s="40">
        <v>200</v>
      </c>
      <c r="G1525" s="38"/>
      <c r="H1525" s="38" t="s">
        <v>954</v>
      </c>
      <c r="I1525" s="38" t="s">
        <v>311</v>
      </c>
      <c r="J1525" s="38" t="s">
        <v>947</v>
      </c>
      <c r="K1525" s="38" t="s">
        <v>1060</v>
      </c>
      <c r="L1525" s="52" t="s">
        <v>213</v>
      </c>
      <c r="M1525" s="53" t="s">
        <v>213</v>
      </c>
    </row>
    <row r="1526" spans="1:13" x14ac:dyDescent="0.3">
      <c r="A1526" s="37">
        <v>27</v>
      </c>
      <c r="B1526" s="38" t="s">
        <v>1065</v>
      </c>
      <c r="C1526" s="51">
        <v>7896261012523</v>
      </c>
      <c r="D1526" s="40" t="s">
        <v>70</v>
      </c>
      <c r="E1526" s="40"/>
      <c r="F1526" s="40">
        <v>215</v>
      </c>
      <c r="G1526" s="38"/>
      <c r="H1526" s="38" t="s">
        <v>955</v>
      </c>
      <c r="I1526" s="38" t="s">
        <v>311</v>
      </c>
      <c r="J1526" s="38" t="s">
        <v>947</v>
      </c>
      <c r="K1526" s="38" t="s">
        <v>1060</v>
      </c>
      <c r="L1526" s="52" t="s">
        <v>213</v>
      </c>
      <c r="M1526" s="53" t="s">
        <v>213</v>
      </c>
    </row>
    <row r="1527" spans="1:13" x14ac:dyDescent="0.3">
      <c r="A1527" s="37">
        <v>27</v>
      </c>
      <c r="B1527" s="38" t="s">
        <v>1065</v>
      </c>
      <c r="C1527" s="51">
        <v>7896261012523</v>
      </c>
      <c r="D1527" s="40" t="s">
        <v>70</v>
      </c>
      <c r="E1527" s="40"/>
      <c r="F1527" s="40">
        <v>217</v>
      </c>
      <c r="G1527" s="38"/>
      <c r="H1527" s="38" t="s">
        <v>956</v>
      </c>
      <c r="I1527" s="38" t="s">
        <v>311</v>
      </c>
      <c r="J1527" s="38" t="s">
        <v>947</v>
      </c>
      <c r="K1527" s="38" t="s">
        <v>1060</v>
      </c>
      <c r="L1527" s="52" t="s">
        <v>213</v>
      </c>
      <c r="M1527" s="53" t="s">
        <v>213</v>
      </c>
    </row>
    <row r="1528" spans="1:13" x14ac:dyDescent="0.3">
      <c r="A1528" s="37">
        <v>27</v>
      </c>
      <c r="B1528" s="38" t="s">
        <v>1065</v>
      </c>
      <c r="C1528" s="51">
        <v>7896261012523</v>
      </c>
      <c r="D1528" s="40" t="s">
        <v>70</v>
      </c>
      <c r="E1528" s="40"/>
      <c r="F1528" s="40">
        <v>219</v>
      </c>
      <c r="G1528" s="38"/>
      <c r="H1528" s="38" t="s">
        <v>957</v>
      </c>
      <c r="I1528" s="38" t="s">
        <v>311</v>
      </c>
      <c r="J1528" s="38" t="s">
        <v>947</v>
      </c>
      <c r="K1528" s="38" t="s">
        <v>1060</v>
      </c>
      <c r="L1528" s="52" t="s">
        <v>213</v>
      </c>
      <c r="M1528" s="53" t="s">
        <v>213</v>
      </c>
    </row>
    <row r="1529" spans="1:13" x14ac:dyDescent="0.3">
      <c r="A1529" s="37">
        <v>27</v>
      </c>
      <c r="B1529" s="38" t="s">
        <v>1065</v>
      </c>
      <c r="C1529" s="51">
        <v>7896261012523</v>
      </c>
      <c r="D1529" s="40" t="s">
        <v>70</v>
      </c>
      <c r="E1529" s="40"/>
      <c r="F1529" s="40">
        <v>228</v>
      </c>
      <c r="G1529" s="38"/>
      <c r="H1529" s="38" t="s">
        <v>958</v>
      </c>
      <c r="I1529" s="38" t="s">
        <v>311</v>
      </c>
      <c r="J1529" s="38" t="s">
        <v>947</v>
      </c>
      <c r="K1529" s="38" t="s">
        <v>1060</v>
      </c>
      <c r="L1529" s="52" t="s">
        <v>213</v>
      </c>
      <c r="M1529" s="53" t="s">
        <v>213</v>
      </c>
    </row>
    <row r="1530" spans="1:13" x14ac:dyDescent="0.3">
      <c r="A1530" s="37">
        <v>27</v>
      </c>
      <c r="B1530" s="38" t="s">
        <v>1065</v>
      </c>
      <c r="C1530" s="51">
        <v>7896261012523</v>
      </c>
      <c r="D1530" s="40" t="s">
        <v>70</v>
      </c>
      <c r="E1530" s="40"/>
      <c r="F1530" s="40">
        <v>229</v>
      </c>
      <c r="G1530" s="38"/>
      <c r="H1530" s="38" t="s">
        <v>959</v>
      </c>
      <c r="I1530" s="38" t="s">
        <v>311</v>
      </c>
      <c r="J1530" s="38" t="s">
        <v>947</v>
      </c>
      <c r="K1530" s="38" t="s">
        <v>1060</v>
      </c>
      <c r="L1530" s="52" t="s">
        <v>213</v>
      </c>
      <c r="M1530" s="53" t="s">
        <v>213</v>
      </c>
    </row>
    <row r="1531" spans="1:13" x14ac:dyDescent="0.3">
      <c r="A1531" s="37">
        <v>27</v>
      </c>
      <c r="B1531" s="38" t="s">
        <v>1065</v>
      </c>
      <c r="C1531" s="51">
        <v>7896261012523</v>
      </c>
      <c r="D1531" s="40" t="s">
        <v>70</v>
      </c>
      <c r="E1531" s="40"/>
      <c r="F1531" s="40">
        <v>249</v>
      </c>
      <c r="G1531" s="38"/>
      <c r="H1531" s="38" t="s">
        <v>960</v>
      </c>
      <c r="I1531" s="38" t="s">
        <v>311</v>
      </c>
      <c r="J1531" s="38" t="s">
        <v>947</v>
      </c>
      <c r="K1531" s="38" t="s">
        <v>1002</v>
      </c>
      <c r="L1531" s="52" t="s">
        <v>213</v>
      </c>
      <c r="M1531" s="53" t="s">
        <v>213</v>
      </c>
    </row>
    <row r="1532" spans="1:13" x14ac:dyDescent="0.3">
      <c r="A1532" s="37">
        <v>27</v>
      </c>
      <c r="B1532" s="38" t="s">
        <v>1065</v>
      </c>
      <c r="C1532" s="51">
        <v>7896261012523</v>
      </c>
      <c r="D1532" s="40" t="s">
        <v>70</v>
      </c>
      <c r="E1532" s="40"/>
      <c r="F1532" s="40">
        <v>262</v>
      </c>
      <c r="G1532" s="38"/>
      <c r="H1532" s="38" t="s">
        <v>961</v>
      </c>
      <c r="I1532" s="38" t="s">
        <v>424</v>
      </c>
      <c r="J1532" s="38" t="s">
        <v>947</v>
      </c>
      <c r="K1532" s="38">
        <v>49.7</v>
      </c>
      <c r="L1532" s="52" t="s">
        <v>213</v>
      </c>
      <c r="M1532" s="53" t="s">
        <v>213</v>
      </c>
    </row>
    <row r="1533" spans="1:13" x14ac:dyDescent="0.3">
      <c r="A1533" s="37">
        <v>27</v>
      </c>
      <c r="B1533" s="38" t="s">
        <v>1065</v>
      </c>
      <c r="C1533" s="51">
        <v>7896261012523</v>
      </c>
      <c r="D1533" s="40" t="s">
        <v>70</v>
      </c>
      <c r="E1533" s="40"/>
      <c r="F1533" s="40">
        <v>301</v>
      </c>
      <c r="G1533" s="38"/>
      <c r="H1533" s="38" t="s">
        <v>963</v>
      </c>
      <c r="I1533" s="38" t="s">
        <v>311</v>
      </c>
      <c r="J1533" s="38" t="s">
        <v>947</v>
      </c>
      <c r="K1533" s="38" t="s">
        <v>1060</v>
      </c>
      <c r="L1533" s="52" t="s">
        <v>213</v>
      </c>
      <c r="M1533" s="53" t="s">
        <v>213</v>
      </c>
    </row>
    <row r="1534" spans="1:13" x14ac:dyDescent="0.3">
      <c r="A1534" s="37">
        <v>27</v>
      </c>
      <c r="B1534" s="38" t="s">
        <v>1066</v>
      </c>
      <c r="C1534" s="51">
        <v>7896261012561</v>
      </c>
      <c r="D1534" s="40" t="s">
        <v>70</v>
      </c>
      <c r="E1534" s="40"/>
      <c r="F1534" s="40">
        <v>94</v>
      </c>
      <c r="G1534" s="38"/>
      <c r="H1534" s="38" t="s">
        <v>940</v>
      </c>
      <c r="I1534" s="38" t="s">
        <v>311</v>
      </c>
      <c r="J1534" s="38">
        <v>0</v>
      </c>
      <c r="K1534" s="38" t="s">
        <v>1058</v>
      </c>
      <c r="L1534" s="52" t="s">
        <v>213</v>
      </c>
      <c r="M1534" s="53" t="s">
        <v>213</v>
      </c>
    </row>
    <row r="1535" spans="1:13" x14ac:dyDescent="0.3">
      <c r="A1535" s="37">
        <v>27</v>
      </c>
      <c r="B1535" s="38" t="s">
        <v>1066</v>
      </c>
      <c r="C1535" s="51">
        <v>7896261012561</v>
      </c>
      <c r="D1535" s="40" t="s">
        <v>70</v>
      </c>
      <c r="E1535" s="40"/>
      <c r="F1535" s="40">
        <v>159</v>
      </c>
      <c r="G1535" s="38"/>
      <c r="H1535" s="38" t="s">
        <v>942</v>
      </c>
      <c r="I1535" s="38" t="s">
        <v>311</v>
      </c>
      <c r="J1535" s="38">
        <v>0</v>
      </c>
      <c r="K1535" s="38" t="s">
        <v>1059</v>
      </c>
      <c r="L1535" s="52" t="s">
        <v>213</v>
      </c>
      <c r="M1535" s="53" t="s">
        <v>213</v>
      </c>
    </row>
    <row r="1536" spans="1:13" x14ac:dyDescent="0.3">
      <c r="A1536" s="37">
        <v>27</v>
      </c>
      <c r="B1536" s="38" t="s">
        <v>1066</v>
      </c>
      <c r="C1536" s="51">
        <v>7896261012561</v>
      </c>
      <c r="D1536" s="40" t="s">
        <v>70</v>
      </c>
      <c r="E1536" s="40"/>
      <c r="F1536" s="40">
        <v>164</v>
      </c>
      <c r="G1536" s="38"/>
      <c r="H1536" s="38" t="s">
        <v>944</v>
      </c>
      <c r="I1536" s="38" t="s">
        <v>311</v>
      </c>
      <c r="J1536" s="38">
        <v>0</v>
      </c>
      <c r="K1536" s="38" t="s">
        <v>1059</v>
      </c>
      <c r="L1536" s="52" t="s">
        <v>213</v>
      </c>
      <c r="M1536" s="53" t="s">
        <v>213</v>
      </c>
    </row>
    <row r="1537" spans="1:13" x14ac:dyDescent="0.3">
      <c r="A1537" s="37">
        <v>27</v>
      </c>
      <c r="B1537" s="38" t="s">
        <v>1066</v>
      </c>
      <c r="C1537" s="51">
        <v>7896261012561</v>
      </c>
      <c r="D1537" s="40" t="s">
        <v>70</v>
      </c>
      <c r="E1537" s="40"/>
      <c r="F1537" s="40">
        <v>174</v>
      </c>
      <c r="G1537" s="38"/>
      <c r="H1537" s="38" t="s">
        <v>945</v>
      </c>
      <c r="I1537" s="38" t="s">
        <v>311</v>
      </c>
      <c r="J1537" s="38">
        <v>0</v>
      </c>
      <c r="K1537" s="38" t="s">
        <v>1059</v>
      </c>
      <c r="L1537" s="52" t="s">
        <v>213</v>
      </c>
      <c r="M1537" s="53" t="s">
        <v>213</v>
      </c>
    </row>
    <row r="1538" spans="1:13" x14ac:dyDescent="0.3">
      <c r="A1538" s="37">
        <v>27</v>
      </c>
      <c r="B1538" s="38" t="s">
        <v>1066</v>
      </c>
      <c r="C1538" s="51">
        <v>7896261012561</v>
      </c>
      <c r="D1538" s="40" t="s">
        <v>70</v>
      </c>
      <c r="E1538" s="40"/>
      <c r="F1538" s="40">
        <v>178</v>
      </c>
      <c r="G1538" s="38"/>
      <c r="H1538" s="38" t="s">
        <v>946</v>
      </c>
      <c r="I1538" s="38" t="s">
        <v>424</v>
      </c>
      <c r="J1538" s="38" t="s">
        <v>947</v>
      </c>
      <c r="K1538" s="56">
        <v>0.6</v>
      </c>
      <c r="L1538" s="52" t="s">
        <v>213</v>
      </c>
      <c r="M1538" s="53" t="s">
        <v>213</v>
      </c>
    </row>
    <row r="1539" spans="1:13" x14ac:dyDescent="0.3">
      <c r="A1539" s="37">
        <v>27</v>
      </c>
      <c r="B1539" s="38" t="s">
        <v>1066</v>
      </c>
      <c r="C1539" s="51">
        <v>7896261012561</v>
      </c>
      <c r="D1539" s="40" t="s">
        <v>70</v>
      </c>
      <c r="E1539" s="40"/>
      <c r="F1539" s="40">
        <v>179</v>
      </c>
      <c r="G1539" s="38"/>
      <c r="H1539" s="38" t="s">
        <v>948</v>
      </c>
      <c r="I1539" s="38" t="s">
        <v>424</v>
      </c>
      <c r="J1539" s="38" t="s">
        <v>947</v>
      </c>
      <c r="K1539" s="56">
        <v>0.7</v>
      </c>
      <c r="L1539" s="52" t="s">
        <v>213</v>
      </c>
      <c r="M1539" s="53" t="s">
        <v>213</v>
      </c>
    </row>
    <row r="1540" spans="1:13" x14ac:dyDescent="0.3">
      <c r="A1540" s="37">
        <v>27</v>
      </c>
      <c r="B1540" s="38" t="s">
        <v>1066</v>
      </c>
      <c r="C1540" s="51">
        <v>7896261012561</v>
      </c>
      <c r="D1540" s="40" t="s">
        <v>70</v>
      </c>
      <c r="E1540" s="40"/>
      <c r="F1540" s="40">
        <v>185</v>
      </c>
      <c r="G1540" s="38"/>
      <c r="H1540" s="38" t="s">
        <v>977</v>
      </c>
      <c r="I1540" s="38" t="s">
        <v>424</v>
      </c>
      <c r="J1540" s="38">
        <v>0</v>
      </c>
      <c r="K1540" s="56">
        <v>0.6</v>
      </c>
      <c r="L1540" s="52" t="s">
        <v>213</v>
      </c>
      <c r="M1540" s="53" t="s">
        <v>213</v>
      </c>
    </row>
    <row r="1541" spans="1:13" x14ac:dyDescent="0.3">
      <c r="A1541" s="37">
        <v>27</v>
      </c>
      <c r="B1541" s="38" t="s">
        <v>1066</v>
      </c>
      <c r="C1541" s="51">
        <v>7896261012561</v>
      </c>
      <c r="D1541" s="40" t="s">
        <v>70</v>
      </c>
      <c r="E1541" s="40"/>
      <c r="F1541" s="40">
        <v>196</v>
      </c>
      <c r="G1541" s="38"/>
      <c r="H1541" s="38" t="s">
        <v>949</v>
      </c>
      <c r="I1541" s="38" t="s">
        <v>311</v>
      </c>
      <c r="J1541" s="38" t="s">
        <v>947</v>
      </c>
      <c r="K1541" s="38" t="s">
        <v>1060</v>
      </c>
      <c r="L1541" s="52" t="s">
        <v>213</v>
      </c>
      <c r="M1541" s="53" t="s">
        <v>213</v>
      </c>
    </row>
    <row r="1542" spans="1:13" x14ac:dyDescent="0.3">
      <c r="A1542" s="37">
        <v>27</v>
      </c>
      <c r="B1542" s="38" t="s">
        <v>1066</v>
      </c>
      <c r="C1542" s="51">
        <v>7896261012561</v>
      </c>
      <c r="D1542" s="40" t="s">
        <v>70</v>
      </c>
      <c r="E1542" s="40"/>
      <c r="F1542" s="40">
        <v>197</v>
      </c>
      <c r="G1542" s="38"/>
      <c r="H1542" s="38" t="s">
        <v>951</v>
      </c>
      <c r="I1542" s="38" t="s">
        <v>311</v>
      </c>
      <c r="J1542" s="38" t="s">
        <v>947</v>
      </c>
      <c r="K1542" s="38" t="s">
        <v>1060</v>
      </c>
      <c r="L1542" s="52" t="s">
        <v>213</v>
      </c>
      <c r="M1542" s="53" t="s">
        <v>213</v>
      </c>
    </row>
    <row r="1543" spans="1:13" x14ac:dyDescent="0.3">
      <c r="A1543" s="37">
        <v>27</v>
      </c>
      <c r="B1543" s="38" t="s">
        <v>1066</v>
      </c>
      <c r="C1543" s="51">
        <v>7896261012561</v>
      </c>
      <c r="D1543" s="40" t="s">
        <v>70</v>
      </c>
      <c r="E1543" s="40"/>
      <c r="F1543" s="40">
        <v>198</v>
      </c>
      <c r="G1543" s="38"/>
      <c r="H1543" s="38" t="s">
        <v>952</v>
      </c>
      <c r="I1543" s="38" t="s">
        <v>311</v>
      </c>
      <c r="J1543" s="38" t="s">
        <v>947</v>
      </c>
      <c r="K1543" s="38" t="s">
        <v>1060</v>
      </c>
      <c r="L1543" s="52" t="s">
        <v>213</v>
      </c>
      <c r="M1543" s="53" t="s">
        <v>213</v>
      </c>
    </row>
    <row r="1544" spans="1:13" x14ac:dyDescent="0.3">
      <c r="A1544" s="37">
        <v>27</v>
      </c>
      <c r="B1544" s="38" t="s">
        <v>1066</v>
      </c>
      <c r="C1544" s="51">
        <v>7896261012561</v>
      </c>
      <c r="D1544" s="40" t="s">
        <v>70</v>
      </c>
      <c r="E1544" s="40"/>
      <c r="F1544" s="40">
        <v>199</v>
      </c>
      <c r="G1544" s="38"/>
      <c r="H1544" s="38" t="s">
        <v>953</v>
      </c>
      <c r="I1544" s="38" t="s">
        <v>311</v>
      </c>
      <c r="J1544" s="38" t="s">
        <v>947</v>
      </c>
      <c r="K1544" s="38" t="s">
        <v>1060</v>
      </c>
      <c r="L1544" s="52" t="s">
        <v>213</v>
      </c>
      <c r="M1544" s="53" t="s">
        <v>213</v>
      </c>
    </row>
    <row r="1545" spans="1:13" x14ac:dyDescent="0.3">
      <c r="A1545" s="37">
        <v>27</v>
      </c>
      <c r="B1545" s="38" t="s">
        <v>1066</v>
      </c>
      <c r="C1545" s="51">
        <v>7896261012561</v>
      </c>
      <c r="D1545" s="40" t="s">
        <v>70</v>
      </c>
      <c r="E1545" s="40"/>
      <c r="F1545" s="40">
        <v>200</v>
      </c>
      <c r="G1545" s="38"/>
      <c r="H1545" s="38" t="s">
        <v>954</v>
      </c>
      <c r="I1545" s="38" t="s">
        <v>311</v>
      </c>
      <c r="J1545" s="38" t="s">
        <v>947</v>
      </c>
      <c r="K1545" s="38" t="s">
        <v>1060</v>
      </c>
      <c r="L1545" s="52" t="s">
        <v>213</v>
      </c>
      <c r="M1545" s="53" t="s">
        <v>213</v>
      </c>
    </row>
    <row r="1546" spans="1:13" x14ac:dyDescent="0.3">
      <c r="A1546" s="37">
        <v>27</v>
      </c>
      <c r="B1546" s="38" t="s">
        <v>1066</v>
      </c>
      <c r="C1546" s="51">
        <v>7896261012561</v>
      </c>
      <c r="D1546" s="40" t="s">
        <v>70</v>
      </c>
      <c r="E1546" s="40"/>
      <c r="F1546" s="40">
        <v>215</v>
      </c>
      <c r="G1546" s="38"/>
      <c r="H1546" s="38" t="s">
        <v>955</v>
      </c>
      <c r="I1546" s="38" t="s">
        <v>311</v>
      </c>
      <c r="J1546" s="38" t="s">
        <v>947</v>
      </c>
      <c r="K1546" s="38" t="s">
        <v>1060</v>
      </c>
      <c r="L1546" s="52" t="s">
        <v>213</v>
      </c>
      <c r="M1546" s="53" t="s">
        <v>213</v>
      </c>
    </row>
    <row r="1547" spans="1:13" x14ac:dyDescent="0.3">
      <c r="A1547" s="37">
        <v>27</v>
      </c>
      <c r="B1547" s="38" t="s">
        <v>1066</v>
      </c>
      <c r="C1547" s="51">
        <v>7896261012561</v>
      </c>
      <c r="D1547" s="40" t="s">
        <v>70</v>
      </c>
      <c r="E1547" s="40"/>
      <c r="F1547" s="40">
        <v>217</v>
      </c>
      <c r="G1547" s="38"/>
      <c r="H1547" s="38" t="s">
        <v>956</v>
      </c>
      <c r="I1547" s="38" t="s">
        <v>311</v>
      </c>
      <c r="J1547" s="38" t="s">
        <v>947</v>
      </c>
      <c r="K1547" s="38" t="s">
        <v>1060</v>
      </c>
      <c r="L1547" s="52" t="s">
        <v>213</v>
      </c>
      <c r="M1547" s="53" t="s">
        <v>213</v>
      </c>
    </row>
    <row r="1548" spans="1:13" x14ac:dyDescent="0.3">
      <c r="A1548" s="37">
        <v>27</v>
      </c>
      <c r="B1548" s="38" t="s">
        <v>1066</v>
      </c>
      <c r="C1548" s="51">
        <v>7896261012561</v>
      </c>
      <c r="D1548" s="40" t="s">
        <v>70</v>
      </c>
      <c r="E1548" s="40"/>
      <c r="F1548" s="40">
        <v>219</v>
      </c>
      <c r="G1548" s="38"/>
      <c r="H1548" s="38" t="s">
        <v>957</v>
      </c>
      <c r="I1548" s="38" t="s">
        <v>311</v>
      </c>
      <c r="J1548" s="38" t="s">
        <v>947</v>
      </c>
      <c r="K1548" s="38" t="s">
        <v>1060</v>
      </c>
      <c r="L1548" s="52" t="s">
        <v>213</v>
      </c>
      <c r="M1548" s="53" t="s">
        <v>213</v>
      </c>
    </row>
    <row r="1549" spans="1:13" x14ac:dyDescent="0.3">
      <c r="A1549" s="37">
        <v>27</v>
      </c>
      <c r="B1549" s="38" t="s">
        <v>1066</v>
      </c>
      <c r="C1549" s="51">
        <v>7896261012561</v>
      </c>
      <c r="D1549" s="40" t="s">
        <v>70</v>
      </c>
      <c r="E1549" s="40"/>
      <c r="F1549" s="40">
        <v>228</v>
      </c>
      <c r="G1549" s="38"/>
      <c r="H1549" s="38" t="s">
        <v>958</v>
      </c>
      <c r="I1549" s="38" t="s">
        <v>311</v>
      </c>
      <c r="J1549" s="38" t="s">
        <v>947</v>
      </c>
      <c r="K1549" s="38" t="s">
        <v>1060</v>
      </c>
      <c r="L1549" s="52" t="s">
        <v>213</v>
      </c>
      <c r="M1549" s="53" t="s">
        <v>213</v>
      </c>
    </row>
    <row r="1550" spans="1:13" x14ac:dyDescent="0.3">
      <c r="A1550" s="37">
        <v>27</v>
      </c>
      <c r="B1550" s="38" t="s">
        <v>1066</v>
      </c>
      <c r="C1550" s="51">
        <v>7896261012561</v>
      </c>
      <c r="D1550" s="40" t="s">
        <v>70</v>
      </c>
      <c r="E1550" s="40"/>
      <c r="F1550" s="40">
        <v>229</v>
      </c>
      <c r="G1550" s="38"/>
      <c r="H1550" s="38" t="s">
        <v>959</v>
      </c>
      <c r="I1550" s="38" t="s">
        <v>311</v>
      </c>
      <c r="J1550" s="38" t="s">
        <v>947</v>
      </c>
      <c r="K1550" s="38" t="s">
        <v>1060</v>
      </c>
      <c r="L1550" s="52" t="s">
        <v>213</v>
      </c>
      <c r="M1550" s="53" t="s">
        <v>213</v>
      </c>
    </row>
    <row r="1551" spans="1:13" x14ac:dyDescent="0.3">
      <c r="A1551" s="37">
        <v>27</v>
      </c>
      <c r="B1551" s="38" t="s">
        <v>1066</v>
      </c>
      <c r="C1551" s="51">
        <v>7896261012561</v>
      </c>
      <c r="D1551" s="40" t="s">
        <v>70</v>
      </c>
      <c r="E1551" s="40"/>
      <c r="F1551" s="40">
        <v>247</v>
      </c>
      <c r="G1551" s="38"/>
      <c r="H1551" s="38" t="s">
        <v>979</v>
      </c>
      <c r="I1551" s="38" t="s">
        <v>424</v>
      </c>
      <c r="J1551" s="38" t="s">
        <v>947</v>
      </c>
      <c r="K1551" s="56">
        <v>0.61</v>
      </c>
      <c r="L1551" s="52" t="s">
        <v>213</v>
      </c>
      <c r="M1551" s="53" t="s">
        <v>213</v>
      </c>
    </row>
    <row r="1552" spans="1:13" x14ac:dyDescent="0.3">
      <c r="A1552" s="37">
        <v>27</v>
      </c>
      <c r="B1552" s="38" t="s">
        <v>1066</v>
      </c>
      <c r="C1552" s="51">
        <v>7896261012561</v>
      </c>
      <c r="D1552" s="40" t="s">
        <v>70</v>
      </c>
      <c r="E1552" s="40"/>
      <c r="F1552" s="40">
        <v>249</v>
      </c>
      <c r="G1552" s="38"/>
      <c r="H1552" s="38" t="s">
        <v>960</v>
      </c>
      <c r="I1552" s="38" t="s">
        <v>311</v>
      </c>
      <c r="J1552" s="38" t="s">
        <v>947</v>
      </c>
      <c r="K1552" s="38" t="s">
        <v>1060</v>
      </c>
      <c r="L1552" s="52" t="s">
        <v>213</v>
      </c>
      <c r="M1552" s="53" t="s">
        <v>213</v>
      </c>
    </row>
    <row r="1553" spans="1:13" x14ac:dyDescent="0.3">
      <c r="A1553" s="37">
        <v>27</v>
      </c>
      <c r="B1553" s="38" t="s">
        <v>1066</v>
      </c>
      <c r="C1553" s="51">
        <v>7896261012561</v>
      </c>
      <c r="D1553" s="40" t="s">
        <v>70</v>
      </c>
      <c r="E1553" s="40"/>
      <c r="F1553" s="40">
        <v>262</v>
      </c>
      <c r="G1553" s="38"/>
      <c r="H1553" s="38" t="s">
        <v>961</v>
      </c>
      <c r="I1553" s="38" t="s">
        <v>424</v>
      </c>
      <c r="J1553" s="38" t="s">
        <v>947</v>
      </c>
      <c r="K1553" s="38">
        <v>49.7</v>
      </c>
      <c r="L1553" s="52" t="s">
        <v>213</v>
      </c>
      <c r="M1553" s="53" t="s">
        <v>213</v>
      </c>
    </row>
    <row r="1554" spans="1:13" x14ac:dyDescent="0.3">
      <c r="A1554" s="37">
        <v>27</v>
      </c>
      <c r="B1554" s="38" t="s">
        <v>1066</v>
      </c>
      <c r="C1554" s="51">
        <v>7896261012561</v>
      </c>
      <c r="D1554" s="40" t="s">
        <v>70</v>
      </c>
      <c r="E1554" s="40"/>
      <c r="F1554" s="40">
        <v>301</v>
      </c>
      <c r="G1554" s="38"/>
      <c r="H1554" s="38" t="s">
        <v>963</v>
      </c>
      <c r="I1554" s="38" t="s">
        <v>311</v>
      </c>
      <c r="J1554" s="38" t="s">
        <v>947</v>
      </c>
      <c r="K1554" s="38" t="s">
        <v>1060</v>
      </c>
      <c r="L1554" s="52" t="s">
        <v>213</v>
      </c>
      <c r="M1554" s="53" t="s">
        <v>213</v>
      </c>
    </row>
    <row r="1555" spans="1:13" x14ac:dyDescent="0.3">
      <c r="A1555" s="37">
        <v>27</v>
      </c>
      <c r="B1555" s="38" t="s">
        <v>1066</v>
      </c>
      <c r="C1555" s="51">
        <v>7896261012561</v>
      </c>
      <c r="D1555" s="40" t="s">
        <v>70</v>
      </c>
      <c r="E1555" s="40"/>
      <c r="F1555" s="40">
        <v>328</v>
      </c>
      <c r="G1555" s="38"/>
      <c r="H1555" s="38" t="s">
        <v>1048</v>
      </c>
      <c r="I1555" s="38" t="s">
        <v>311</v>
      </c>
      <c r="J1555" s="38" t="s">
        <v>947</v>
      </c>
      <c r="K1555" s="38" t="s">
        <v>1064</v>
      </c>
      <c r="L1555" s="52" t="s">
        <v>213</v>
      </c>
      <c r="M1555" s="53" t="s">
        <v>213</v>
      </c>
    </row>
    <row r="1556" spans="1:13" x14ac:dyDescent="0.3">
      <c r="A1556" s="37">
        <v>27</v>
      </c>
      <c r="B1556" s="38" t="s">
        <v>1067</v>
      </c>
      <c r="C1556" s="51">
        <v>7896261012608</v>
      </c>
      <c r="D1556" s="40" t="s">
        <v>70</v>
      </c>
      <c r="E1556" s="40"/>
      <c r="F1556" s="40">
        <v>94</v>
      </c>
      <c r="G1556" s="38"/>
      <c r="H1556" s="38" t="s">
        <v>940</v>
      </c>
      <c r="I1556" s="38" t="s">
        <v>311</v>
      </c>
      <c r="J1556" s="38">
        <v>0</v>
      </c>
      <c r="K1556" s="38" t="s">
        <v>1058</v>
      </c>
      <c r="L1556" s="52" t="s">
        <v>213</v>
      </c>
      <c r="M1556" s="53" t="s">
        <v>213</v>
      </c>
    </row>
    <row r="1557" spans="1:13" x14ac:dyDescent="0.3">
      <c r="A1557" s="37">
        <v>27</v>
      </c>
      <c r="B1557" s="38" t="s">
        <v>1067</v>
      </c>
      <c r="C1557" s="51">
        <v>7896261012608</v>
      </c>
      <c r="D1557" s="40" t="s">
        <v>70</v>
      </c>
      <c r="E1557" s="40"/>
      <c r="F1557" s="40">
        <v>159</v>
      </c>
      <c r="G1557" s="38"/>
      <c r="H1557" s="38" t="s">
        <v>942</v>
      </c>
      <c r="I1557" s="38" t="s">
        <v>311</v>
      </c>
      <c r="J1557" s="38">
        <v>0</v>
      </c>
      <c r="K1557" s="38" t="s">
        <v>1059</v>
      </c>
      <c r="L1557" s="52" t="s">
        <v>213</v>
      </c>
      <c r="M1557" s="53" t="s">
        <v>213</v>
      </c>
    </row>
    <row r="1558" spans="1:13" x14ac:dyDescent="0.3">
      <c r="A1558" s="37">
        <v>27</v>
      </c>
      <c r="B1558" s="38" t="s">
        <v>1067</v>
      </c>
      <c r="C1558" s="51">
        <v>7896261012608</v>
      </c>
      <c r="D1558" s="40" t="s">
        <v>70</v>
      </c>
      <c r="E1558" s="40"/>
      <c r="F1558" s="40">
        <v>164</v>
      </c>
      <c r="G1558" s="38"/>
      <c r="H1558" s="38" t="s">
        <v>944</v>
      </c>
      <c r="I1558" s="38" t="s">
        <v>311</v>
      </c>
      <c r="J1558" s="38">
        <v>0</v>
      </c>
      <c r="K1558" s="38" t="s">
        <v>1059</v>
      </c>
      <c r="L1558" s="52" t="s">
        <v>213</v>
      </c>
      <c r="M1558" s="53" t="s">
        <v>213</v>
      </c>
    </row>
    <row r="1559" spans="1:13" x14ac:dyDescent="0.3">
      <c r="A1559" s="37">
        <v>27</v>
      </c>
      <c r="B1559" s="38" t="s">
        <v>1067</v>
      </c>
      <c r="C1559" s="51">
        <v>7896261012608</v>
      </c>
      <c r="D1559" s="40" t="s">
        <v>70</v>
      </c>
      <c r="E1559" s="40"/>
      <c r="F1559" s="40">
        <v>174</v>
      </c>
      <c r="G1559" s="38"/>
      <c r="H1559" s="38" t="s">
        <v>945</v>
      </c>
      <c r="I1559" s="38" t="s">
        <v>311</v>
      </c>
      <c r="J1559" s="38">
        <v>0</v>
      </c>
      <c r="K1559" s="38" t="s">
        <v>1059</v>
      </c>
      <c r="L1559" s="52" t="s">
        <v>213</v>
      </c>
      <c r="M1559" s="53" t="s">
        <v>213</v>
      </c>
    </row>
    <row r="1560" spans="1:13" x14ac:dyDescent="0.3">
      <c r="A1560" s="37">
        <v>27</v>
      </c>
      <c r="B1560" s="38" t="s">
        <v>1067</v>
      </c>
      <c r="C1560" s="51">
        <v>7896261012608</v>
      </c>
      <c r="D1560" s="40" t="s">
        <v>70</v>
      </c>
      <c r="E1560" s="40"/>
      <c r="F1560" s="40">
        <v>179</v>
      </c>
      <c r="G1560" s="38"/>
      <c r="H1560" s="38" t="s">
        <v>948</v>
      </c>
      <c r="I1560" s="38" t="s">
        <v>424</v>
      </c>
      <c r="J1560" s="38" t="s">
        <v>947</v>
      </c>
      <c r="K1560" s="56">
        <v>0.7</v>
      </c>
      <c r="L1560" s="52" t="s">
        <v>213</v>
      </c>
      <c r="M1560" s="53" t="s">
        <v>213</v>
      </c>
    </row>
    <row r="1561" spans="1:13" x14ac:dyDescent="0.3">
      <c r="A1561" s="37">
        <v>27</v>
      </c>
      <c r="B1561" s="38" t="s">
        <v>1067</v>
      </c>
      <c r="C1561" s="51">
        <v>7896261012608</v>
      </c>
      <c r="D1561" s="40" t="s">
        <v>70</v>
      </c>
      <c r="E1561" s="40"/>
      <c r="F1561" s="40">
        <v>185</v>
      </c>
      <c r="G1561" s="38"/>
      <c r="H1561" s="38" t="s">
        <v>977</v>
      </c>
      <c r="I1561" s="38" t="s">
        <v>424</v>
      </c>
      <c r="J1561" s="38">
        <v>0</v>
      </c>
      <c r="K1561" s="56">
        <v>0.6</v>
      </c>
      <c r="L1561" s="52" t="s">
        <v>213</v>
      </c>
      <c r="M1561" s="53" t="s">
        <v>213</v>
      </c>
    </row>
    <row r="1562" spans="1:13" x14ac:dyDescent="0.3">
      <c r="A1562" s="37">
        <v>27</v>
      </c>
      <c r="B1562" s="38" t="s">
        <v>1067</v>
      </c>
      <c r="C1562" s="51">
        <v>7896261012608</v>
      </c>
      <c r="D1562" s="40" t="s">
        <v>70</v>
      </c>
      <c r="E1562" s="40"/>
      <c r="F1562" s="40">
        <v>196</v>
      </c>
      <c r="G1562" s="38"/>
      <c r="H1562" s="38" t="s">
        <v>949</v>
      </c>
      <c r="I1562" s="38" t="s">
        <v>311</v>
      </c>
      <c r="J1562" s="38" t="s">
        <v>947</v>
      </c>
      <c r="K1562" s="38" t="s">
        <v>1060</v>
      </c>
      <c r="L1562" s="52" t="s">
        <v>213</v>
      </c>
      <c r="M1562" s="53" t="s">
        <v>213</v>
      </c>
    </row>
    <row r="1563" spans="1:13" x14ac:dyDescent="0.3">
      <c r="A1563" s="37">
        <v>27</v>
      </c>
      <c r="B1563" s="38" t="s">
        <v>1067</v>
      </c>
      <c r="C1563" s="51">
        <v>7896261012608</v>
      </c>
      <c r="D1563" s="40" t="s">
        <v>70</v>
      </c>
      <c r="E1563" s="40"/>
      <c r="F1563" s="40">
        <v>197</v>
      </c>
      <c r="G1563" s="38"/>
      <c r="H1563" s="38" t="s">
        <v>951</v>
      </c>
      <c r="I1563" s="38" t="s">
        <v>311</v>
      </c>
      <c r="J1563" s="38" t="s">
        <v>947</v>
      </c>
      <c r="K1563" s="38" t="s">
        <v>1060</v>
      </c>
      <c r="L1563" s="52" t="s">
        <v>213</v>
      </c>
      <c r="M1563" s="53" t="s">
        <v>213</v>
      </c>
    </row>
    <row r="1564" spans="1:13" x14ac:dyDescent="0.3">
      <c r="A1564" s="37">
        <v>27</v>
      </c>
      <c r="B1564" s="38" t="s">
        <v>1067</v>
      </c>
      <c r="C1564" s="51">
        <v>7896261012608</v>
      </c>
      <c r="D1564" s="40" t="s">
        <v>70</v>
      </c>
      <c r="E1564" s="40"/>
      <c r="F1564" s="40">
        <v>198</v>
      </c>
      <c r="G1564" s="38"/>
      <c r="H1564" s="38" t="s">
        <v>952</v>
      </c>
      <c r="I1564" s="38" t="s">
        <v>311</v>
      </c>
      <c r="J1564" s="38" t="s">
        <v>947</v>
      </c>
      <c r="K1564" s="38" t="s">
        <v>1060</v>
      </c>
      <c r="L1564" s="52" t="s">
        <v>213</v>
      </c>
      <c r="M1564" s="53" t="s">
        <v>213</v>
      </c>
    </row>
    <row r="1565" spans="1:13" x14ac:dyDescent="0.3">
      <c r="A1565" s="37">
        <v>27</v>
      </c>
      <c r="B1565" s="38" t="s">
        <v>1067</v>
      </c>
      <c r="C1565" s="51">
        <v>7896261012608</v>
      </c>
      <c r="D1565" s="40" t="s">
        <v>70</v>
      </c>
      <c r="E1565" s="40"/>
      <c r="F1565" s="40">
        <v>199</v>
      </c>
      <c r="G1565" s="38"/>
      <c r="H1565" s="38" t="s">
        <v>953</v>
      </c>
      <c r="I1565" s="38" t="s">
        <v>311</v>
      </c>
      <c r="J1565" s="38" t="s">
        <v>947</v>
      </c>
      <c r="K1565" s="38" t="s">
        <v>1060</v>
      </c>
      <c r="L1565" s="52" t="s">
        <v>213</v>
      </c>
      <c r="M1565" s="53" t="s">
        <v>213</v>
      </c>
    </row>
    <row r="1566" spans="1:13" x14ac:dyDescent="0.3">
      <c r="A1566" s="37">
        <v>27</v>
      </c>
      <c r="B1566" s="38" t="s">
        <v>1067</v>
      </c>
      <c r="C1566" s="51">
        <v>7896261012608</v>
      </c>
      <c r="D1566" s="40" t="s">
        <v>70</v>
      </c>
      <c r="E1566" s="40"/>
      <c r="F1566" s="40">
        <v>200</v>
      </c>
      <c r="G1566" s="38"/>
      <c r="H1566" s="38" t="s">
        <v>954</v>
      </c>
      <c r="I1566" s="38" t="s">
        <v>311</v>
      </c>
      <c r="J1566" s="38" t="s">
        <v>947</v>
      </c>
      <c r="K1566" s="38" t="s">
        <v>1060</v>
      </c>
      <c r="L1566" s="52" t="s">
        <v>213</v>
      </c>
      <c r="M1566" s="53" t="s">
        <v>213</v>
      </c>
    </row>
    <row r="1567" spans="1:13" x14ac:dyDescent="0.3">
      <c r="A1567" s="37">
        <v>27</v>
      </c>
      <c r="B1567" s="38" t="s">
        <v>1067</v>
      </c>
      <c r="C1567" s="51">
        <v>7896261012608</v>
      </c>
      <c r="D1567" s="40" t="s">
        <v>70</v>
      </c>
      <c r="E1567" s="40"/>
      <c r="F1567" s="40">
        <v>215</v>
      </c>
      <c r="G1567" s="38"/>
      <c r="H1567" s="38" t="s">
        <v>955</v>
      </c>
      <c r="I1567" s="38" t="s">
        <v>311</v>
      </c>
      <c r="J1567" s="38" t="s">
        <v>947</v>
      </c>
      <c r="K1567" s="38" t="s">
        <v>1060</v>
      </c>
      <c r="L1567" s="52" t="s">
        <v>213</v>
      </c>
      <c r="M1567" s="53" t="s">
        <v>213</v>
      </c>
    </row>
    <row r="1568" spans="1:13" x14ac:dyDescent="0.3">
      <c r="A1568" s="37">
        <v>27</v>
      </c>
      <c r="B1568" s="38" t="s">
        <v>1067</v>
      </c>
      <c r="C1568" s="51">
        <v>7896261012608</v>
      </c>
      <c r="D1568" s="40" t="s">
        <v>70</v>
      </c>
      <c r="E1568" s="40"/>
      <c r="F1568" s="40">
        <v>217</v>
      </c>
      <c r="G1568" s="38"/>
      <c r="H1568" s="38" t="s">
        <v>956</v>
      </c>
      <c r="I1568" s="38" t="s">
        <v>311</v>
      </c>
      <c r="J1568" s="38" t="s">
        <v>947</v>
      </c>
      <c r="K1568" s="38" t="s">
        <v>1060</v>
      </c>
      <c r="L1568" s="52" t="s">
        <v>213</v>
      </c>
      <c r="M1568" s="53" t="s">
        <v>213</v>
      </c>
    </row>
    <row r="1569" spans="1:13" x14ac:dyDescent="0.3">
      <c r="A1569" s="37">
        <v>27</v>
      </c>
      <c r="B1569" s="38" t="s">
        <v>1067</v>
      </c>
      <c r="C1569" s="51">
        <v>7896261012608</v>
      </c>
      <c r="D1569" s="40" t="s">
        <v>70</v>
      </c>
      <c r="E1569" s="40"/>
      <c r="F1569" s="40">
        <v>219</v>
      </c>
      <c r="G1569" s="38"/>
      <c r="H1569" s="38" t="s">
        <v>957</v>
      </c>
      <c r="I1569" s="38" t="s">
        <v>311</v>
      </c>
      <c r="J1569" s="38" t="s">
        <v>947</v>
      </c>
      <c r="K1569" s="38" t="s">
        <v>1060</v>
      </c>
      <c r="L1569" s="52" t="s">
        <v>213</v>
      </c>
      <c r="M1569" s="53" t="s">
        <v>213</v>
      </c>
    </row>
    <row r="1570" spans="1:13" x14ac:dyDescent="0.3">
      <c r="A1570" s="37">
        <v>27</v>
      </c>
      <c r="B1570" s="38" t="s">
        <v>1067</v>
      </c>
      <c r="C1570" s="51">
        <v>7896261012608</v>
      </c>
      <c r="D1570" s="40" t="s">
        <v>70</v>
      </c>
      <c r="E1570" s="40"/>
      <c r="F1570" s="40">
        <v>228</v>
      </c>
      <c r="G1570" s="38"/>
      <c r="H1570" s="38" t="s">
        <v>958</v>
      </c>
      <c r="I1570" s="38" t="s">
        <v>311</v>
      </c>
      <c r="J1570" s="38" t="s">
        <v>947</v>
      </c>
      <c r="K1570" s="38" t="s">
        <v>1060</v>
      </c>
      <c r="L1570" s="52" t="s">
        <v>213</v>
      </c>
      <c r="M1570" s="53" t="s">
        <v>213</v>
      </c>
    </row>
    <row r="1571" spans="1:13" x14ac:dyDescent="0.3">
      <c r="A1571" s="37">
        <v>27</v>
      </c>
      <c r="B1571" s="38" t="s">
        <v>1067</v>
      </c>
      <c r="C1571" s="51">
        <v>7896261012608</v>
      </c>
      <c r="D1571" s="40" t="s">
        <v>70</v>
      </c>
      <c r="E1571" s="40"/>
      <c r="F1571" s="40">
        <v>229</v>
      </c>
      <c r="G1571" s="38"/>
      <c r="H1571" s="38" t="s">
        <v>959</v>
      </c>
      <c r="I1571" s="38" t="s">
        <v>311</v>
      </c>
      <c r="J1571" s="38" t="s">
        <v>947</v>
      </c>
      <c r="K1571" s="38" t="s">
        <v>1060</v>
      </c>
      <c r="L1571" s="52" t="s">
        <v>213</v>
      </c>
      <c r="M1571" s="53" t="s">
        <v>213</v>
      </c>
    </row>
    <row r="1572" spans="1:13" x14ac:dyDescent="0.3">
      <c r="A1572" s="37">
        <v>27</v>
      </c>
      <c r="B1572" s="38" t="s">
        <v>1067</v>
      </c>
      <c r="C1572" s="51">
        <v>7896261012608</v>
      </c>
      <c r="D1572" s="40" t="s">
        <v>70</v>
      </c>
      <c r="E1572" s="40"/>
      <c r="F1572" s="40">
        <v>249</v>
      </c>
      <c r="G1572" s="38"/>
      <c r="H1572" s="38" t="s">
        <v>960</v>
      </c>
      <c r="I1572" s="38" t="s">
        <v>311</v>
      </c>
      <c r="J1572" s="38" t="s">
        <v>947</v>
      </c>
      <c r="K1572" s="38" t="s">
        <v>1060</v>
      </c>
      <c r="L1572" s="52" t="s">
        <v>213</v>
      </c>
      <c r="M1572" s="53" t="s">
        <v>213</v>
      </c>
    </row>
    <row r="1573" spans="1:13" x14ac:dyDescent="0.3">
      <c r="A1573" s="37">
        <v>27</v>
      </c>
      <c r="B1573" s="38" t="s">
        <v>1067</v>
      </c>
      <c r="C1573" s="51">
        <v>7896261012608</v>
      </c>
      <c r="D1573" s="40" t="s">
        <v>70</v>
      </c>
      <c r="E1573" s="40"/>
      <c r="F1573" s="40">
        <v>262</v>
      </c>
      <c r="G1573" s="38"/>
      <c r="H1573" s="38" t="s">
        <v>961</v>
      </c>
      <c r="I1573" s="38" t="s">
        <v>424</v>
      </c>
      <c r="J1573" s="38" t="s">
        <v>947</v>
      </c>
      <c r="K1573" s="38">
        <v>49.7</v>
      </c>
      <c r="L1573" s="52" t="s">
        <v>213</v>
      </c>
      <c r="M1573" s="53" t="s">
        <v>213</v>
      </c>
    </row>
    <row r="1574" spans="1:13" x14ac:dyDescent="0.3">
      <c r="A1574" s="37">
        <v>27</v>
      </c>
      <c r="B1574" s="38" t="s">
        <v>1067</v>
      </c>
      <c r="C1574" s="51">
        <v>7896261012608</v>
      </c>
      <c r="D1574" s="40" t="s">
        <v>70</v>
      </c>
      <c r="E1574" s="40"/>
      <c r="F1574" s="40">
        <v>284</v>
      </c>
      <c r="G1574" s="38"/>
      <c r="H1574" s="38" t="s">
        <v>1068</v>
      </c>
      <c r="I1574" s="38" t="s">
        <v>311</v>
      </c>
      <c r="J1574" s="38" t="s">
        <v>947</v>
      </c>
      <c r="K1574" s="38" t="s">
        <v>1069</v>
      </c>
      <c r="L1574" s="52" t="s">
        <v>213</v>
      </c>
      <c r="M1574" s="53" t="s">
        <v>213</v>
      </c>
    </row>
    <row r="1575" spans="1:13" x14ac:dyDescent="0.3">
      <c r="A1575" s="37">
        <v>27</v>
      </c>
      <c r="B1575" s="38" t="s">
        <v>1067</v>
      </c>
      <c r="C1575" s="51">
        <v>7896261012608</v>
      </c>
      <c r="D1575" s="40" t="s">
        <v>70</v>
      </c>
      <c r="E1575" s="40"/>
      <c r="F1575" s="40">
        <v>301</v>
      </c>
      <c r="G1575" s="38"/>
      <c r="H1575" s="38" t="s">
        <v>963</v>
      </c>
      <c r="I1575" s="38" t="s">
        <v>311</v>
      </c>
      <c r="J1575" s="38" t="s">
        <v>947</v>
      </c>
      <c r="K1575" s="38" t="s">
        <v>1060</v>
      </c>
      <c r="L1575" s="52" t="s">
        <v>213</v>
      </c>
      <c r="M1575" s="53" t="s">
        <v>213</v>
      </c>
    </row>
    <row r="1576" spans="1:13" x14ac:dyDescent="0.3">
      <c r="A1576" s="37">
        <v>27</v>
      </c>
      <c r="B1576" s="38" t="s">
        <v>1070</v>
      </c>
      <c r="C1576" s="51">
        <v>7896261012936</v>
      </c>
      <c r="D1576" s="40" t="s">
        <v>70</v>
      </c>
      <c r="E1576" s="40"/>
      <c r="F1576" s="40">
        <v>222</v>
      </c>
      <c r="G1576" s="38"/>
      <c r="H1576" s="38" t="s">
        <v>1071</v>
      </c>
      <c r="I1576" s="38" t="s">
        <v>311</v>
      </c>
      <c r="J1576" s="38" t="s">
        <v>966</v>
      </c>
      <c r="K1576" s="38" t="s">
        <v>1072</v>
      </c>
      <c r="L1576" s="52" t="s">
        <v>213</v>
      </c>
      <c r="M1576" s="53" t="s">
        <v>213</v>
      </c>
    </row>
    <row r="1577" spans="1:13" x14ac:dyDescent="0.3">
      <c r="A1577" s="37">
        <v>27</v>
      </c>
      <c r="B1577" s="38" t="s">
        <v>1073</v>
      </c>
      <c r="C1577" s="51">
        <v>7896261012936</v>
      </c>
      <c r="D1577" s="40" t="s">
        <v>70</v>
      </c>
      <c r="E1577" s="40"/>
      <c r="F1577" s="40">
        <v>222</v>
      </c>
      <c r="G1577" s="38"/>
      <c r="H1577" s="38" t="s">
        <v>1071</v>
      </c>
      <c r="I1577" s="38" t="s">
        <v>311</v>
      </c>
      <c r="J1577" s="38" t="s">
        <v>966</v>
      </c>
      <c r="K1577" s="38" t="s">
        <v>1072</v>
      </c>
      <c r="L1577" s="52" t="s">
        <v>213</v>
      </c>
      <c r="M1577" s="53" t="s">
        <v>213</v>
      </c>
    </row>
    <row r="1578" spans="1:13" x14ac:dyDescent="0.3">
      <c r="A1578" s="37">
        <v>27</v>
      </c>
      <c r="B1578" s="38" t="s">
        <v>1070</v>
      </c>
      <c r="C1578" s="51">
        <v>7896261012936</v>
      </c>
      <c r="D1578" s="40" t="s">
        <v>70</v>
      </c>
      <c r="E1578" s="40"/>
      <c r="F1578" s="40">
        <v>256</v>
      </c>
      <c r="G1578" s="38"/>
      <c r="H1578" s="38" t="s">
        <v>1074</v>
      </c>
      <c r="I1578" s="38" t="s">
        <v>311</v>
      </c>
      <c r="J1578" s="38" t="s">
        <v>966</v>
      </c>
      <c r="K1578" s="38" t="s">
        <v>1072</v>
      </c>
      <c r="L1578" s="52" t="s">
        <v>213</v>
      </c>
      <c r="M1578" s="53" t="s">
        <v>213</v>
      </c>
    </row>
    <row r="1579" spans="1:13" x14ac:dyDescent="0.3">
      <c r="A1579" s="37">
        <v>27</v>
      </c>
      <c r="B1579" s="38" t="s">
        <v>1073</v>
      </c>
      <c r="C1579" s="51">
        <v>7896261012936</v>
      </c>
      <c r="D1579" s="40" t="s">
        <v>70</v>
      </c>
      <c r="E1579" s="40"/>
      <c r="F1579" s="40">
        <v>256</v>
      </c>
      <c r="G1579" s="38"/>
      <c r="H1579" s="38" t="s">
        <v>1074</v>
      </c>
      <c r="I1579" s="38" t="s">
        <v>311</v>
      </c>
      <c r="J1579" s="38" t="s">
        <v>966</v>
      </c>
      <c r="K1579" s="38" t="s">
        <v>1072</v>
      </c>
      <c r="L1579" s="52" t="s">
        <v>213</v>
      </c>
      <c r="M1579" s="53" t="s">
        <v>213</v>
      </c>
    </row>
    <row r="1580" spans="1:13" x14ac:dyDescent="0.3">
      <c r="A1580" s="37">
        <v>27</v>
      </c>
      <c r="B1580" s="38" t="s">
        <v>1070</v>
      </c>
      <c r="C1580" s="51">
        <v>7896261012936</v>
      </c>
      <c r="D1580" s="40" t="s">
        <v>70</v>
      </c>
      <c r="E1580" s="40"/>
      <c r="F1580" s="40">
        <v>287</v>
      </c>
      <c r="G1580" s="38"/>
      <c r="H1580" s="38" t="s">
        <v>1075</v>
      </c>
      <c r="I1580" s="38" t="s">
        <v>311</v>
      </c>
      <c r="J1580" s="38" t="s">
        <v>966</v>
      </c>
      <c r="K1580" s="38" t="s">
        <v>1076</v>
      </c>
      <c r="L1580" s="52" t="s">
        <v>213</v>
      </c>
      <c r="M1580" s="53" t="s">
        <v>213</v>
      </c>
    </row>
    <row r="1581" spans="1:13" x14ac:dyDescent="0.3">
      <c r="A1581" s="37">
        <v>27</v>
      </c>
      <c r="B1581" s="38" t="s">
        <v>1073</v>
      </c>
      <c r="C1581" s="51">
        <v>7896261012936</v>
      </c>
      <c r="D1581" s="40" t="s">
        <v>70</v>
      </c>
      <c r="E1581" s="40"/>
      <c r="F1581" s="40">
        <v>287</v>
      </c>
      <c r="G1581" s="38"/>
      <c r="H1581" s="38" t="s">
        <v>1075</v>
      </c>
      <c r="I1581" s="38" t="s">
        <v>311</v>
      </c>
      <c r="J1581" s="38" t="s">
        <v>966</v>
      </c>
      <c r="K1581" s="38" t="s">
        <v>1076</v>
      </c>
      <c r="L1581" s="52" t="s">
        <v>213</v>
      </c>
      <c r="M1581" s="53" t="s">
        <v>213</v>
      </c>
    </row>
    <row r="1582" spans="1:13" x14ac:dyDescent="0.3">
      <c r="A1582" s="37">
        <v>27</v>
      </c>
      <c r="B1582" s="38" t="s">
        <v>1070</v>
      </c>
      <c r="C1582" s="51">
        <v>7896261012936</v>
      </c>
      <c r="D1582" s="40" t="s">
        <v>70</v>
      </c>
      <c r="E1582" s="40"/>
      <c r="F1582" s="40">
        <v>289</v>
      </c>
      <c r="G1582" s="38"/>
      <c r="H1582" s="38" t="s">
        <v>1077</v>
      </c>
      <c r="I1582" s="38" t="s">
        <v>311</v>
      </c>
      <c r="J1582" s="38" t="s">
        <v>966</v>
      </c>
      <c r="K1582" s="38" t="s">
        <v>1078</v>
      </c>
      <c r="L1582" s="52" t="s">
        <v>213</v>
      </c>
      <c r="M1582" s="53" t="s">
        <v>213</v>
      </c>
    </row>
    <row r="1583" spans="1:13" x14ac:dyDescent="0.3">
      <c r="A1583" s="37">
        <v>27</v>
      </c>
      <c r="B1583" s="38" t="s">
        <v>1073</v>
      </c>
      <c r="C1583" s="51">
        <v>7896261012936</v>
      </c>
      <c r="D1583" s="40" t="s">
        <v>70</v>
      </c>
      <c r="E1583" s="40"/>
      <c r="F1583" s="40">
        <v>289</v>
      </c>
      <c r="G1583" s="38"/>
      <c r="H1583" s="38" t="s">
        <v>1077</v>
      </c>
      <c r="I1583" s="38" t="s">
        <v>311</v>
      </c>
      <c r="J1583" s="38" t="s">
        <v>966</v>
      </c>
      <c r="K1583" s="38" t="s">
        <v>1078</v>
      </c>
      <c r="L1583" s="52" t="s">
        <v>213</v>
      </c>
      <c r="M1583" s="53" t="s">
        <v>213</v>
      </c>
    </row>
    <row r="1584" spans="1:13" x14ac:dyDescent="0.3">
      <c r="A1584" s="37">
        <v>27</v>
      </c>
      <c r="B1584" s="38" t="s">
        <v>1070</v>
      </c>
      <c r="C1584" s="51">
        <v>7896261012936</v>
      </c>
      <c r="D1584" s="40" t="s">
        <v>70</v>
      </c>
      <c r="E1584" s="40"/>
      <c r="F1584" s="40">
        <v>436</v>
      </c>
      <c r="G1584" s="38"/>
      <c r="H1584" s="38" t="s">
        <v>1079</v>
      </c>
      <c r="I1584" s="38" t="s">
        <v>311</v>
      </c>
      <c r="J1584" s="38" t="s">
        <v>966</v>
      </c>
      <c r="K1584" s="38" t="s">
        <v>1072</v>
      </c>
      <c r="L1584" s="52" t="s">
        <v>213</v>
      </c>
      <c r="M1584" s="53" t="s">
        <v>213</v>
      </c>
    </row>
    <row r="1585" spans="1:13" x14ac:dyDescent="0.3">
      <c r="A1585" s="37">
        <v>27</v>
      </c>
      <c r="B1585" s="38" t="s">
        <v>1073</v>
      </c>
      <c r="C1585" s="51">
        <v>7896261012936</v>
      </c>
      <c r="D1585" s="40" t="s">
        <v>70</v>
      </c>
      <c r="E1585" s="40"/>
      <c r="F1585" s="40">
        <v>436</v>
      </c>
      <c r="G1585" s="38"/>
      <c r="H1585" s="38" t="s">
        <v>1079</v>
      </c>
      <c r="I1585" s="38" t="s">
        <v>311</v>
      </c>
      <c r="J1585" s="38" t="s">
        <v>966</v>
      </c>
      <c r="K1585" s="38" t="s">
        <v>1072</v>
      </c>
      <c r="L1585" s="52" t="s">
        <v>213</v>
      </c>
      <c r="M1585" s="53" t="s">
        <v>213</v>
      </c>
    </row>
    <row r="1586" spans="1:13" x14ac:dyDescent="0.3">
      <c r="A1586" s="37">
        <v>27</v>
      </c>
      <c r="B1586" s="38" t="s">
        <v>1080</v>
      </c>
      <c r="C1586" s="51">
        <v>7896261013735</v>
      </c>
      <c r="D1586" s="40" t="s">
        <v>70</v>
      </c>
      <c r="E1586" s="40"/>
      <c r="F1586" s="40">
        <v>181</v>
      </c>
      <c r="G1586" s="38"/>
      <c r="H1586" s="38" t="s">
        <v>970</v>
      </c>
      <c r="I1586" s="38" t="s">
        <v>424</v>
      </c>
      <c r="J1586" s="38" t="s">
        <v>966</v>
      </c>
      <c r="K1586" s="56">
        <v>0.21</v>
      </c>
      <c r="L1586" s="52" t="s">
        <v>213</v>
      </c>
      <c r="M1586" s="53" t="s">
        <v>213</v>
      </c>
    </row>
    <row r="1587" spans="1:13" x14ac:dyDescent="0.3">
      <c r="A1587" s="37">
        <v>27</v>
      </c>
      <c r="B1587" s="38" t="s">
        <v>1080</v>
      </c>
      <c r="C1587" s="51">
        <v>7896261013735</v>
      </c>
      <c r="D1587" s="40" t="s">
        <v>70</v>
      </c>
      <c r="E1587" s="40"/>
      <c r="F1587" s="40">
        <v>188</v>
      </c>
      <c r="G1587" s="38"/>
      <c r="H1587" s="38" t="s">
        <v>1035</v>
      </c>
      <c r="I1587" s="38" t="s">
        <v>424</v>
      </c>
      <c r="J1587" s="38" t="s">
        <v>947</v>
      </c>
      <c r="K1587" s="56">
        <v>0.21</v>
      </c>
      <c r="L1587" s="52" t="s">
        <v>213</v>
      </c>
      <c r="M1587" s="53" t="s">
        <v>213</v>
      </c>
    </row>
    <row r="1588" spans="1:13" x14ac:dyDescent="0.3">
      <c r="A1588" s="37">
        <v>27</v>
      </c>
      <c r="B1588" s="38" t="s">
        <v>1080</v>
      </c>
      <c r="C1588" s="51">
        <v>7896261013735</v>
      </c>
      <c r="D1588" s="40" t="s">
        <v>70</v>
      </c>
      <c r="E1588" s="40"/>
      <c r="F1588" s="40">
        <v>195</v>
      </c>
      <c r="G1588" s="38"/>
      <c r="H1588" s="38" t="s">
        <v>971</v>
      </c>
      <c r="I1588" s="38" t="s">
        <v>424</v>
      </c>
      <c r="J1588" s="38" t="s">
        <v>947</v>
      </c>
      <c r="K1588" s="56">
        <v>0.21</v>
      </c>
      <c r="L1588" s="52" t="s">
        <v>213</v>
      </c>
      <c r="M1588" s="53" t="s">
        <v>213</v>
      </c>
    </row>
    <row r="1589" spans="1:13" x14ac:dyDescent="0.3">
      <c r="A1589" s="37">
        <v>27</v>
      </c>
      <c r="B1589" s="38" t="s">
        <v>1080</v>
      </c>
      <c r="C1589" s="51">
        <v>7896261013735</v>
      </c>
      <c r="D1589" s="40" t="s">
        <v>70</v>
      </c>
      <c r="E1589" s="40"/>
      <c r="F1589" s="40">
        <v>203</v>
      </c>
      <c r="G1589" s="38"/>
      <c r="H1589" s="38" t="s">
        <v>1081</v>
      </c>
      <c r="I1589" s="38" t="s">
        <v>424</v>
      </c>
      <c r="J1589" s="38" t="s">
        <v>947</v>
      </c>
      <c r="K1589" s="56">
        <v>0.21</v>
      </c>
      <c r="L1589" s="52" t="s">
        <v>213</v>
      </c>
      <c r="M1589" s="53" t="s">
        <v>213</v>
      </c>
    </row>
    <row r="1590" spans="1:13" x14ac:dyDescent="0.3">
      <c r="A1590" s="37">
        <v>27</v>
      </c>
      <c r="B1590" s="38" t="s">
        <v>1080</v>
      </c>
      <c r="C1590" s="51">
        <v>7896261013735</v>
      </c>
      <c r="D1590" s="40" t="s">
        <v>70</v>
      </c>
      <c r="E1590" s="40"/>
      <c r="F1590" s="40">
        <v>226</v>
      </c>
      <c r="G1590" s="38"/>
      <c r="H1590" s="38" t="s">
        <v>972</v>
      </c>
      <c r="I1590" s="38" t="s">
        <v>424</v>
      </c>
      <c r="J1590" s="38" t="s">
        <v>947</v>
      </c>
      <c r="K1590" s="56">
        <v>0.21</v>
      </c>
      <c r="L1590" s="52" t="s">
        <v>213</v>
      </c>
      <c r="M1590" s="53" t="s">
        <v>213</v>
      </c>
    </row>
    <row r="1591" spans="1:13" x14ac:dyDescent="0.3">
      <c r="A1591" s="37">
        <v>27</v>
      </c>
      <c r="B1591" s="38" t="s">
        <v>1080</v>
      </c>
      <c r="C1591" s="51">
        <v>7896261013735</v>
      </c>
      <c r="D1591" s="40" t="s">
        <v>70</v>
      </c>
      <c r="E1591" s="40"/>
      <c r="F1591" s="40">
        <v>238</v>
      </c>
      <c r="G1591" s="38"/>
      <c r="H1591" s="38" t="s">
        <v>973</v>
      </c>
      <c r="I1591" s="38" t="s">
        <v>424</v>
      </c>
      <c r="J1591" s="38" t="s">
        <v>947</v>
      </c>
      <c r="K1591" s="56">
        <v>0.21</v>
      </c>
      <c r="L1591" s="52" t="s">
        <v>213</v>
      </c>
      <c r="M1591" s="53" t="s">
        <v>213</v>
      </c>
    </row>
    <row r="1592" spans="1:13" x14ac:dyDescent="0.3">
      <c r="A1592" s="37">
        <v>27</v>
      </c>
      <c r="B1592" s="38" t="s">
        <v>1080</v>
      </c>
      <c r="C1592" s="51">
        <v>7896261013735</v>
      </c>
      <c r="D1592" s="40" t="s">
        <v>70</v>
      </c>
      <c r="E1592" s="40"/>
      <c r="F1592" s="40">
        <v>277</v>
      </c>
      <c r="G1592" s="38"/>
      <c r="H1592" s="38" t="s">
        <v>1028</v>
      </c>
      <c r="I1592" s="38" t="s">
        <v>424</v>
      </c>
      <c r="J1592" s="38" t="s">
        <v>947</v>
      </c>
      <c r="K1592" s="56">
        <v>0.21</v>
      </c>
      <c r="L1592" s="52" t="s">
        <v>213</v>
      </c>
      <c r="M1592" s="53" t="s">
        <v>213</v>
      </c>
    </row>
    <row r="1593" spans="1:13" x14ac:dyDescent="0.3">
      <c r="A1593" s="37">
        <v>27</v>
      </c>
      <c r="B1593" s="38" t="s">
        <v>1080</v>
      </c>
      <c r="C1593" s="51">
        <v>7896261013735</v>
      </c>
      <c r="D1593" s="40" t="s">
        <v>70</v>
      </c>
      <c r="E1593" s="40"/>
      <c r="F1593" s="40">
        <v>298</v>
      </c>
      <c r="G1593" s="38"/>
      <c r="H1593" s="38" t="s">
        <v>974</v>
      </c>
      <c r="I1593" s="38" t="s">
        <v>424</v>
      </c>
      <c r="J1593" s="38" t="s">
        <v>947</v>
      </c>
      <c r="K1593" s="56">
        <v>0.21</v>
      </c>
      <c r="L1593" s="52" t="s">
        <v>213</v>
      </c>
      <c r="M1593" s="53" t="s">
        <v>213</v>
      </c>
    </row>
    <row r="1594" spans="1:13" x14ac:dyDescent="0.3">
      <c r="A1594" s="37">
        <v>27</v>
      </c>
      <c r="B1594" s="38" t="s">
        <v>1080</v>
      </c>
      <c r="C1594" s="51">
        <v>7896261013735</v>
      </c>
      <c r="D1594" s="40" t="s">
        <v>70</v>
      </c>
      <c r="E1594" s="40"/>
      <c r="F1594" s="40">
        <v>317</v>
      </c>
      <c r="G1594" s="38"/>
      <c r="H1594" s="38" t="s">
        <v>975</v>
      </c>
      <c r="I1594" s="38" t="s">
        <v>424</v>
      </c>
      <c r="J1594" s="38" t="s">
        <v>966</v>
      </c>
      <c r="K1594" s="56">
        <v>0.21</v>
      </c>
      <c r="L1594" s="52" t="s">
        <v>213</v>
      </c>
      <c r="M1594" s="53" t="s">
        <v>213</v>
      </c>
    </row>
    <row r="1595" spans="1:13" x14ac:dyDescent="0.3">
      <c r="A1595" s="37">
        <v>27</v>
      </c>
      <c r="B1595" s="38" t="s">
        <v>1080</v>
      </c>
      <c r="C1595" s="51">
        <v>7896261013735</v>
      </c>
      <c r="D1595" s="40" t="s">
        <v>70</v>
      </c>
      <c r="E1595" s="40"/>
      <c r="F1595" s="40">
        <v>408</v>
      </c>
      <c r="G1595" s="38"/>
      <c r="H1595" s="38" t="s">
        <v>1082</v>
      </c>
      <c r="I1595" s="38" t="s">
        <v>424</v>
      </c>
      <c r="J1595" s="38" t="s">
        <v>947</v>
      </c>
      <c r="K1595" s="56">
        <v>0.35</v>
      </c>
      <c r="L1595" s="52" t="s">
        <v>213</v>
      </c>
      <c r="M1595" s="53" t="s">
        <v>213</v>
      </c>
    </row>
    <row r="1596" spans="1:13" x14ac:dyDescent="0.3">
      <c r="A1596" s="37">
        <v>27</v>
      </c>
      <c r="B1596" s="38" t="s">
        <v>1083</v>
      </c>
      <c r="C1596" s="51">
        <v>7896261013766</v>
      </c>
      <c r="D1596" s="40" t="s">
        <v>70</v>
      </c>
      <c r="E1596" s="40"/>
      <c r="F1596" s="40">
        <v>181</v>
      </c>
      <c r="G1596" s="38"/>
      <c r="H1596" s="38" t="s">
        <v>970</v>
      </c>
      <c r="I1596" s="38" t="s">
        <v>424</v>
      </c>
      <c r="J1596" s="38" t="s">
        <v>966</v>
      </c>
      <c r="K1596" s="56">
        <v>0.31069999999999998</v>
      </c>
      <c r="L1596" s="52" t="s">
        <v>213</v>
      </c>
      <c r="M1596" s="53" t="s">
        <v>213</v>
      </c>
    </row>
    <row r="1597" spans="1:13" x14ac:dyDescent="0.3">
      <c r="A1597" s="37">
        <v>27</v>
      </c>
      <c r="B1597" s="38" t="s">
        <v>1083</v>
      </c>
      <c r="C1597" s="51">
        <v>7896261013766</v>
      </c>
      <c r="D1597" s="40" t="s">
        <v>70</v>
      </c>
      <c r="E1597" s="40"/>
      <c r="F1597" s="40">
        <v>188</v>
      </c>
      <c r="G1597" s="38"/>
      <c r="H1597" s="38" t="s">
        <v>1035</v>
      </c>
      <c r="I1597" s="38" t="s">
        <v>424</v>
      </c>
      <c r="J1597" s="38" t="s">
        <v>947</v>
      </c>
      <c r="K1597" s="56">
        <v>0.31069999999999998</v>
      </c>
      <c r="L1597" s="52" t="s">
        <v>213</v>
      </c>
      <c r="M1597" s="53" t="s">
        <v>213</v>
      </c>
    </row>
    <row r="1598" spans="1:13" x14ac:dyDescent="0.3">
      <c r="A1598" s="37">
        <v>27</v>
      </c>
      <c r="B1598" s="38" t="s">
        <v>1083</v>
      </c>
      <c r="C1598" s="51">
        <v>7896261013766</v>
      </c>
      <c r="D1598" s="40" t="s">
        <v>70</v>
      </c>
      <c r="E1598" s="40"/>
      <c r="F1598" s="40">
        <v>195</v>
      </c>
      <c r="G1598" s="38"/>
      <c r="H1598" s="38" t="s">
        <v>971</v>
      </c>
      <c r="I1598" s="38" t="s">
        <v>424</v>
      </c>
      <c r="J1598" s="38" t="s">
        <v>947</v>
      </c>
      <c r="K1598" s="56">
        <v>0.31069999999999998</v>
      </c>
      <c r="L1598" s="52" t="s">
        <v>213</v>
      </c>
      <c r="M1598" s="53" t="s">
        <v>213</v>
      </c>
    </row>
    <row r="1599" spans="1:13" x14ac:dyDescent="0.3">
      <c r="A1599" s="37">
        <v>27</v>
      </c>
      <c r="B1599" s="38" t="s">
        <v>1083</v>
      </c>
      <c r="C1599" s="51">
        <v>7896261013766</v>
      </c>
      <c r="D1599" s="40" t="s">
        <v>70</v>
      </c>
      <c r="E1599" s="40"/>
      <c r="F1599" s="40">
        <v>203</v>
      </c>
      <c r="G1599" s="38"/>
      <c r="H1599" s="38" t="s">
        <v>1081</v>
      </c>
      <c r="I1599" s="38" t="s">
        <v>424</v>
      </c>
      <c r="J1599" s="38" t="s">
        <v>947</v>
      </c>
      <c r="K1599" s="38">
        <v>31.07</v>
      </c>
      <c r="L1599" s="52" t="s">
        <v>213</v>
      </c>
      <c r="M1599" s="53" t="s">
        <v>213</v>
      </c>
    </row>
    <row r="1600" spans="1:13" x14ac:dyDescent="0.3">
      <c r="A1600" s="37">
        <v>27</v>
      </c>
      <c r="B1600" s="38" t="s">
        <v>1083</v>
      </c>
      <c r="C1600" s="51">
        <v>7896261013766</v>
      </c>
      <c r="D1600" s="40" t="s">
        <v>70</v>
      </c>
      <c r="E1600" s="40"/>
      <c r="F1600" s="40">
        <v>226</v>
      </c>
      <c r="G1600" s="38"/>
      <c r="H1600" s="38" t="s">
        <v>972</v>
      </c>
      <c r="I1600" s="38" t="s">
        <v>424</v>
      </c>
      <c r="J1600" s="38" t="s">
        <v>947</v>
      </c>
      <c r="K1600" s="56">
        <v>0.31069999999999998</v>
      </c>
      <c r="L1600" s="52" t="s">
        <v>213</v>
      </c>
      <c r="M1600" s="53" t="s">
        <v>213</v>
      </c>
    </row>
    <row r="1601" spans="1:13" x14ac:dyDescent="0.3">
      <c r="A1601" s="37">
        <v>27</v>
      </c>
      <c r="B1601" s="38" t="s">
        <v>1083</v>
      </c>
      <c r="C1601" s="51">
        <v>7896261013766</v>
      </c>
      <c r="D1601" s="40" t="s">
        <v>70</v>
      </c>
      <c r="E1601" s="40"/>
      <c r="F1601" s="40">
        <v>232</v>
      </c>
      <c r="G1601" s="38"/>
      <c r="H1601" s="38" t="s">
        <v>1033</v>
      </c>
      <c r="I1601" s="38" t="s">
        <v>424</v>
      </c>
      <c r="J1601" s="38" t="s">
        <v>947</v>
      </c>
      <c r="K1601" s="56">
        <v>0.31069999999999998</v>
      </c>
      <c r="L1601" s="52" t="s">
        <v>213</v>
      </c>
      <c r="M1601" s="53" t="s">
        <v>213</v>
      </c>
    </row>
    <row r="1602" spans="1:13" x14ac:dyDescent="0.3">
      <c r="A1602" s="37">
        <v>27</v>
      </c>
      <c r="B1602" s="38" t="s">
        <v>1083</v>
      </c>
      <c r="C1602" s="51">
        <v>7896261013766</v>
      </c>
      <c r="D1602" s="40" t="s">
        <v>70</v>
      </c>
      <c r="E1602" s="40"/>
      <c r="F1602" s="40">
        <v>238</v>
      </c>
      <c r="G1602" s="38"/>
      <c r="H1602" s="38" t="s">
        <v>973</v>
      </c>
      <c r="I1602" s="38" t="s">
        <v>424</v>
      </c>
      <c r="J1602" s="38" t="s">
        <v>947</v>
      </c>
      <c r="K1602" s="56">
        <v>0.31069999999999998</v>
      </c>
      <c r="L1602" s="52" t="s">
        <v>213</v>
      </c>
      <c r="M1602" s="53" t="s">
        <v>213</v>
      </c>
    </row>
    <row r="1603" spans="1:13" x14ac:dyDescent="0.3">
      <c r="A1603" s="37">
        <v>27</v>
      </c>
      <c r="B1603" s="38" t="s">
        <v>1083</v>
      </c>
      <c r="C1603" s="51">
        <v>7896261013766</v>
      </c>
      <c r="D1603" s="40" t="s">
        <v>70</v>
      </c>
      <c r="E1603" s="40"/>
      <c r="F1603" s="40">
        <v>277</v>
      </c>
      <c r="G1603" s="38"/>
      <c r="H1603" s="38" t="s">
        <v>1028</v>
      </c>
      <c r="I1603" s="38" t="s">
        <v>424</v>
      </c>
      <c r="J1603" s="38" t="s">
        <v>947</v>
      </c>
      <c r="K1603" s="56">
        <v>0.31069999999999998</v>
      </c>
      <c r="L1603" s="52" t="s">
        <v>213</v>
      </c>
      <c r="M1603" s="53" t="s">
        <v>213</v>
      </c>
    </row>
    <row r="1604" spans="1:13" x14ac:dyDescent="0.3">
      <c r="A1604" s="37">
        <v>27</v>
      </c>
      <c r="B1604" s="38" t="s">
        <v>1083</v>
      </c>
      <c r="C1604" s="51">
        <v>7896261013766</v>
      </c>
      <c r="D1604" s="40" t="s">
        <v>70</v>
      </c>
      <c r="E1604" s="40"/>
      <c r="F1604" s="40">
        <v>298</v>
      </c>
      <c r="G1604" s="38"/>
      <c r="H1604" s="38" t="s">
        <v>974</v>
      </c>
      <c r="I1604" s="38" t="s">
        <v>424</v>
      </c>
      <c r="J1604" s="38" t="s">
        <v>947</v>
      </c>
      <c r="K1604" s="56">
        <v>0.31069999999999998</v>
      </c>
      <c r="L1604" s="52" t="s">
        <v>213</v>
      </c>
      <c r="M1604" s="53" t="s">
        <v>213</v>
      </c>
    </row>
    <row r="1605" spans="1:13" x14ac:dyDescent="0.3">
      <c r="A1605" s="37">
        <v>27</v>
      </c>
      <c r="B1605" s="38" t="s">
        <v>1083</v>
      </c>
      <c r="C1605" s="51">
        <v>7896261013766</v>
      </c>
      <c r="D1605" s="40" t="s">
        <v>70</v>
      </c>
      <c r="E1605" s="40"/>
      <c r="F1605" s="40">
        <v>317</v>
      </c>
      <c r="G1605" s="38"/>
      <c r="H1605" s="38" t="s">
        <v>975</v>
      </c>
      <c r="I1605" s="38" t="s">
        <v>424</v>
      </c>
      <c r="J1605" s="38" t="s">
        <v>966</v>
      </c>
      <c r="K1605" s="56">
        <v>0.31069999999999998</v>
      </c>
      <c r="L1605" s="52" t="s">
        <v>213</v>
      </c>
      <c r="M1605" s="53" t="s">
        <v>213</v>
      </c>
    </row>
    <row r="1606" spans="1:13" x14ac:dyDescent="0.3">
      <c r="A1606" s="37">
        <v>27</v>
      </c>
      <c r="B1606" s="38" t="s">
        <v>1083</v>
      </c>
      <c r="C1606" s="51">
        <v>7896261013766</v>
      </c>
      <c r="D1606" s="40" t="s">
        <v>70</v>
      </c>
      <c r="E1606" s="40"/>
      <c r="F1606" s="40">
        <v>408</v>
      </c>
      <c r="G1606" s="38"/>
      <c r="H1606" s="38" t="s">
        <v>1082</v>
      </c>
      <c r="I1606" s="38" t="s">
        <v>424</v>
      </c>
      <c r="J1606" s="38" t="s">
        <v>947</v>
      </c>
      <c r="K1606" s="56">
        <v>0.46</v>
      </c>
      <c r="L1606" s="52" t="s">
        <v>213</v>
      </c>
      <c r="M1606" s="53" t="s">
        <v>213</v>
      </c>
    </row>
    <row r="1607" spans="1:13" x14ac:dyDescent="0.3">
      <c r="A1607" s="37">
        <v>27</v>
      </c>
      <c r="B1607" s="38" t="s">
        <v>1083</v>
      </c>
      <c r="C1607" s="51">
        <v>7896261013766</v>
      </c>
      <c r="D1607" s="40" t="s">
        <v>70</v>
      </c>
      <c r="E1607" s="40"/>
      <c r="F1607" s="40">
        <v>442</v>
      </c>
      <c r="G1607" s="38"/>
      <c r="H1607" s="38" t="s">
        <v>1084</v>
      </c>
      <c r="I1607" s="38" t="s">
        <v>311</v>
      </c>
      <c r="J1607" s="38" t="s">
        <v>947</v>
      </c>
      <c r="K1607" s="38" t="s">
        <v>1085</v>
      </c>
      <c r="L1607" s="52" t="s">
        <v>213</v>
      </c>
      <c r="M1607" s="53" t="s">
        <v>213</v>
      </c>
    </row>
    <row r="1608" spans="1:13" x14ac:dyDescent="0.3">
      <c r="A1608" s="37">
        <v>27</v>
      </c>
      <c r="B1608" s="38" t="s">
        <v>1086</v>
      </c>
      <c r="C1608" s="51">
        <v>7896261013797</v>
      </c>
      <c r="D1608" s="40" t="s">
        <v>70</v>
      </c>
      <c r="E1608" s="40"/>
      <c r="F1608" s="40">
        <v>181</v>
      </c>
      <c r="G1608" s="38"/>
      <c r="H1608" s="38" t="s">
        <v>970</v>
      </c>
      <c r="I1608" s="38" t="s">
        <v>424</v>
      </c>
      <c r="J1608" s="38" t="s">
        <v>966</v>
      </c>
      <c r="K1608" s="56">
        <v>0.31069999999999998</v>
      </c>
      <c r="L1608" s="52" t="s">
        <v>213</v>
      </c>
      <c r="M1608" s="53" t="s">
        <v>213</v>
      </c>
    </row>
    <row r="1609" spans="1:13" x14ac:dyDescent="0.3">
      <c r="A1609" s="37">
        <v>27</v>
      </c>
      <c r="B1609" s="38" t="s">
        <v>1086</v>
      </c>
      <c r="C1609" s="51">
        <v>7896261013797</v>
      </c>
      <c r="D1609" s="40" t="s">
        <v>70</v>
      </c>
      <c r="E1609" s="40"/>
      <c r="F1609" s="40">
        <v>188</v>
      </c>
      <c r="G1609" s="38"/>
      <c r="H1609" s="38" t="s">
        <v>1035</v>
      </c>
      <c r="I1609" s="38" t="s">
        <v>424</v>
      </c>
      <c r="J1609" s="38" t="s">
        <v>1087</v>
      </c>
      <c r="K1609" s="56">
        <v>0.31069999999999998</v>
      </c>
      <c r="L1609" s="52" t="s">
        <v>213</v>
      </c>
      <c r="M1609" s="53" t="s">
        <v>213</v>
      </c>
    </row>
    <row r="1610" spans="1:13" x14ac:dyDescent="0.3">
      <c r="A1610" s="37">
        <v>27</v>
      </c>
      <c r="B1610" s="38" t="s">
        <v>1086</v>
      </c>
      <c r="C1610" s="51">
        <v>7896261013797</v>
      </c>
      <c r="D1610" s="40" t="s">
        <v>70</v>
      </c>
      <c r="E1610" s="40"/>
      <c r="F1610" s="40">
        <v>195</v>
      </c>
      <c r="G1610" s="38"/>
      <c r="H1610" s="38" t="s">
        <v>971</v>
      </c>
      <c r="I1610" s="38" t="s">
        <v>424</v>
      </c>
      <c r="J1610" s="38" t="s">
        <v>947</v>
      </c>
      <c r="K1610" s="56">
        <v>0.31069999999999998</v>
      </c>
      <c r="L1610" s="52" t="s">
        <v>213</v>
      </c>
      <c r="M1610" s="53" t="s">
        <v>213</v>
      </c>
    </row>
    <row r="1611" spans="1:13" x14ac:dyDescent="0.3">
      <c r="A1611" s="37">
        <v>27</v>
      </c>
      <c r="B1611" s="38" t="s">
        <v>1086</v>
      </c>
      <c r="C1611" s="51">
        <v>7896261013797</v>
      </c>
      <c r="D1611" s="40" t="s">
        <v>70</v>
      </c>
      <c r="E1611" s="40"/>
      <c r="F1611" s="40">
        <v>203</v>
      </c>
      <c r="G1611" s="38"/>
      <c r="H1611" s="38" t="s">
        <v>1081</v>
      </c>
      <c r="I1611" s="38" t="s">
        <v>424</v>
      </c>
      <c r="J1611" s="38" t="s">
        <v>947</v>
      </c>
      <c r="K1611" s="56">
        <v>0.31069999999999998</v>
      </c>
      <c r="L1611" s="52" t="s">
        <v>213</v>
      </c>
      <c r="M1611" s="53" t="s">
        <v>213</v>
      </c>
    </row>
    <row r="1612" spans="1:13" x14ac:dyDescent="0.3">
      <c r="A1612" s="37">
        <v>27</v>
      </c>
      <c r="B1612" s="38" t="s">
        <v>1086</v>
      </c>
      <c r="C1612" s="51">
        <v>7896261013797</v>
      </c>
      <c r="D1612" s="40" t="s">
        <v>70</v>
      </c>
      <c r="E1612" s="40"/>
      <c r="F1612" s="40">
        <v>226</v>
      </c>
      <c r="G1612" s="38"/>
      <c r="H1612" s="38" t="s">
        <v>972</v>
      </c>
      <c r="I1612" s="38" t="s">
        <v>424</v>
      </c>
      <c r="J1612" s="38" t="s">
        <v>947</v>
      </c>
      <c r="K1612" s="56">
        <v>0.31069999999999998</v>
      </c>
      <c r="L1612" s="52" t="s">
        <v>213</v>
      </c>
      <c r="M1612" s="53" t="s">
        <v>213</v>
      </c>
    </row>
    <row r="1613" spans="1:13" x14ac:dyDescent="0.3">
      <c r="A1613" s="37">
        <v>27</v>
      </c>
      <c r="B1613" s="38" t="s">
        <v>1086</v>
      </c>
      <c r="C1613" s="51">
        <v>7896261013797</v>
      </c>
      <c r="D1613" s="40" t="s">
        <v>70</v>
      </c>
      <c r="E1613" s="40"/>
      <c r="F1613" s="40">
        <v>238</v>
      </c>
      <c r="G1613" s="38"/>
      <c r="H1613" s="38" t="s">
        <v>973</v>
      </c>
      <c r="I1613" s="38" t="s">
        <v>424</v>
      </c>
      <c r="J1613" s="38" t="s">
        <v>947</v>
      </c>
      <c r="K1613" s="56">
        <v>0.31069999999999998</v>
      </c>
      <c r="L1613" s="52" t="s">
        <v>213</v>
      </c>
      <c r="M1613" s="53" t="s">
        <v>213</v>
      </c>
    </row>
    <row r="1614" spans="1:13" x14ac:dyDescent="0.3">
      <c r="A1614" s="37">
        <v>27</v>
      </c>
      <c r="B1614" s="38" t="s">
        <v>1086</v>
      </c>
      <c r="C1614" s="51">
        <v>7896261013797</v>
      </c>
      <c r="D1614" s="40" t="s">
        <v>70</v>
      </c>
      <c r="E1614" s="40"/>
      <c r="F1614" s="40">
        <v>277</v>
      </c>
      <c r="G1614" s="38"/>
      <c r="H1614" s="38" t="s">
        <v>1028</v>
      </c>
      <c r="I1614" s="38" t="s">
        <v>311</v>
      </c>
      <c r="J1614" s="38" t="s">
        <v>947</v>
      </c>
      <c r="K1614" s="38" t="s">
        <v>1029</v>
      </c>
      <c r="L1614" s="52" t="s">
        <v>213</v>
      </c>
      <c r="M1614" s="53" t="s">
        <v>213</v>
      </c>
    </row>
    <row r="1615" spans="1:13" x14ac:dyDescent="0.3">
      <c r="A1615" s="37">
        <v>27</v>
      </c>
      <c r="B1615" s="38" t="s">
        <v>1086</v>
      </c>
      <c r="C1615" s="51">
        <v>7896261013797</v>
      </c>
      <c r="D1615" s="40" t="s">
        <v>70</v>
      </c>
      <c r="E1615" s="40"/>
      <c r="F1615" s="40">
        <v>298</v>
      </c>
      <c r="G1615" s="38"/>
      <c r="H1615" s="38" t="s">
        <v>974</v>
      </c>
      <c r="I1615" s="38" t="s">
        <v>424</v>
      </c>
      <c r="J1615" s="38" t="s">
        <v>947</v>
      </c>
      <c r="K1615" s="56">
        <v>0.31069999999999998</v>
      </c>
      <c r="L1615" s="52" t="s">
        <v>213</v>
      </c>
      <c r="M1615" s="53" t="s">
        <v>213</v>
      </c>
    </row>
    <row r="1616" spans="1:13" x14ac:dyDescent="0.3">
      <c r="A1616" s="37">
        <v>27</v>
      </c>
      <c r="B1616" s="38" t="s">
        <v>1086</v>
      </c>
      <c r="C1616" s="51">
        <v>7896261013797</v>
      </c>
      <c r="D1616" s="40" t="s">
        <v>70</v>
      </c>
      <c r="E1616" s="40"/>
      <c r="F1616" s="40">
        <v>317</v>
      </c>
      <c r="G1616" s="38"/>
      <c r="H1616" s="38" t="s">
        <v>975</v>
      </c>
      <c r="I1616" s="38" t="s">
        <v>424</v>
      </c>
      <c r="J1616" s="38" t="s">
        <v>966</v>
      </c>
      <c r="K1616" s="56">
        <v>0.31069999999999998</v>
      </c>
      <c r="L1616" s="52" t="s">
        <v>213</v>
      </c>
      <c r="M1616" s="53" t="s">
        <v>213</v>
      </c>
    </row>
    <row r="1617" spans="1:13" x14ac:dyDescent="0.3">
      <c r="A1617" s="37">
        <v>27</v>
      </c>
      <c r="B1617" s="38" t="s">
        <v>1086</v>
      </c>
      <c r="C1617" s="51">
        <v>7896261013797</v>
      </c>
      <c r="D1617" s="40" t="s">
        <v>70</v>
      </c>
      <c r="E1617" s="40"/>
      <c r="F1617" s="40">
        <v>408</v>
      </c>
      <c r="G1617" s="38"/>
      <c r="H1617" s="38" t="s">
        <v>1082</v>
      </c>
      <c r="I1617" s="38" t="s">
        <v>424</v>
      </c>
      <c r="J1617" s="38" t="s">
        <v>947</v>
      </c>
      <c r="K1617" s="56">
        <v>0.46</v>
      </c>
      <c r="L1617" s="52" t="s">
        <v>213</v>
      </c>
      <c r="M1617" s="53" t="s">
        <v>213</v>
      </c>
    </row>
    <row r="1618" spans="1:13" x14ac:dyDescent="0.3">
      <c r="A1618" s="37">
        <v>27</v>
      </c>
      <c r="B1618" s="38" t="s">
        <v>1088</v>
      </c>
      <c r="C1618" s="51">
        <v>7896261014848</v>
      </c>
      <c r="D1618" s="40" t="s">
        <v>70</v>
      </c>
      <c r="E1618" s="40"/>
      <c r="F1618" s="40">
        <v>222</v>
      </c>
      <c r="G1618" s="38"/>
      <c r="H1618" s="38" t="s">
        <v>1071</v>
      </c>
      <c r="I1618" s="38" t="s">
        <v>311</v>
      </c>
      <c r="J1618" s="38" t="s">
        <v>966</v>
      </c>
      <c r="K1618" s="38" t="s">
        <v>1072</v>
      </c>
      <c r="L1618" s="52" t="s">
        <v>213</v>
      </c>
      <c r="M1618" s="53" t="s">
        <v>213</v>
      </c>
    </row>
    <row r="1619" spans="1:13" x14ac:dyDescent="0.3">
      <c r="A1619" s="37">
        <v>27</v>
      </c>
      <c r="B1619" s="38" t="s">
        <v>1089</v>
      </c>
      <c r="C1619" s="51">
        <v>7896261014886</v>
      </c>
      <c r="D1619" s="40" t="s">
        <v>70</v>
      </c>
      <c r="E1619" s="40"/>
      <c r="F1619" s="40">
        <v>222</v>
      </c>
      <c r="G1619" s="38"/>
      <c r="H1619" s="38" t="s">
        <v>1071</v>
      </c>
      <c r="I1619" s="38" t="s">
        <v>311</v>
      </c>
      <c r="J1619" s="38" t="s">
        <v>966</v>
      </c>
      <c r="K1619" s="38" t="s">
        <v>1072</v>
      </c>
      <c r="L1619" s="52" t="s">
        <v>213</v>
      </c>
      <c r="M1619" s="53" t="s">
        <v>213</v>
      </c>
    </row>
    <row r="1620" spans="1:13" x14ac:dyDescent="0.3">
      <c r="A1620" s="37">
        <v>27</v>
      </c>
      <c r="B1620" s="38" t="s">
        <v>1090</v>
      </c>
      <c r="C1620" s="51">
        <v>7896261015487</v>
      </c>
      <c r="D1620" s="40" t="s">
        <v>70</v>
      </c>
      <c r="E1620" s="40"/>
      <c r="F1620" s="40">
        <v>151</v>
      </c>
      <c r="G1620" s="38"/>
      <c r="H1620" s="38" t="s">
        <v>995</v>
      </c>
      <c r="I1620" s="38" t="s">
        <v>424</v>
      </c>
      <c r="J1620" s="38">
        <v>0</v>
      </c>
      <c r="K1620" s="56">
        <v>0.5</v>
      </c>
      <c r="L1620" s="52" t="s">
        <v>213</v>
      </c>
      <c r="M1620" s="53" t="s">
        <v>213</v>
      </c>
    </row>
    <row r="1621" spans="1:13" x14ac:dyDescent="0.3">
      <c r="A1621" s="37">
        <v>27</v>
      </c>
      <c r="B1621" s="38" t="s">
        <v>1090</v>
      </c>
      <c r="C1621" s="51">
        <v>7896261015487</v>
      </c>
      <c r="D1621" s="40" t="s">
        <v>70</v>
      </c>
      <c r="E1621" s="40"/>
      <c r="F1621" s="40">
        <v>343</v>
      </c>
      <c r="G1621" s="38"/>
      <c r="H1621" s="38" t="s">
        <v>993</v>
      </c>
      <c r="I1621" s="38" t="s">
        <v>424</v>
      </c>
      <c r="J1621" s="38" t="s">
        <v>947</v>
      </c>
      <c r="K1621" s="56">
        <v>0.23</v>
      </c>
      <c r="L1621" s="52" t="s">
        <v>213</v>
      </c>
      <c r="M1621" s="53" t="s">
        <v>213</v>
      </c>
    </row>
    <row r="1622" spans="1:13" x14ac:dyDescent="0.3">
      <c r="A1622" s="37">
        <v>27</v>
      </c>
      <c r="B1622" s="38" t="s">
        <v>1091</v>
      </c>
      <c r="C1622" s="51">
        <v>7896261015494</v>
      </c>
      <c r="D1622" s="40" t="s">
        <v>70</v>
      </c>
      <c r="E1622" s="40"/>
      <c r="F1622" s="40">
        <v>151</v>
      </c>
      <c r="G1622" s="38"/>
      <c r="H1622" s="38" t="s">
        <v>995</v>
      </c>
      <c r="I1622" s="38" t="s">
        <v>424</v>
      </c>
      <c r="J1622" s="38">
        <v>0</v>
      </c>
      <c r="K1622" s="56">
        <v>0.5</v>
      </c>
      <c r="L1622" s="52" t="s">
        <v>213</v>
      </c>
      <c r="M1622" s="53" t="s">
        <v>213</v>
      </c>
    </row>
    <row r="1623" spans="1:13" x14ac:dyDescent="0.3">
      <c r="A1623" s="37">
        <v>27</v>
      </c>
      <c r="B1623" s="38" t="s">
        <v>1091</v>
      </c>
      <c r="C1623" s="51">
        <v>7896261015494</v>
      </c>
      <c r="D1623" s="40" t="s">
        <v>70</v>
      </c>
      <c r="E1623" s="40"/>
      <c r="F1623" s="40">
        <v>343</v>
      </c>
      <c r="G1623" s="38"/>
      <c r="H1623" s="38" t="s">
        <v>993</v>
      </c>
      <c r="I1623" s="38" t="s">
        <v>424</v>
      </c>
      <c r="J1623" s="38" t="s">
        <v>947</v>
      </c>
      <c r="K1623" s="56">
        <v>0.23</v>
      </c>
      <c r="L1623" s="52" t="s">
        <v>213</v>
      </c>
      <c r="M1623" s="53" t="s">
        <v>213</v>
      </c>
    </row>
    <row r="1624" spans="1:13" x14ac:dyDescent="0.3">
      <c r="A1624" s="37">
        <v>27</v>
      </c>
      <c r="B1624" s="38" t="s">
        <v>1091</v>
      </c>
      <c r="C1624" s="51">
        <v>7896261015494</v>
      </c>
      <c r="D1624" s="40" t="s">
        <v>70</v>
      </c>
      <c r="E1624" s="40"/>
      <c r="F1624" s="40">
        <v>441</v>
      </c>
      <c r="G1624" s="38"/>
      <c r="H1624" s="38" t="s">
        <v>1092</v>
      </c>
      <c r="I1624" s="38" t="s">
        <v>311</v>
      </c>
      <c r="J1624" s="38" t="s">
        <v>1093</v>
      </c>
      <c r="K1624" s="38" t="s">
        <v>1094</v>
      </c>
      <c r="L1624" s="52" t="s">
        <v>213</v>
      </c>
      <c r="M1624" s="53" t="s">
        <v>213</v>
      </c>
    </row>
    <row r="1625" spans="1:13" x14ac:dyDescent="0.3">
      <c r="A1625" s="37">
        <v>27</v>
      </c>
      <c r="B1625" s="38" t="s">
        <v>1095</v>
      </c>
      <c r="C1625" s="51">
        <v>7896261015586</v>
      </c>
      <c r="D1625" s="40" t="s">
        <v>70</v>
      </c>
      <c r="E1625" s="40"/>
      <c r="F1625" s="40">
        <v>302</v>
      </c>
      <c r="G1625" s="38"/>
      <c r="H1625" s="38" t="s">
        <v>1096</v>
      </c>
      <c r="I1625" s="38" t="s">
        <v>311</v>
      </c>
      <c r="J1625" s="38" t="s">
        <v>966</v>
      </c>
      <c r="K1625" s="38" t="s">
        <v>1097</v>
      </c>
      <c r="L1625" s="52" t="s">
        <v>213</v>
      </c>
      <c r="M1625" s="53" t="s">
        <v>213</v>
      </c>
    </row>
    <row r="1626" spans="1:13" x14ac:dyDescent="0.3">
      <c r="A1626" s="37">
        <v>27</v>
      </c>
      <c r="B1626" s="38" t="s">
        <v>1095</v>
      </c>
      <c r="C1626" s="51">
        <v>7896261015586</v>
      </c>
      <c r="D1626" s="40" t="s">
        <v>70</v>
      </c>
      <c r="E1626" s="40"/>
      <c r="F1626" s="40">
        <v>439</v>
      </c>
      <c r="G1626" s="38"/>
      <c r="H1626" s="38" t="s">
        <v>1098</v>
      </c>
      <c r="I1626" s="38" t="s">
        <v>311</v>
      </c>
      <c r="J1626" s="38" t="s">
        <v>966</v>
      </c>
      <c r="K1626" s="38" t="s">
        <v>1099</v>
      </c>
      <c r="L1626" s="52" t="s">
        <v>213</v>
      </c>
      <c r="M1626" s="53" t="s">
        <v>213</v>
      </c>
    </row>
    <row r="1627" spans="1:13" x14ac:dyDescent="0.3">
      <c r="A1627" s="37">
        <v>27</v>
      </c>
      <c r="B1627" s="38" t="s">
        <v>1100</v>
      </c>
      <c r="C1627" s="51">
        <v>7896261015593</v>
      </c>
      <c r="D1627" s="40" t="s">
        <v>70</v>
      </c>
      <c r="E1627" s="40"/>
      <c r="F1627" s="40">
        <v>302</v>
      </c>
      <c r="G1627" s="38"/>
      <c r="H1627" s="38" t="s">
        <v>1096</v>
      </c>
      <c r="I1627" s="38" t="s">
        <v>311</v>
      </c>
      <c r="J1627" s="38" t="s">
        <v>966</v>
      </c>
      <c r="K1627" s="38" t="s">
        <v>1097</v>
      </c>
      <c r="L1627" s="52" t="s">
        <v>213</v>
      </c>
      <c r="M1627" s="53" t="s">
        <v>213</v>
      </c>
    </row>
    <row r="1628" spans="1:13" x14ac:dyDescent="0.3">
      <c r="A1628" s="37">
        <v>27</v>
      </c>
      <c r="B1628" s="38" t="s">
        <v>1100</v>
      </c>
      <c r="C1628" s="51">
        <v>7896261015593</v>
      </c>
      <c r="D1628" s="40" t="s">
        <v>70</v>
      </c>
      <c r="E1628" s="40"/>
      <c r="F1628" s="40">
        <v>439</v>
      </c>
      <c r="G1628" s="38"/>
      <c r="H1628" s="38" t="s">
        <v>1098</v>
      </c>
      <c r="I1628" s="38" t="s">
        <v>311</v>
      </c>
      <c r="J1628" s="38" t="s">
        <v>966</v>
      </c>
      <c r="K1628" s="38" t="s">
        <v>1099</v>
      </c>
      <c r="L1628" s="52" t="s">
        <v>213</v>
      </c>
      <c r="M1628" s="53" t="s">
        <v>213</v>
      </c>
    </row>
    <row r="1629" spans="1:13" x14ac:dyDescent="0.3">
      <c r="A1629" s="37">
        <v>27</v>
      </c>
      <c r="B1629" s="38" t="s">
        <v>1101</v>
      </c>
      <c r="C1629" s="51">
        <v>7896261015609</v>
      </c>
      <c r="D1629" s="40" t="s">
        <v>70</v>
      </c>
      <c r="E1629" s="40"/>
      <c r="F1629" s="40">
        <v>302</v>
      </c>
      <c r="G1629" s="38"/>
      <c r="H1629" s="38" t="s">
        <v>1096</v>
      </c>
      <c r="I1629" s="38" t="s">
        <v>311</v>
      </c>
      <c r="J1629" s="38" t="s">
        <v>966</v>
      </c>
      <c r="K1629" s="38" t="s">
        <v>1097</v>
      </c>
      <c r="L1629" s="52" t="s">
        <v>213</v>
      </c>
      <c r="M1629" s="53" t="s">
        <v>213</v>
      </c>
    </row>
    <row r="1630" spans="1:13" x14ac:dyDescent="0.3">
      <c r="A1630" s="37">
        <v>27</v>
      </c>
      <c r="B1630" s="38" t="s">
        <v>1102</v>
      </c>
      <c r="C1630" s="51">
        <v>7896261015609</v>
      </c>
      <c r="D1630" s="40" t="s">
        <v>70</v>
      </c>
      <c r="E1630" s="40"/>
      <c r="F1630" s="40">
        <v>302</v>
      </c>
      <c r="G1630" s="38"/>
      <c r="H1630" s="38" t="s">
        <v>1096</v>
      </c>
      <c r="I1630" s="38" t="s">
        <v>311</v>
      </c>
      <c r="J1630" s="38" t="s">
        <v>966</v>
      </c>
      <c r="K1630" s="38" t="s">
        <v>1097</v>
      </c>
      <c r="L1630" s="52" t="s">
        <v>213</v>
      </c>
      <c r="M1630" s="53" t="s">
        <v>213</v>
      </c>
    </row>
    <row r="1631" spans="1:13" x14ac:dyDescent="0.3">
      <c r="A1631" s="37">
        <v>27</v>
      </c>
      <c r="B1631" s="38" t="s">
        <v>1101</v>
      </c>
      <c r="C1631" s="51">
        <v>7896261015609</v>
      </c>
      <c r="D1631" s="40" t="s">
        <v>70</v>
      </c>
      <c r="E1631" s="40"/>
      <c r="F1631" s="40">
        <v>439</v>
      </c>
      <c r="G1631" s="38"/>
      <c r="H1631" s="38" t="s">
        <v>1098</v>
      </c>
      <c r="I1631" s="38" t="s">
        <v>311</v>
      </c>
      <c r="J1631" s="38" t="s">
        <v>966</v>
      </c>
      <c r="K1631" s="38" t="s">
        <v>1099</v>
      </c>
      <c r="L1631" s="52" t="s">
        <v>213</v>
      </c>
      <c r="M1631" s="53" t="s">
        <v>213</v>
      </c>
    </row>
    <row r="1632" spans="1:13" x14ac:dyDescent="0.3">
      <c r="A1632" s="37">
        <v>27</v>
      </c>
      <c r="B1632" s="38" t="s">
        <v>1102</v>
      </c>
      <c r="C1632" s="51">
        <v>7896261015609</v>
      </c>
      <c r="D1632" s="40" t="s">
        <v>70</v>
      </c>
      <c r="E1632" s="40"/>
      <c r="F1632" s="40">
        <v>439</v>
      </c>
      <c r="G1632" s="38"/>
      <c r="H1632" s="38" t="s">
        <v>1098</v>
      </c>
      <c r="I1632" s="38" t="s">
        <v>311</v>
      </c>
      <c r="J1632" s="38" t="s">
        <v>966</v>
      </c>
      <c r="K1632" s="38" t="s">
        <v>1099</v>
      </c>
      <c r="L1632" s="52" t="s">
        <v>213</v>
      </c>
      <c r="M1632" s="53" t="s">
        <v>213</v>
      </c>
    </row>
    <row r="1633" spans="1:13" x14ac:dyDescent="0.3">
      <c r="A1633" s="37">
        <v>27</v>
      </c>
      <c r="B1633" s="38" t="s">
        <v>1103</v>
      </c>
      <c r="C1633" s="51">
        <v>7896261015616</v>
      </c>
      <c r="D1633" s="40" t="s">
        <v>70</v>
      </c>
      <c r="E1633" s="40"/>
      <c r="F1633" s="40">
        <v>302</v>
      </c>
      <c r="G1633" s="38"/>
      <c r="H1633" s="38" t="s">
        <v>1096</v>
      </c>
      <c r="I1633" s="38" t="s">
        <v>311</v>
      </c>
      <c r="J1633" s="38" t="s">
        <v>966</v>
      </c>
      <c r="K1633" s="38" t="s">
        <v>1097</v>
      </c>
      <c r="L1633" s="52" t="s">
        <v>213</v>
      </c>
      <c r="M1633" s="53" t="s">
        <v>213</v>
      </c>
    </row>
    <row r="1634" spans="1:13" x14ac:dyDescent="0.3">
      <c r="A1634" s="37">
        <v>27</v>
      </c>
      <c r="B1634" s="38" t="s">
        <v>1103</v>
      </c>
      <c r="C1634" s="51">
        <v>7896261015616</v>
      </c>
      <c r="D1634" s="40" t="s">
        <v>70</v>
      </c>
      <c r="E1634" s="40"/>
      <c r="F1634" s="40">
        <v>439</v>
      </c>
      <c r="G1634" s="38"/>
      <c r="H1634" s="38" t="s">
        <v>1098</v>
      </c>
      <c r="I1634" s="38" t="s">
        <v>311</v>
      </c>
      <c r="J1634" s="38" t="s">
        <v>966</v>
      </c>
      <c r="K1634" s="38" t="s">
        <v>1099</v>
      </c>
      <c r="L1634" s="52" t="s">
        <v>213</v>
      </c>
      <c r="M1634" s="53" t="s">
        <v>213</v>
      </c>
    </row>
    <row r="1635" spans="1:13" x14ac:dyDescent="0.3">
      <c r="A1635" s="37">
        <v>27</v>
      </c>
      <c r="B1635" s="38" t="s">
        <v>1104</v>
      </c>
      <c r="C1635" s="51">
        <v>7896261015623</v>
      </c>
      <c r="D1635" s="40" t="s">
        <v>70</v>
      </c>
      <c r="E1635" s="40"/>
      <c r="F1635" s="40">
        <v>302</v>
      </c>
      <c r="G1635" s="38"/>
      <c r="H1635" s="38" t="s">
        <v>1096</v>
      </c>
      <c r="I1635" s="38" t="s">
        <v>311</v>
      </c>
      <c r="J1635" s="38" t="s">
        <v>966</v>
      </c>
      <c r="K1635" s="38" t="s">
        <v>1097</v>
      </c>
      <c r="L1635" s="52" t="s">
        <v>213</v>
      </c>
      <c r="M1635" s="53" t="s">
        <v>213</v>
      </c>
    </row>
    <row r="1636" spans="1:13" x14ac:dyDescent="0.3">
      <c r="A1636" s="37">
        <v>27</v>
      </c>
      <c r="B1636" s="38" t="s">
        <v>1104</v>
      </c>
      <c r="C1636" s="51">
        <v>7896261015623</v>
      </c>
      <c r="D1636" s="40" t="s">
        <v>70</v>
      </c>
      <c r="E1636" s="40"/>
      <c r="F1636" s="40">
        <v>439</v>
      </c>
      <c r="G1636" s="38"/>
      <c r="H1636" s="38" t="s">
        <v>1098</v>
      </c>
      <c r="I1636" s="38" t="s">
        <v>311</v>
      </c>
      <c r="J1636" s="38" t="s">
        <v>966</v>
      </c>
      <c r="K1636" s="38" t="s">
        <v>1099</v>
      </c>
      <c r="L1636" s="52" t="s">
        <v>213</v>
      </c>
      <c r="M1636" s="53" t="s">
        <v>213</v>
      </c>
    </row>
    <row r="1637" spans="1:13" x14ac:dyDescent="0.3">
      <c r="A1637" s="37">
        <v>27</v>
      </c>
      <c r="B1637" s="38" t="s">
        <v>1105</v>
      </c>
      <c r="C1637" s="51">
        <v>7896261016248</v>
      </c>
      <c r="D1637" s="40" t="s">
        <v>70</v>
      </c>
      <c r="E1637" s="40"/>
      <c r="F1637" s="40">
        <v>222</v>
      </c>
      <c r="G1637" s="38"/>
      <c r="H1637" s="38" t="s">
        <v>1071</v>
      </c>
      <c r="I1637" s="38" t="s">
        <v>311</v>
      </c>
      <c r="J1637" s="38" t="s">
        <v>966</v>
      </c>
      <c r="K1637" s="38" t="s">
        <v>1072</v>
      </c>
      <c r="L1637" s="52" t="s">
        <v>213</v>
      </c>
      <c r="M1637" s="53" t="s">
        <v>213</v>
      </c>
    </row>
    <row r="1638" spans="1:13" x14ac:dyDescent="0.3">
      <c r="A1638" s="37">
        <v>27</v>
      </c>
      <c r="B1638" s="38" t="s">
        <v>1105</v>
      </c>
      <c r="C1638" s="51">
        <v>7896261016248</v>
      </c>
      <c r="D1638" s="40" t="s">
        <v>70</v>
      </c>
      <c r="E1638" s="40"/>
      <c r="F1638" s="40">
        <v>256</v>
      </c>
      <c r="G1638" s="38"/>
      <c r="H1638" s="38" t="s">
        <v>1074</v>
      </c>
      <c r="I1638" s="38" t="s">
        <v>311</v>
      </c>
      <c r="J1638" s="38" t="s">
        <v>966</v>
      </c>
      <c r="K1638" s="38" t="s">
        <v>1072</v>
      </c>
      <c r="L1638" s="52" t="s">
        <v>213</v>
      </c>
      <c r="M1638" s="53" t="s">
        <v>213</v>
      </c>
    </row>
    <row r="1639" spans="1:13" x14ac:dyDescent="0.3">
      <c r="A1639" s="37">
        <v>27</v>
      </c>
      <c r="B1639" s="38" t="s">
        <v>1105</v>
      </c>
      <c r="C1639" s="51">
        <v>7896261016248</v>
      </c>
      <c r="D1639" s="40" t="s">
        <v>70</v>
      </c>
      <c r="E1639" s="40"/>
      <c r="F1639" s="40">
        <v>287</v>
      </c>
      <c r="G1639" s="38"/>
      <c r="H1639" s="38" t="s">
        <v>1075</v>
      </c>
      <c r="I1639" s="38" t="s">
        <v>311</v>
      </c>
      <c r="J1639" s="38" t="s">
        <v>966</v>
      </c>
      <c r="K1639" s="38" t="s">
        <v>1076</v>
      </c>
      <c r="L1639" s="52" t="s">
        <v>213</v>
      </c>
      <c r="M1639" s="53" t="s">
        <v>213</v>
      </c>
    </row>
    <row r="1640" spans="1:13" x14ac:dyDescent="0.3">
      <c r="A1640" s="37">
        <v>27</v>
      </c>
      <c r="B1640" s="38" t="s">
        <v>1105</v>
      </c>
      <c r="C1640" s="51">
        <v>7896261016248</v>
      </c>
      <c r="D1640" s="40" t="s">
        <v>70</v>
      </c>
      <c r="E1640" s="40"/>
      <c r="F1640" s="40">
        <v>289</v>
      </c>
      <c r="G1640" s="38"/>
      <c r="H1640" s="38" t="s">
        <v>1077</v>
      </c>
      <c r="I1640" s="38" t="s">
        <v>311</v>
      </c>
      <c r="J1640" s="38" t="s">
        <v>966</v>
      </c>
      <c r="K1640" s="38" t="s">
        <v>1078</v>
      </c>
      <c r="L1640" s="52" t="s">
        <v>213</v>
      </c>
      <c r="M1640" s="53" t="s">
        <v>213</v>
      </c>
    </row>
    <row r="1641" spans="1:13" x14ac:dyDescent="0.3">
      <c r="A1641" s="37">
        <v>27</v>
      </c>
      <c r="B1641" s="38" t="s">
        <v>1105</v>
      </c>
      <c r="C1641" s="51">
        <v>7896261016248</v>
      </c>
      <c r="D1641" s="40" t="s">
        <v>70</v>
      </c>
      <c r="E1641" s="40"/>
      <c r="F1641" s="40">
        <v>436</v>
      </c>
      <c r="G1641" s="38"/>
      <c r="H1641" s="38" t="s">
        <v>1079</v>
      </c>
      <c r="I1641" s="38" t="s">
        <v>311</v>
      </c>
      <c r="J1641" s="38" t="s">
        <v>966</v>
      </c>
      <c r="K1641" s="38" t="s">
        <v>1072</v>
      </c>
      <c r="L1641" s="52" t="s">
        <v>213</v>
      </c>
      <c r="M1641" s="53" t="s">
        <v>213</v>
      </c>
    </row>
    <row r="1642" spans="1:13" x14ac:dyDescent="0.3">
      <c r="A1642" s="37">
        <v>27</v>
      </c>
      <c r="B1642" s="38" t="s">
        <v>1106</v>
      </c>
      <c r="C1642" s="51">
        <v>7896261016255</v>
      </c>
      <c r="D1642" s="40" t="s">
        <v>70</v>
      </c>
      <c r="E1642" s="40"/>
      <c r="F1642" s="40">
        <v>222</v>
      </c>
      <c r="G1642" s="38"/>
      <c r="H1642" s="38" t="s">
        <v>1071</v>
      </c>
      <c r="I1642" s="38" t="s">
        <v>311</v>
      </c>
      <c r="J1642" s="38" t="s">
        <v>966</v>
      </c>
      <c r="K1642" s="38" t="s">
        <v>1072</v>
      </c>
      <c r="L1642" s="52" t="s">
        <v>213</v>
      </c>
      <c r="M1642" s="53" t="s">
        <v>213</v>
      </c>
    </row>
    <row r="1643" spans="1:13" x14ac:dyDescent="0.3">
      <c r="A1643" s="37">
        <v>27</v>
      </c>
      <c r="B1643" s="38" t="s">
        <v>1106</v>
      </c>
      <c r="C1643" s="51">
        <v>7896261016255</v>
      </c>
      <c r="D1643" s="40" t="s">
        <v>70</v>
      </c>
      <c r="E1643" s="40"/>
      <c r="F1643" s="40">
        <v>256</v>
      </c>
      <c r="G1643" s="38"/>
      <c r="H1643" s="38" t="s">
        <v>1074</v>
      </c>
      <c r="I1643" s="38" t="s">
        <v>311</v>
      </c>
      <c r="J1643" s="38" t="s">
        <v>966</v>
      </c>
      <c r="K1643" s="38" t="s">
        <v>1072</v>
      </c>
      <c r="L1643" s="52" t="s">
        <v>213</v>
      </c>
      <c r="M1643" s="53" t="s">
        <v>213</v>
      </c>
    </row>
    <row r="1644" spans="1:13" x14ac:dyDescent="0.3">
      <c r="A1644" s="37">
        <v>27</v>
      </c>
      <c r="B1644" s="38" t="s">
        <v>1106</v>
      </c>
      <c r="C1644" s="51">
        <v>7896261016255</v>
      </c>
      <c r="D1644" s="40" t="s">
        <v>70</v>
      </c>
      <c r="E1644" s="40"/>
      <c r="F1644" s="40">
        <v>287</v>
      </c>
      <c r="G1644" s="38"/>
      <c r="H1644" s="38" t="s">
        <v>1075</v>
      </c>
      <c r="I1644" s="38" t="s">
        <v>311</v>
      </c>
      <c r="J1644" s="38" t="s">
        <v>966</v>
      </c>
      <c r="K1644" s="38" t="s">
        <v>1076</v>
      </c>
      <c r="L1644" s="52" t="s">
        <v>213</v>
      </c>
      <c r="M1644" s="53" t="s">
        <v>213</v>
      </c>
    </row>
    <row r="1645" spans="1:13" x14ac:dyDescent="0.3">
      <c r="A1645" s="37">
        <v>27</v>
      </c>
      <c r="B1645" s="38" t="s">
        <v>1106</v>
      </c>
      <c r="C1645" s="51">
        <v>7896261016255</v>
      </c>
      <c r="D1645" s="40" t="s">
        <v>70</v>
      </c>
      <c r="E1645" s="40"/>
      <c r="F1645" s="40">
        <v>289</v>
      </c>
      <c r="G1645" s="38"/>
      <c r="H1645" s="38" t="s">
        <v>1077</v>
      </c>
      <c r="I1645" s="38" t="s">
        <v>311</v>
      </c>
      <c r="J1645" s="38" t="s">
        <v>966</v>
      </c>
      <c r="K1645" s="38" t="s">
        <v>1078</v>
      </c>
      <c r="L1645" s="52" t="s">
        <v>213</v>
      </c>
      <c r="M1645" s="53" t="s">
        <v>213</v>
      </c>
    </row>
    <row r="1646" spans="1:13" x14ac:dyDescent="0.3">
      <c r="A1646" s="37">
        <v>27</v>
      </c>
      <c r="B1646" s="38" t="s">
        <v>1106</v>
      </c>
      <c r="C1646" s="51">
        <v>7896261016255</v>
      </c>
      <c r="D1646" s="40" t="s">
        <v>70</v>
      </c>
      <c r="E1646" s="40"/>
      <c r="F1646" s="40">
        <v>436</v>
      </c>
      <c r="G1646" s="38"/>
      <c r="H1646" s="38" t="s">
        <v>1079</v>
      </c>
      <c r="I1646" s="38" t="s">
        <v>311</v>
      </c>
      <c r="J1646" s="38" t="s">
        <v>966</v>
      </c>
      <c r="K1646" s="38" t="s">
        <v>1072</v>
      </c>
      <c r="L1646" s="52" t="s">
        <v>213</v>
      </c>
      <c r="M1646" s="53" t="s">
        <v>213</v>
      </c>
    </row>
    <row r="1647" spans="1:13" x14ac:dyDescent="0.3">
      <c r="A1647" s="37">
        <v>27</v>
      </c>
      <c r="B1647" s="38" t="s">
        <v>1106</v>
      </c>
      <c r="C1647" s="51">
        <v>7896261016255</v>
      </c>
      <c r="D1647" s="40" t="s">
        <v>70</v>
      </c>
      <c r="E1647" s="40"/>
      <c r="F1647" s="40">
        <v>445</v>
      </c>
      <c r="G1647" s="38"/>
      <c r="H1647" s="38" t="s">
        <v>1107</v>
      </c>
      <c r="I1647" s="38" t="s">
        <v>311</v>
      </c>
      <c r="J1647" s="38" t="s">
        <v>966</v>
      </c>
      <c r="K1647" s="38" t="s">
        <v>1108</v>
      </c>
      <c r="L1647" s="52" t="s">
        <v>213</v>
      </c>
      <c r="M1647" s="53" t="s">
        <v>213</v>
      </c>
    </row>
    <row r="1648" spans="1:13" x14ac:dyDescent="0.3">
      <c r="A1648" s="37">
        <v>27</v>
      </c>
      <c r="B1648" s="38" t="s">
        <v>1109</v>
      </c>
      <c r="C1648" s="51">
        <v>7896261016262</v>
      </c>
      <c r="D1648" s="40" t="s">
        <v>70</v>
      </c>
      <c r="E1648" s="40"/>
      <c r="F1648" s="40">
        <v>222</v>
      </c>
      <c r="G1648" s="38"/>
      <c r="H1648" s="38" t="s">
        <v>1071</v>
      </c>
      <c r="I1648" s="38" t="s">
        <v>311</v>
      </c>
      <c r="J1648" s="38" t="s">
        <v>966</v>
      </c>
      <c r="K1648" s="38" t="s">
        <v>1072</v>
      </c>
      <c r="L1648" s="52" t="s">
        <v>213</v>
      </c>
      <c r="M1648" s="53" t="s">
        <v>213</v>
      </c>
    </row>
    <row r="1649" spans="1:13" x14ac:dyDescent="0.3">
      <c r="A1649" s="37">
        <v>27</v>
      </c>
      <c r="B1649" s="38" t="s">
        <v>1109</v>
      </c>
      <c r="C1649" s="51">
        <v>7896261016262</v>
      </c>
      <c r="D1649" s="40" t="s">
        <v>70</v>
      </c>
      <c r="E1649" s="40"/>
      <c r="F1649" s="40">
        <v>256</v>
      </c>
      <c r="G1649" s="38"/>
      <c r="H1649" s="38" t="s">
        <v>1074</v>
      </c>
      <c r="I1649" s="38" t="s">
        <v>311</v>
      </c>
      <c r="J1649" s="38" t="s">
        <v>966</v>
      </c>
      <c r="K1649" s="38" t="s">
        <v>1072</v>
      </c>
      <c r="L1649" s="52" t="s">
        <v>213</v>
      </c>
      <c r="M1649" s="53" t="s">
        <v>213</v>
      </c>
    </row>
    <row r="1650" spans="1:13" x14ac:dyDescent="0.3">
      <c r="A1650" s="37">
        <v>27</v>
      </c>
      <c r="B1650" s="38" t="s">
        <v>1109</v>
      </c>
      <c r="C1650" s="51">
        <v>7896261016262</v>
      </c>
      <c r="D1650" s="40" t="s">
        <v>70</v>
      </c>
      <c r="E1650" s="40"/>
      <c r="F1650" s="40">
        <v>287</v>
      </c>
      <c r="G1650" s="38"/>
      <c r="H1650" s="38" t="s">
        <v>1075</v>
      </c>
      <c r="I1650" s="38" t="s">
        <v>311</v>
      </c>
      <c r="J1650" s="38" t="s">
        <v>966</v>
      </c>
      <c r="K1650" s="38" t="s">
        <v>1076</v>
      </c>
      <c r="L1650" s="52" t="s">
        <v>213</v>
      </c>
      <c r="M1650" s="53" t="s">
        <v>213</v>
      </c>
    </row>
    <row r="1651" spans="1:13" x14ac:dyDescent="0.3">
      <c r="A1651" s="37">
        <v>27</v>
      </c>
      <c r="B1651" s="38" t="s">
        <v>1109</v>
      </c>
      <c r="C1651" s="51">
        <v>7896261016262</v>
      </c>
      <c r="D1651" s="40" t="s">
        <v>70</v>
      </c>
      <c r="E1651" s="40"/>
      <c r="F1651" s="40">
        <v>289</v>
      </c>
      <c r="G1651" s="38"/>
      <c r="H1651" s="38" t="s">
        <v>1077</v>
      </c>
      <c r="I1651" s="38" t="s">
        <v>311</v>
      </c>
      <c r="J1651" s="38" t="s">
        <v>966</v>
      </c>
      <c r="K1651" s="38" t="s">
        <v>1078</v>
      </c>
      <c r="L1651" s="52" t="s">
        <v>213</v>
      </c>
      <c r="M1651" s="53" t="s">
        <v>213</v>
      </c>
    </row>
    <row r="1652" spans="1:13" x14ac:dyDescent="0.3">
      <c r="A1652" s="37">
        <v>27</v>
      </c>
      <c r="B1652" s="38" t="s">
        <v>1109</v>
      </c>
      <c r="C1652" s="51">
        <v>7896261016262</v>
      </c>
      <c r="D1652" s="40" t="s">
        <v>70</v>
      </c>
      <c r="E1652" s="40"/>
      <c r="F1652" s="40">
        <v>436</v>
      </c>
      <c r="G1652" s="38"/>
      <c r="H1652" s="38" t="s">
        <v>1079</v>
      </c>
      <c r="I1652" s="38" t="s">
        <v>311</v>
      </c>
      <c r="J1652" s="38" t="s">
        <v>966</v>
      </c>
      <c r="K1652" s="38" t="s">
        <v>1072</v>
      </c>
      <c r="L1652" s="52" t="s">
        <v>213</v>
      </c>
      <c r="M1652" s="53" t="s">
        <v>213</v>
      </c>
    </row>
    <row r="1653" spans="1:13" x14ac:dyDescent="0.3">
      <c r="A1653" s="37">
        <v>27</v>
      </c>
      <c r="B1653" s="38" t="s">
        <v>1110</v>
      </c>
      <c r="C1653" s="51">
        <v>7896261016385</v>
      </c>
      <c r="D1653" s="40" t="s">
        <v>70</v>
      </c>
      <c r="E1653" s="40"/>
      <c r="F1653" s="40">
        <v>273</v>
      </c>
      <c r="G1653" s="38"/>
      <c r="H1653" s="38" t="s">
        <v>1111</v>
      </c>
      <c r="I1653" s="38" t="s">
        <v>311</v>
      </c>
      <c r="J1653" s="38" t="s">
        <v>947</v>
      </c>
      <c r="K1653" s="38" t="s">
        <v>1112</v>
      </c>
      <c r="L1653" s="52" t="s">
        <v>213</v>
      </c>
      <c r="M1653" s="53" t="s">
        <v>213</v>
      </c>
    </row>
    <row r="1654" spans="1:13" x14ac:dyDescent="0.3">
      <c r="A1654" s="37">
        <v>27</v>
      </c>
      <c r="B1654" s="38" t="s">
        <v>1113</v>
      </c>
      <c r="C1654" s="51">
        <v>7896261016385</v>
      </c>
      <c r="D1654" s="40" t="s">
        <v>70</v>
      </c>
      <c r="E1654" s="40"/>
      <c r="F1654" s="40">
        <v>273</v>
      </c>
      <c r="G1654" s="38"/>
      <c r="H1654" s="38" t="s">
        <v>1111</v>
      </c>
      <c r="I1654" s="38" t="s">
        <v>311</v>
      </c>
      <c r="J1654" s="38" t="s">
        <v>947</v>
      </c>
      <c r="K1654" s="38" t="s">
        <v>1112</v>
      </c>
      <c r="L1654" s="52" t="s">
        <v>213</v>
      </c>
      <c r="M1654" s="53" t="s">
        <v>213</v>
      </c>
    </row>
    <row r="1655" spans="1:13" x14ac:dyDescent="0.3">
      <c r="A1655" s="37">
        <v>27</v>
      </c>
      <c r="B1655" s="38" t="s">
        <v>1110</v>
      </c>
      <c r="C1655" s="51">
        <v>7896261016385</v>
      </c>
      <c r="D1655" s="40" t="s">
        <v>70</v>
      </c>
      <c r="E1655" s="40"/>
      <c r="F1655" s="40">
        <v>282</v>
      </c>
      <c r="G1655" s="38"/>
      <c r="H1655" s="38" t="s">
        <v>1114</v>
      </c>
      <c r="I1655" s="38" t="s">
        <v>311</v>
      </c>
      <c r="J1655" s="38" t="s">
        <v>947</v>
      </c>
      <c r="K1655" s="38" t="s">
        <v>1115</v>
      </c>
      <c r="L1655" s="52" t="s">
        <v>213</v>
      </c>
      <c r="M1655" s="53" t="s">
        <v>213</v>
      </c>
    </row>
    <row r="1656" spans="1:13" x14ac:dyDescent="0.3">
      <c r="A1656" s="37">
        <v>27</v>
      </c>
      <c r="B1656" s="38" t="s">
        <v>1113</v>
      </c>
      <c r="C1656" s="51">
        <v>7896261016385</v>
      </c>
      <c r="D1656" s="40" t="s">
        <v>70</v>
      </c>
      <c r="E1656" s="40"/>
      <c r="F1656" s="40">
        <v>282</v>
      </c>
      <c r="G1656" s="38"/>
      <c r="H1656" s="38" t="s">
        <v>1114</v>
      </c>
      <c r="I1656" s="38" t="s">
        <v>311</v>
      </c>
      <c r="J1656" s="38" t="s">
        <v>947</v>
      </c>
      <c r="K1656" s="38" t="s">
        <v>1115</v>
      </c>
      <c r="L1656" s="52" t="s">
        <v>213</v>
      </c>
      <c r="M1656" s="53" t="s">
        <v>213</v>
      </c>
    </row>
    <row r="1657" spans="1:13" x14ac:dyDescent="0.3">
      <c r="A1657" s="37">
        <v>27</v>
      </c>
      <c r="B1657" s="38" t="s">
        <v>1110</v>
      </c>
      <c r="C1657" s="51">
        <v>7896261016385</v>
      </c>
      <c r="D1657" s="40" t="s">
        <v>70</v>
      </c>
      <c r="E1657" s="40"/>
      <c r="F1657" s="40">
        <v>286</v>
      </c>
      <c r="G1657" s="38"/>
      <c r="H1657" s="38" t="s">
        <v>1116</v>
      </c>
      <c r="I1657" s="38" t="s">
        <v>424</v>
      </c>
      <c r="J1657" s="38" t="s">
        <v>947</v>
      </c>
      <c r="K1657" s="56">
        <v>0.45</v>
      </c>
      <c r="L1657" s="52" t="s">
        <v>213</v>
      </c>
      <c r="M1657" s="53" t="s">
        <v>213</v>
      </c>
    </row>
    <row r="1658" spans="1:13" x14ac:dyDescent="0.3">
      <c r="A1658" s="37">
        <v>27</v>
      </c>
      <c r="B1658" s="38" t="s">
        <v>1113</v>
      </c>
      <c r="C1658" s="51">
        <v>7896261016385</v>
      </c>
      <c r="D1658" s="40" t="s">
        <v>70</v>
      </c>
      <c r="E1658" s="40"/>
      <c r="F1658" s="40">
        <v>286</v>
      </c>
      <c r="G1658" s="38"/>
      <c r="H1658" s="38" t="s">
        <v>1116</v>
      </c>
      <c r="I1658" s="38" t="s">
        <v>424</v>
      </c>
      <c r="J1658" s="38" t="s">
        <v>947</v>
      </c>
      <c r="K1658" s="56">
        <v>0.45</v>
      </c>
      <c r="L1658" s="52" t="s">
        <v>213</v>
      </c>
      <c r="M1658" s="53" t="s">
        <v>213</v>
      </c>
    </row>
    <row r="1659" spans="1:13" x14ac:dyDescent="0.3">
      <c r="A1659" s="37">
        <v>27</v>
      </c>
      <c r="B1659" s="38" t="s">
        <v>1110</v>
      </c>
      <c r="C1659" s="51">
        <v>7896261016385</v>
      </c>
      <c r="D1659" s="40" t="s">
        <v>70</v>
      </c>
      <c r="E1659" s="40"/>
      <c r="F1659" s="40">
        <v>313</v>
      </c>
      <c r="G1659" s="38"/>
      <c r="H1659" s="38" t="s">
        <v>1117</v>
      </c>
      <c r="I1659" s="38" t="s">
        <v>311</v>
      </c>
      <c r="J1659" s="38" t="s">
        <v>966</v>
      </c>
      <c r="K1659" s="38" t="s">
        <v>1118</v>
      </c>
      <c r="L1659" s="52" t="s">
        <v>213</v>
      </c>
      <c r="M1659" s="53" t="s">
        <v>213</v>
      </c>
    </row>
    <row r="1660" spans="1:13" x14ac:dyDescent="0.3">
      <c r="A1660" s="37">
        <v>27</v>
      </c>
      <c r="B1660" s="38" t="s">
        <v>1113</v>
      </c>
      <c r="C1660" s="51">
        <v>7896261016385</v>
      </c>
      <c r="D1660" s="40" t="s">
        <v>70</v>
      </c>
      <c r="E1660" s="40"/>
      <c r="F1660" s="40">
        <v>313</v>
      </c>
      <c r="G1660" s="38"/>
      <c r="H1660" s="38" t="s">
        <v>1117</v>
      </c>
      <c r="I1660" s="38" t="s">
        <v>311</v>
      </c>
      <c r="J1660" s="38" t="s">
        <v>966</v>
      </c>
      <c r="K1660" s="38" t="s">
        <v>1118</v>
      </c>
      <c r="L1660" s="52" t="s">
        <v>213</v>
      </c>
      <c r="M1660" s="53" t="s">
        <v>213</v>
      </c>
    </row>
    <row r="1661" spans="1:13" x14ac:dyDescent="0.3">
      <c r="A1661" s="37">
        <v>27</v>
      </c>
      <c r="B1661" s="38" t="s">
        <v>1119</v>
      </c>
      <c r="C1661" s="51">
        <v>7896261016422</v>
      </c>
      <c r="D1661" s="40" t="s">
        <v>70</v>
      </c>
      <c r="E1661" s="40"/>
      <c r="F1661" s="40">
        <v>273</v>
      </c>
      <c r="G1661" s="38"/>
      <c r="H1661" s="38" t="s">
        <v>1111</v>
      </c>
      <c r="I1661" s="38" t="s">
        <v>311</v>
      </c>
      <c r="J1661" s="38" t="s">
        <v>947</v>
      </c>
      <c r="K1661" s="38" t="s">
        <v>1112</v>
      </c>
      <c r="L1661" s="52" t="s">
        <v>213</v>
      </c>
      <c r="M1661" s="53" t="s">
        <v>213</v>
      </c>
    </row>
    <row r="1662" spans="1:13" x14ac:dyDescent="0.3">
      <c r="A1662" s="37">
        <v>27</v>
      </c>
      <c r="B1662" s="38" t="s">
        <v>1120</v>
      </c>
      <c r="C1662" s="51">
        <v>7896261016422</v>
      </c>
      <c r="D1662" s="40" t="s">
        <v>70</v>
      </c>
      <c r="E1662" s="40"/>
      <c r="F1662" s="40">
        <v>273</v>
      </c>
      <c r="G1662" s="38"/>
      <c r="H1662" s="38" t="s">
        <v>1111</v>
      </c>
      <c r="I1662" s="38" t="s">
        <v>311</v>
      </c>
      <c r="J1662" s="38" t="s">
        <v>947</v>
      </c>
      <c r="K1662" s="38" t="s">
        <v>1112</v>
      </c>
      <c r="L1662" s="52" t="s">
        <v>213</v>
      </c>
      <c r="M1662" s="53" t="s">
        <v>213</v>
      </c>
    </row>
    <row r="1663" spans="1:13" x14ac:dyDescent="0.3">
      <c r="A1663" s="37">
        <v>27</v>
      </c>
      <c r="B1663" s="38" t="s">
        <v>1119</v>
      </c>
      <c r="C1663" s="51">
        <v>7896261016422</v>
      </c>
      <c r="D1663" s="40" t="s">
        <v>70</v>
      </c>
      <c r="E1663" s="40"/>
      <c r="F1663" s="40">
        <v>282</v>
      </c>
      <c r="G1663" s="38"/>
      <c r="H1663" s="38" t="s">
        <v>1114</v>
      </c>
      <c r="I1663" s="38" t="s">
        <v>311</v>
      </c>
      <c r="J1663" s="38" t="s">
        <v>947</v>
      </c>
      <c r="K1663" s="38" t="s">
        <v>1115</v>
      </c>
      <c r="L1663" s="52" t="s">
        <v>213</v>
      </c>
      <c r="M1663" s="53" t="s">
        <v>213</v>
      </c>
    </row>
    <row r="1664" spans="1:13" x14ac:dyDescent="0.3">
      <c r="A1664" s="37">
        <v>27</v>
      </c>
      <c r="B1664" s="38" t="s">
        <v>1120</v>
      </c>
      <c r="C1664" s="51">
        <v>7896261016422</v>
      </c>
      <c r="D1664" s="40" t="s">
        <v>70</v>
      </c>
      <c r="E1664" s="40"/>
      <c r="F1664" s="40">
        <v>282</v>
      </c>
      <c r="G1664" s="38"/>
      <c r="H1664" s="38" t="s">
        <v>1114</v>
      </c>
      <c r="I1664" s="38" t="s">
        <v>311</v>
      </c>
      <c r="J1664" s="38" t="s">
        <v>947</v>
      </c>
      <c r="K1664" s="38" t="s">
        <v>1115</v>
      </c>
      <c r="L1664" s="52" t="s">
        <v>213</v>
      </c>
      <c r="M1664" s="53" t="s">
        <v>213</v>
      </c>
    </row>
    <row r="1665" spans="1:13" x14ac:dyDescent="0.3">
      <c r="A1665" s="37">
        <v>27</v>
      </c>
      <c r="B1665" s="38" t="s">
        <v>1119</v>
      </c>
      <c r="C1665" s="51">
        <v>7896261016422</v>
      </c>
      <c r="D1665" s="40" t="s">
        <v>70</v>
      </c>
      <c r="E1665" s="40"/>
      <c r="F1665" s="40">
        <v>286</v>
      </c>
      <c r="G1665" s="38"/>
      <c r="H1665" s="38" t="s">
        <v>1116</v>
      </c>
      <c r="I1665" s="38" t="s">
        <v>424</v>
      </c>
      <c r="J1665" s="38" t="s">
        <v>947</v>
      </c>
      <c r="K1665" s="56">
        <v>0.45</v>
      </c>
      <c r="L1665" s="52" t="s">
        <v>213</v>
      </c>
      <c r="M1665" s="53" t="s">
        <v>213</v>
      </c>
    </row>
    <row r="1666" spans="1:13" x14ac:dyDescent="0.3">
      <c r="A1666" s="37">
        <v>27</v>
      </c>
      <c r="B1666" s="38" t="s">
        <v>1120</v>
      </c>
      <c r="C1666" s="51">
        <v>7896261016422</v>
      </c>
      <c r="D1666" s="40" t="s">
        <v>70</v>
      </c>
      <c r="E1666" s="40"/>
      <c r="F1666" s="40">
        <v>286</v>
      </c>
      <c r="G1666" s="38"/>
      <c r="H1666" s="38" t="s">
        <v>1116</v>
      </c>
      <c r="I1666" s="38" t="s">
        <v>424</v>
      </c>
      <c r="J1666" s="38" t="s">
        <v>947</v>
      </c>
      <c r="K1666" s="56">
        <v>0.45</v>
      </c>
      <c r="L1666" s="52" t="s">
        <v>213</v>
      </c>
      <c r="M1666" s="53" t="s">
        <v>213</v>
      </c>
    </row>
    <row r="1667" spans="1:13" x14ac:dyDescent="0.3">
      <c r="A1667" s="37">
        <v>27</v>
      </c>
      <c r="B1667" s="38" t="s">
        <v>1119</v>
      </c>
      <c r="C1667" s="51">
        <v>7896261016422</v>
      </c>
      <c r="D1667" s="40" t="s">
        <v>70</v>
      </c>
      <c r="E1667" s="40"/>
      <c r="F1667" s="40">
        <v>292</v>
      </c>
      <c r="G1667" s="38"/>
      <c r="H1667" s="38" t="s">
        <v>1121</v>
      </c>
      <c r="I1667" s="38" t="s">
        <v>311</v>
      </c>
      <c r="J1667" s="38" t="s">
        <v>947</v>
      </c>
      <c r="K1667" s="38" t="s">
        <v>1122</v>
      </c>
      <c r="L1667" s="52" t="s">
        <v>213</v>
      </c>
      <c r="M1667" s="53" t="s">
        <v>213</v>
      </c>
    </row>
    <row r="1668" spans="1:13" x14ac:dyDescent="0.3">
      <c r="A1668" s="37">
        <v>27</v>
      </c>
      <c r="B1668" s="38" t="s">
        <v>1120</v>
      </c>
      <c r="C1668" s="51">
        <v>7896261016422</v>
      </c>
      <c r="D1668" s="40" t="s">
        <v>70</v>
      </c>
      <c r="E1668" s="40"/>
      <c r="F1668" s="40">
        <v>292</v>
      </c>
      <c r="G1668" s="38"/>
      <c r="H1668" s="38" t="s">
        <v>1121</v>
      </c>
      <c r="I1668" s="38" t="s">
        <v>311</v>
      </c>
      <c r="J1668" s="38" t="s">
        <v>947</v>
      </c>
      <c r="K1668" s="38" t="s">
        <v>1122</v>
      </c>
      <c r="L1668" s="52" t="s">
        <v>213</v>
      </c>
      <c r="M1668" s="53" t="s">
        <v>213</v>
      </c>
    </row>
    <row r="1669" spans="1:13" x14ac:dyDescent="0.3">
      <c r="A1669" s="37">
        <v>27</v>
      </c>
      <c r="B1669" s="38" t="s">
        <v>1119</v>
      </c>
      <c r="C1669" s="51">
        <v>7896261016422</v>
      </c>
      <c r="D1669" s="40" t="s">
        <v>70</v>
      </c>
      <c r="E1669" s="40"/>
      <c r="F1669" s="40">
        <v>313</v>
      </c>
      <c r="G1669" s="38"/>
      <c r="H1669" s="38" t="s">
        <v>1117</v>
      </c>
      <c r="I1669" s="38" t="s">
        <v>311</v>
      </c>
      <c r="J1669" s="38" t="s">
        <v>966</v>
      </c>
      <c r="K1669" s="38" t="s">
        <v>1118</v>
      </c>
      <c r="L1669" s="52" t="s">
        <v>213</v>
      </c>
      <c r="M1669" s="53" t="s">
        <v>213</v>
      </c>
    </row>
    <row r="1670" spans="1:13" x14ac:dyDescent="0.3">
      <c r="A1670" s="37">
        <v>27</v>
      </c>
      <c r="B1670" s="38" t="s">
        <v>1120</v>
      </c>
      <c r="C1670" s="51">
        <v>7896261016422</v>
      </c>
      <c r="D1670" s="40" t="s">
        <v>70</v>
      </c>
      <c r="E1670" s="40"/>
      <c r="F1670" s="40">
        <v>313</v>
      </c>
      <c r="G1670" s="38"/>
      <c r="H1670" s="38" t="s">
        <v>1117</v>
      </c>
      <c r="I1670" s="38" t="s">
        <v>311</v>
      </c>
      <c r="J1670" s="38" t="s">
        <v>966</v>
      </c>
      <c r="K1670" s="38" t="s">
        <v>1118</v>
      </c>
      <c r="L1670" s="52" t="s">
        <v>213</v>
      </c>
      <c r="M1670" s="53" t="s">
        <v>213</v>
      </c>
    </row>
    <row r="1671" spans="1:13" x14ac:dyDescent="0.3">
      <c r="A1671" s="37">
        <v>27</v>
      </c>
      <c r="B1671" s="38" t="s">
        <v>1123</v>
      </c>
      <c r="C1671" s="51">
        <v>7896261017177</v>
      </c>
      <c r="D1671" s="40" t="s">
        <v>70</v>
      </c>
      <c r="E1671" s="40"/>
      <c r="F1671" s="40">
        <v>233</v>
      </c>
      <c r="G1671" s="38"/>
      <c r="H1671" s="38" t="s">
        <v>1013</v>
      </c>
      <c r="I1671" s="38" t="s">
        <v>424</v>
      </c>
      <c r="J1671" s="38" t="s">
        <v>1014</v>
      </c>
      <c r="K1671" s="56">
        <v>0.19</v>
      </c>
      <c r="L1671" s="52" t="s">
        <v>213</v>
      </c>
      <c r="M1671" s="53" t="s">
        <v>213</v>
      </c>
    </row>
    <row r="1672" spans="1:13" x14ac:dyDescent="0.3">
      <c r="A1672" s="37">
        <v>27</v>
      </c>
      <c r="B1672" s="38" t="s">
        <v>1123</v>
      </c>
      <c r="C1672" s="51">
        <v>7896261017177</v>
      </c>
      <c r="D1672" s="40" t="s">
        <v>70</v>
      </c>
      <c r="E1672" s="40"/>
      <c r="F1672" s="40">
        <v>280</v>
      </c>
      <c r="G1672" s="38"/>
      <c r="H1672" s="38" t="s">
        <v>1016</v>
      </c>
      <c r="I1672" s="38" t="s">
        <v>424</v>
      </c>
      <c r="J1672" s="38" t="s">
        <v>1014</v>
      </c>
      <c r="K1672" s="56">
        <v>0.19</v>
      </c>
      <c r="L1672" s="52" t="s">
        <v>213</v>
      </c>
      <c r="M1672" s="53" t="s">
        <v>213</v>
      </c>
    </row>
    <row r="1673" spans="1:13" x14ac:dyDescent="0.3">
      <c r="A1673" s="37">
        <v>27</v>
      </c>
      <c r="B1673" s="38" t="s">
        <v>1123</v>
      </c>
      <c r="C1673" s="51">
        <v>7896261017177</v>
      </c>
      <c r="D1673" s="40" t="s">
        <v>70</v>
      </c>
      <c r="E1673" s="40"/>
      <c r="F1673" s="40">
        <v>409</v>
      </c>
      <c r="G1673" s="38"/>
      <c r="H1673" s="38" t="s">
        <v>1018</v>
      </c>
      <c r="I1673" s="38" t="s">
        <v>424</v>
      </c>
      <c r="J1673" s="38" t="s">
        <v>1014</v>
      </c>
      <c r="K1673" s="56">
        <v>0.19</v>
      </c>
      <c r="L1673" s="52" t="s">
        <v>213</v>
      </c>
      <c r="M1673" s="53" t="s">
        <v>213</v>
      </c>
    </row>
    <row r="1674" spans="1:13" x14ac:dyDescent="0.3">
      <c r="A1674" s="37">
        <v>27</v>
      </c>
      <c r="B1674" s="38" t="s">
        <v>1124</v>
      </c>
      <c r="C1674" s="51">
        <v>7896261018860</v>
      </c>
      <c r="D1674" s="40" t="s">
        <v>70</v>
      </c>
      <c r="E1674" s="40"/>
      <c r="F1674" s="40">
        <v>423</v>
      </c>
      <c r="G1674" s="38"/>
      <c r="H1674" s="38" t="s">
        <v>1125</v>
      </c>
      <c r="I1674" s="38" t="s">
        <v>424</v>
      </c>
      <c r="J1674" s="38" t="s">
        <v>1093</v>
      </c>
      <c r="K1674" s="56">
        <v>0.33</v>
      </c>
      <c r="L1674" s="52" t="s">
        <v>213</v>
      </c>
      <c r="M1674" s="53" t="s">
        <v>213</v>
      </c>
    </row>
    <row r="1675" spans="1:13" x14ac:dyDescent="0.3">
      <c r="A1675" s="37">
        <v>27</v>
      </c>
      <c r="B1675" s="38" t="s">
        <v>1126</v>
      </c>
      <c r="C1675" s="51">
        <v>7896261018860</v>
      </c>
      <c r="D1675" s="40" t="s">
        <v>70</v>
      </c>
      <c r="E1675" s="40"/>
      <c r="F1675" s="40">
        <v>423</v>
      </c>
      <c r="G1675" s="38"/>
      <c r="H1675" s="38" t="s">
        <v>1125</v>
      </c>
      <c r="I1675" s="38" t="s">
        <v>424</v>
      </c>
      <c r="J1675" s="38" t="s">
        <v>1093</v>
      </c>
      <c r="K1675" s="56">
        <v>0.33</v>
      </c>
      <c r="L1675" s="52" t="s">
        <v>213</v>
      </c>
      <c r="M1675" s="53" t="s">
        <v>213</v>
      </c>
    </row>
    <row r="1676" spans="1:13" x14ac:dyDescent="0.3">
      <c r="A1676" s="37">
        <v>27</v>
      </c>
      <c r="B1676" s="38" t="s">
        <v>1124</v>
      </c>
      <c r="C1676" s="51">
        <v>7896261018860</v>
      </c>
      <c r="D1676" s="40" t="s">
        <v>70</v>
      </c>
      <c r="E1676" s="40"/>
      <c r="F1676" s="40">
        <v>444</v>
      </c>
      <c r="G1676" s="38"/>
      <c r="H1676" s="38" t="s">
        <v>1127</v>
      </c>
      <c r="I1676" s="38" t="s">
        <v>424</v>
      </c>
      <c r="J1676" s="38" t="s">
        <v>1093</v>
      </c>
      <c r="K1676" s="56">
        <v>0.33</v>
      </c>
      <c r="L1676" s="52" t="s">
        <v>213</v>
      </c>
      <c r="M1676" s="53" t="s">
        <v>213</v>
      </c>
    </row>
    <row r="1677" spans="1:13" x14ac:dyDescent="0.3">
      <c r="A1677" s="37">
        <v>27</v>
      </c>
      <c r="B1677" s="38" t="s">
        <v>1126</v>
      </c>
      <c r="C1677" s="51">
        <v>7896261018860</v>
      </c>
      <c r="D1677" s="40" t="s">
        <v>70</v>
      </c>
      <c r="E1677" s="40"/>
      <c r="F1677" s="40">
        <v>444</v>
      </c>
      <c r="G1677" s="38"/>
      <c r="H1677" s="38" t="s">
        <v>1127</v>
      </c>
      <c r="I1677" s="38" t="s">
        <v>424</v>
      </c>
      <c r="J1677" s="38" t="s">
        <v>1093</v>
      </c>
      <c r="K1677" s="56">
        <v>0.33</v>
      </c>
      <c r="L1677" s="52" t="s">
        <v>213</v>
      </c>
      <c r="M1677" s="53" t="s">
        <v>213</v>
      </c>
    </row>
    <row r="1678" spans="1:13" x14ac:dyDescent="0.3">
      <c r="A1678" s="37">
        <v>27</v>
      </c>
      <c r="B1678" s="38" t="s">
        <v>1128</v>
      </c>
      <c r="C1678" s="51">
        <v>7896261020184</v>
      </c>
      <c r="D1678" s="40" t="s">
        <v>70</v>
      </c>
      <c r="E1678" s="40"/>
      <c r="F1678" s="40">
        <v>349</v>
      </c>
      <c r="G1678" s="38"/>
      <c r="H1678" s="38" t="s">
        <v>1129</v>
      </c>
      <c r="I1678" s="38" t="s">
        <v>311</v>
      </c>
      <c r="J1678" s="38" t="s">
        <v>947</v>
      </c>
      <c r="K1678" s="38" t="s">
        <v>1130</v>
      </c>
      <c r="L1678" s="52" t="s">
        <v>213</v>
      </c>
      <c r="M1678" s="53" t="s">
        <v>213</v>
      </c>
    </row>
    <row r="1679" spans="1:13" x14ac:dyDescent="0.3">
      <c r="A1679" s="37">
        <v>27</v>
      </c>
      <c r="B1679" s="38" t="s">
        <v>1131</v>
      </c>
      <c r="C1679" s="51">
        <v>7896261020269</v>
      </c>
      <c r="D1679" s="40" t="s">
        <v>70</v>
      </c>
      <c r="E1679" s="40"/>
      <c r="F1679" s="40">
        <v>438</v>
      </c>
      <c r="G1679" s="38"/>
      <c r="H1679" s="38" t="s">
        <v>1132</v>
      </c>
      <c r="I1679" s="38" t="s">
        <v>311</v>
      </c>
      <c r="J1679" s="38" t="s">
        <v>1133</v>
      </c>
      <c r="K1679" s="38" t="s">
        <v>1134</v>
      </c>
      <c r="L1679" s="52" t="s">
        <v>213</v>
      </c>
      <c r="M1679" s="53" t="s">
        <v>213</v>
      </c>
    </row>
    <row r="1680" spans="1:13" x14ac:dyDescent="0.3">
      <c r="A1680" s="37">
        <v>27</v>
      </c>
      <c r="B1680" s="38" t="s">
        <v>1135</v>
      </c>
      <c r="C1680" s="51">
        <v>7896261020276</v>
      </c>
      <c r="D1680" s="40" t="s">
        <v>70</v>
      </c>
      <c r="E1680" s="40"/>
      <c r="F1680" s="40">
        <v>438</v>
      </c>
      <c r="G1680" s="38"/>
      <c r="H1680" s="38" t="s">
        <v>1132</v>
      </c>
      <c r="I1680" s="38" t="s">
        <v>311</v>
      </c>
      <c r="J1680" s="38" t="s">
        <v>1133</v>
      </c>
      <c r="K1680" s="38" t="s">
        <v>1134</v>
      </c>
      <c r="L1680" s="52" t="s">
        <v>213</v>
      </c>
      <c r="M1680" s="53" t="s">
        <v>213</v>
      </c>
    </row>
    <row r="1681" spans="1:13" x14ac:dyDescent="0.3">
      <c r="A1681" s="37">
        <v>27</v>
      </c>
      <c r="B1681" s="38" t="s">
        <v>1136</v>
      </c>
      <c r="C1681" s="51">
        <v>7896261020283</v>
      </c>
      <c r="D1681" s="40" t="s">
        <v>70</v>
      </c>
      <c r="E1681" s="40"/>
      <c r="F1681" s="40">
        <v>438</v>
      </c>
      <c r="G1681" s="38"/>
      <c r="H1681" s="38" t="s">
        <v>1132</v>
      </c>
      <c r="I1681" s="38" t="s">
        <v>311</v>
      </c>
      <c r="J1681" s="38" t="s">
        <v>1133</v>
      </c>
      <c r="K1681" s="38" t="s">
        <v>1134</v>
      </c>
      <c r="L1681" s="52" t="s">
        <v>213</v>
      </c>
      <c r="M1681" s="53" t="s">
        <v>213</v>
      </c>
    </row>
    <row r="1682" spans="1:13" x14ac:dyDescent="0.3">
      <c r="A1682" s="37">
        <v>27</v>
      </c>
      <c r="B1682" s="38" t="s">
        <v>1137</v>
      </c>
      <c r="C1682" s="51">
        <v>7896261020306</v>
      </c>
      <c r="D1682" s="40" t="s">
        <v>70</v>
      </c>
      <c r="E1682" s="40"/>
      <c r="F1682" s="40">
        <v>438</v>
      </c>
      <c r="G1682" s="38"/>
      <c r="H1682" s="38" t="s">
        <v>1132</v>
      </c>
      <c r="I1682" s="38" t="s">
        <v>311</v>
      </c>
      <c r="J1682" s="38" t="s">
        <v>1093</v>
      </c>
      <c r="K1682" s="38" t="s">
        <v>1134</v>
      </c>
      <c r="L1682" s="52" t="s">
        <v>213</v>
      </c>
      <c r="M1682" s="53" t="s">
        <v>213</v>
      </c>
    </row>
    <row r="1683" spans="1:13" x14ac:dyDescent="0.3">
      <c r="A1683" s="37">
        <v>27</v>
      </c>
      <c r="B1683" s="38" t="s">
        <v>1138</v>
      </c>
      <c r="C1683" s="51">
        <v>7896261020313</v>
      </c>
      <c r="D1683" s="40" t="s">
        <v>70</v>
      </c>
      <c r="E1683" s="40"/>
      <c r="F1683" s="40">
        <v>438</v>
      </c>
      <c r="G1683" s="38"/>
      <c r="H1683" s="38" t="s">
        <v>1132</v>
      </c>
      <c r="I1683" s="38" t="s">
        <v>311</v>
      </c>
      <c r="J1683" s="38" t="s">
        <v>1093</v>
      </c>
      <c r="K1683" s="38" t="s">
        <v>1134</v>
      </c>
      <c r="L1683" s="52" t="s">
        <v>213</v>
      </c>
      <c r="M1683" s="53" t="s">
        <v>213</v>
      </c>
    </row>
    <row r="1684" spans="1:13" x14ac:dyDescent="0.3">
      <c r="A1684" s="37">
        <v>27</v>
      </c>
      <c r="B1684" s="38" t="s">
        <v>1139</v>
      </c>
      <c r="C1684" s="51">
        <v>7896261021600</v>
      </c>
      <c r="D1684" s="40" t="s">
        <v>70</v>
      </c>
      <c r="E1684" s="40"/>
      <c r="F1684" s="40">
        <v>449</v>
      </c>
      <c r="G1684" s="38"/>
      <c r="H1684" s="38" t="s">
        <v>1140</v>
      </c>
      <c r="I1684" s="38" t="s">
        <v>424</v>
      </c>
      <c r="J1684" s="38" t="s">
        <v>966</v>
      </c>
      <c r="K1684" s="56">
        <v>0.6431</v>
      </c>
      <c r="L1684" s="52" t="s">
        <v>213</v>
      </c>
      <c r="M1684" s="53" t="s">
        <v>213</v>
      </c>
    </row>
    <row r="1685" spans="1:13" x14ac:dyDescent="0.3">
      <c r="A1685" s="37">
        <v>27</v>
      </c>
      <c r="B1685" s="38" t="s">
        <v>1139</v>
      </c>
      <c r="C1685" s="51">
        <v>7896261021600</v>
      </c>
      <c r="D1685" s="40" t="s">
        <v>70</v>
      </c>
      <c r="E1685" s="40"/>
      <c r="F1685" s="40">
        <v>450</v>
      </c>
      <c r="G1685" s="38"/>
      <c r="H1685" s="38" t="s">
        <v>1141</v>
      </c>
      <c r="I1685" s="38" t="s">
        <v>311</v>
      </c>
      <c r="J1685" s="38" t="s">
        <v>966</v>
      </c>
      <c r="K1685" s="38" t="s">
        <v>1142</v>
      </c>
      <c r="L1685" s="52" t="s">
        <v>213</v>
      </c>
      <c r="M1685" s="53" t="s">
        <v>213</v>
      </c>
    </row>
    <row r="1686" spans="1:13" x14ac:dyDescent="0.3">
      <c r="A1686" s="37">
        <v>27</v>
      </c>
      <c r="B1686" s="38" t="s">
        <v>1143</v>
      </c>
      <c r="C1686" s="51">
        <v>7896548140581</v>
      </c>
      <c r="D1686" s="40" t="s">
        <v>70</v>
      </c>
      <c r="E1686" s="40"/>
      <c r="F1686" s="40">
        <v>402</v>
      </c>
      <c r="G1686" s="38"/>
      <c r="H1686" s="38" t="s">
        <v>1144</v>
      </c>
      <c r="I1686" s="38" t="s">
        <v>311</v>
      </c>
      <c r="J1686" s="38" t="s">
        <v>966</v>
      </c>
      <c r="K1686" s="38" t="s">
        <v>1145</v>
      </c>
      <c r="L1686" s="52" t="s">
        <v>213</v>
      </c>
      <c r="M1686" s="53" t="s">
        <v>213</v>
      </c>
    </row>
    <row r="1687" spans="1:13" x14ac:dyDescent="0.3">
      <c r="A1687" s="37">
        <v>27</v>
      </c>
      <c r="B1687" s="38" t="s">
        <v>1146</v>
      </c>
      <c r="C1687" s="51">
        <v>7896548197608</v>
      </c>
      <c r="D1687" s="40" t="s">
        <v>70</v>
      </c>
      <c r="E1687" s="40"/>
      <c r="F1687" s="40">
        <v>296</v>
      </c>
      <c r="G1687" s="38"/>
      <c r="H1687" s="38" t="s">
        <v>1147</v>
      </c>
      <c r="I1687" s="38" t="s">
        <v>424</v>
      </c>
      <c r="J1687" s="38" t="s">
        <v>966</v>
      </c>
      <c r="K1687" s="56">
        <v>0.55000000000000004</v>
      </c>
      <c r="L1687" s="52" t="s">
        <v>213</v>
      </c>
      <c r="M1687" s="53" t="s">
        <v>213</v>
      </c>
    </row>
    <row r="1688" spans="1:13" x14ac:dyDescent="0.3">
      <c r="A1688" s="37">
        <v>27</v>
      </c>
      <c r="B1688" s="38" t="s">
        <v>1148</v>
      </c>
      <c r="C1688" s="51">
        <v>7896548197608</v>
      </c>
      <c r="D1688" s="40" t="s">
        <v>70</v>
      </c>
      <c r="E1688" s="40"/>
      <c r="F1688" s="40">
        <v>296</v>
      </c>
      <c r="G1688" s="38"/>
      <c r="H1688" s="38" t="s">
        <v>1147</v>
      </c>
      <c r="I1688" s="38" t="s">
        <v>424</v>
      </c>
      <c r="J1688" s="38" t="s">
        <v>966</v>
      </c>
      <c r="K1688" s="56">
        <v>0.55000000000000004</v>
      </c>
      <c r="L1688" s="52" t="s">
        <v>213</v>
      </c>
      <c r="M1688" s="53" t="s">
        <v>213</v>
      </c>
    </row>
    <row r="1689" spans="1:13" x14ac:dyDescent="0.3">
      <c r="A1689" s="37">
        <v>27</v>
      </c>
      <c r="B1689" s="38" t="s">
        <v>1149</v>
      </c>
      <c r="C1689" s="51">
        <v>7896548198353</v>
      </c>
      <c r="D1689" s="40" t="s">
        <v>70</v>
      </c>
      <c r="E1689" s="40"/>
      <c r="F1689" s="40">
        <v>296</v>
      </c>
      <c r="G1689" s="38"/>
      <c r="H1689" s="38" t="s">
        <v>1147</v>
      </c>
      <c r="I1689" s="38" t="s">
        <v>311</v>
      </c>
      <c r="J1689" s="38" t="s">
        <v>966</v>
      </c>
      <c r="K1689" s="38" t="s">
        <v>1150</v>
      </c>
      <c r="L1689" s="52" t="s">
        <v>213</v>
      </c>
      <c r="M1689" s="53" t="s">
        <v>213</v>
      </c>
    </row>
    <row r="1690" spans="1:13" x14ac:dyDescent="0.3">
      <c r="A1690" s="37">
        <v>27</v>
      </c>
      <c r="B1690" s="38" t="s">
        <v>1151</v>
      </c>
      <c r="C1690" s="51">
        <v>7896548198636</v>
      </c>
      <c r="D1690" s="40" t="s">
        <v>70</v>
      </c>
      <c r="E1690" s="40"/>
      <c r="F1690" s="40">
        <v>296</v>
      </c>
      <c r="G1690" s="38"/>
      <c r="H1690" s="38" t="s">
        <v>1147</v>
      </c>
      <c r="I1690" s="38" t="s">
        <v>311</v>
      </c>
      <c r="J1690" s="38" t="s">
        <v>966</v>
      </c>
      <c r="K1690" s="38" t="s">
        <v>1152</v>
      </c>
      <c r="L1690" s="52" t="s">
        <v>213</v>
      </c>
      <c r="M1690" s="53" t="s">
        <v>213</v>
      </c>
    </row>
    <row r="1691" spans="1:13" x14ac:dyDescent="0.3">
      <c r="A1691" s="37">
        <v>27</v>
      </c>
      <c r="B1691" s="38" t="s">
        <v>1153</v>
      </c>
      <c r="C1691" s="51">
        <v>7896548198926</v>
      </c>
      <c r="D1691" s="40" t="s">
        <v>70</v>
      </c>
      <c r="E1691" s="40"/>
      <c r="F1691" s="40">
        <v>296</v>
      </c>
      <c r="G1691" s="38"/>
      <c r="H1691" s="38" t="s">
        <v>1147</v>
      </c>
      <c r="I1691" s="38" t="s">
        <v>424</v>
      </c>
      <c r="J1691" s="38" t="s">
        <v>966</v>
      </c>
      <c r="K1691" s="56">
        <v>0.4</v>
      </c>
      <c r="L1691" s="52" t="s">
        <v>213</v>
      </c>
      <c r="M1691" s="53" t="s">
        <v>213</v>
      </c>
    </row>
    <row r="1692" spans="1:13" x14ac:dyDescent="0.3">
      <c r="A1692" s="37">
        <v>27</v>
      </c>
      <c r="B1692" s="38" t="s">
        <v>1154</v>
      </c>
      <c r="C1692" s="51">
        <v>7896548199572</v>
      </c>
      <c r="D1692" s="40" t="s">
        <v>70</v>
      </c>
      <c r="E1692" s="40"/>
      <c r="F1692" s="40">
        <v>440</v>
      </c>
      <c r="G1692" s="38"/>
      <c r="H1692" s="38" t="s">
        <v>1155</v>
      </c>
      <c r="I1692" s="38" t="s">
        <v>424</v>
      </c>
      <c r="J1692" s="38" t="s">
        <v>1093</v>
      </c>
      <c r="K1692" s="56">
        <v>0.25</v>
      </c>
      <c r="L1692" s="52" t="s">
        <v>213</v>
      </c>
      <c r="M1692" s="53" t="s">
        <v>213</v>
      </c>
    </row>
    <row r="1693" spans="1:13" x14ac:dyDescent="0.3">
      <c r="A1693" s="37">
        <v>27</v>
      </c>
      <c r="B1693" s="38" t="s">
        <v>1154</v>
      </c>
      <c r="C1693" s="51">
        <v>7896548199572</v>
      </c>
      <c r="D1693" s="40" t="s">
        <v>70</v>
      </c>
      <c r="E1693" s="40"/>
      <c r="F1693" s="40">
        <v>443</v>
      </c>
      <c r="G1693" s="38"/>
      <c r="H1693" s="38" t="s">
        <v>1156</v>
      </c>
      <c r="I1693" s="38" t="s">
        <v>424</v>
      </c>
      <c r="J1693" s="38" t="s">
        <v>1093</v>
      </c>
      <c r="K1693" s="56">
        <v>0.25</v>
      </c>
      <c r="L1693" s="52" t="s">
        <v>213</v>
      </c>
      <c r="M1693" s="53" t="s">
        <v>213</v>
      </c>
    </row>
    <row r="1694" spans="1:13" x14ac:dyDescent="0.3">
      <c r="A1694" s="37">
        <v>27</v>
      </c>
      <c r="B1694" s="38" t="s">
        <v>1154</v>
      </c>
      <c r="C1694" s="51">
        <v>7896548199572</v>
      </c>
      <c r="D1694" s="40" t="s">
        <v>70</v>
      </c>
      <c r="E1694" s="40"/>
      <c r="F1694" s="40">
        <v>448</v>
      </c>
      <c r="G1694" s="38"/>
      <c r="H1694" s="38" t="s">
        <v>1157</v>
      </c>
      <c r="I1694" s="38" t="s">
        <v>424</v>
      </c>
      <c r="J1694" s="38" t="s">
        <v>1093</v>
      </c>
      <c r="K1694" s="56">
        <v>0.16</v>
      </c>
      <c r="L1694" s="52" t="s">
        <v>213</v>
      </c>
      <c r="M1694" s="53" t="s">
        <v>213</v>
      </c>
    </row>
    <row r="1695" spans="1:13" x14ac:dyDescent="0.3">
      <c r="A1695" s="37">
        <v>27</v>
      </c>
      <c r="B1695" s="38" t="s">
        <v>1158</v>
      </c>
      <c r="C1695" s="51">
        <v>7896548199855</v>
      </c>
      <c r="D1695" s="40" t="s">
        <v>70</v>
      </c>
      <c r="E1695" s="40"/>
      <c r="F1695" s="40">
        <v>297</v>
      </c>
      <c r="G1695" s="38"/>
      <c r="H1695" s="38" t="s">
        <v>1159</v>
      </c>
      <c r="I1695" s="38" t="s">
        <v>424</v>
      </c>
      <c r="J1695" s="38" t="s">
        <v>947</v>
      </c>
      <c r="K1695" s="56">
        <v>0.2</v>
      </c>
      <c r="L1695" s="52" t="s">
        <v>213</v>
      </c>
      <c r="M1695" s="53" t="s">
        <v>213</v>
      </c>
    </row>
    <row r="1696" spans="1:13" x14ac:dyDescent="0.3">
      <c r="A1696" s="37">
        <v>27</v>
      </c>
      <c r="B1696" s="38" t="s">
        <v>1160</v>
      </c>
      <c r="C1696" s="51">
        <v>7897595620729</v>
      </c>
      <c r="D1696" s="40" t="s">
        <v>70</v>
      </c>
      <c r="E1696" s="40"/>
      <c r="F1696" s="40">
        <v>278</v>
      </c>
      <c r="G1696" s="38"/>
      <c r="H1696" s="38" t="s">
        <v>1161</v>
      </c>
      <c r="I1696" s="38" t="s">
        <v>311</v>
      </c>
      <c r="J1696" s="38" t="s">
        <v>966</v>
      </c>
      <c r="K1696" s="38" t="s">
        <v>1162</v>
      </c>
      <c r="L1696" s="52" t="s">
        <v>213</v>
      </c>
      <c r="M1696" s="53" t="s">
        <v>213</v>
      </c>
    </row>
    <row r="1697" spans="1:13" x14ac:dyDescent="0.3">
      <c r="A1697" s="37">
        <v>27</v>
      </c>
      <c r="B1697" s="38" t="s">
        <v>1163</v>
      </c>
      <c r="C1697" s="51">
        <v>7897595620750</v>
      </c>
      <c r="D1697" s="40" t="s">
        <v>70</v>
      </c>
      <c r="E1697" s="40"/>
      <c r="F1697" s="40">
        <v>278</v>
      </c>
      <c r="G1697" s="38"/>
      <c r="H1697" s="38" t="s">
        <v>1161</v>
      </c>
      <c r="I1697" s="38" t="s">
        <v>311</v>
      </c>
      <c r="J1697" s="38" t="s">
        <v>966</v>
      </c>
      <c r="K1697" s="38" t="s">
        <v>1162</v>
      </c>
      <c r="L1697" s="52" t="s">
        <v>213</v>
      </c>
      <c r="M1697" s="53" t="s">
        <v>213</v>
      </c>
    </row>
    <row r="1698" spans="1:13" x14ac:dyDescent="0.3">
      <c r="A1698" s="37">
        <v>27</v>
      </c>
      <c r="B1698" s="38" t="s">
        <v>1160</v>
      </c>
      <c r="C1698" s="51">
        <v>7897595632302</v>
      </c>
      <c r="D1698" s="40" t="s">
        <v>70</v>
      </c>
      <c r="E1698" s="40"/>
      <c r="F1698" s="40">
        <v>278</v>
      </c>
      <c r="G1698" s="38"/>
      <c r="H1698" s="38" t="s">
        <v>1161</v>
      </c>
      <c r="I1698" s="38" t="s">
        <v>311</v>
      </c>
      <c r="J1698" s="38" t="s">
        <v>966</v>
      </c>
      <c r="K1698" s="38" t="s">
        <v>1162</v>
      </c>
      <c r="L1698" s="52" t="s">
        <v>213</v>
      </c>
      <c r="M1698" s="53" t="s">
        <v>213</v>
      </c>
    </row>
    <row r="1699" spans="1:13" x14ac:dyDescent="0.3">
      <c r="A1699" s="37">
        <v>27</v>
      </c>
      <c r="B1699" s="38" t="s">
        <v>1163</v>
      </c>
      <c r="C1699" s="51">
        <v>7897595632319</v>
      </c>
      <c r="D1699" s="40" t="s">
        <v>70</v>
      </c>
      <c r="E1699" s="40"/>
      <c r="F1699" s="40">
        <v>278</v>
      </c>
      <c r="G1699" s="38"/>
      <c r="H1699" s="38" t="s">
        <v>1161</v>
      </c>
      <c r="I1699" s="38" t="s">
        <v>311</v>
      </c>
      <c r="J1699" s="38" t="s">
        <v>966</v>
      </c>
      <c r="K1699" s="38" t="s">
        <v>1162</v>
      </c>
      <c r="L1699" s="52" t="s">
        <v>213</v>
      </c>
      <c r="M1699" s="53" t="s">
        <v>213</v>
      </c>
    </row>
    <row r="1700" spans="1:13" x14ac:dyDescent="0.3">
      <c r="A1700" s="37">
        <v>27</v>
      </c>
      <c r="B1700" s="38" t="s">
        <v>1164</v>
      </c>
      <c r="C1700" s="51">
        <v>7897595635235</v>
      </c>
      <c r="D1700" s="40" t="s">
        <v>70</v>
      </c>
      <c r="E1700" s="40"/>
      <c r="F1700" s="40">
        <v>447</v>
      </c>
      <c r="G1700" s="38"/>
      <c r="H1700" s="38" t="s">
        <v>1165</v>
      </c>
      <c r="I1700" s="38" t="s">
        <v>424</v>
      </c>
      <c r="J1700" s="38" t="s">
        <v>1166</v>
      </c>
      <c r="K1700" s="38" t="s">
        <v>1167</v>
      </c>
      <c r="L1700" s="52" t="s">
        <v>213</v>
      </c>
      <c r="M1700" s="53" t="s">
        <v>213</v>
      </c>
    </row>
    <row r="1701" spans="1:13" x14ac:dyDescent="0.3">
      <c r="A1701" s="37">
        <v>90</v>
      </c>
      <c r="B1701" s="38" t="s">
        <v>1168</v>
      </c>
      <c r="C1701" s="51">
        <v>7891045006217</v>
      </c>
      <c r="D1701" s="40" t="s">
        <v>1169</v>
      </c>
      <c r="E1701" s="40"/>
      <c r="F1701" s="40">
        <v>462</v>
      </c>
      <c r="G1701" s="38"/>
      <c r="H1701" s="38" t="s">
        <v>1170</v>
      </c>
      <c r="I1701" s="38" t="s">
        <v>424</v>
      </c>
      <c r="J1701" s="38" t="s">
        <v>947</v>
      </c>
      <c r="K1701" s="56">
        <v>0.41</v>
      </c>
      <c r="L1701" s="52" t="s">
        <v>213</v>
      </c>
      <c r="M1701" s="53" t="s">
        <v>213</v>
      </c>
    </row>
    <row r="1702" spans="1:13" x14ac:dyDescent="0.3">
      <c r="A1702" s="37">
        <v>90</v>
      </c>
      <c r="B1702" s="38" t="s">
        <v>1171</v>
      </c>
      <c r="C1702" s="51">
        <v>7891045006217</v>
      </c>
      <c r="D1702" s="40" t="s">
        <v>1169</v>
      </c>
      <c r="E1702" s="40"/>
      <c r="F1702" s="40">
        <v>462</v>
      </c>
      <c r="G1702" s="38"/>
      <c r="H1702" s="38" t="s">
        <v>1170</v>
      </c>
      <c r="I1702" s="38" t="s">
        <v>424</v>
      </c>
      <c r="J1702" s="38" t="s">
        <v>947</v>
      </c>
      <c r="K1702" s="56">
        <v>0.41</v>
      </c>
      <c r="L1702" s="52" t="s">
        <v>213</v>
      </c>
      <c r="M1702" s="53" t="s">
        <v>213</v>
      </c>
    </row>
    <row r="1703" spans="1:13" x14ac:dyDescent="0.3">
      <c r="A1703" s="37">
        <v>90</v>
      </c>
      <c r="B1703" s="38" t="s">
        <v>1172</v>
      </c>
      <c r="C1703" s="51">
        <v>7891045006231</v>
      </c>
      <c r="D1703" s="40" t="s">
        <v>1169</v>
      </c>
      <c r="E1703" s="40"/>
      <c r="F1703" s="40">
        <v>462</v>
      </c>
      <c r="G1703" s="38"/>
      <c r="H1703" s="38" t="s">
        <v>1170</v>
      </c>
      <c r="I1703" s="38" t="s">
        <v>424</v>
      </c>
      <c r="J1703" s="38" t="s">
        <v>947</v>
      </c>
      <c r="K1703" s="56">
        <v>0.41</v>
      </c>
      <c r="L1703" s="52" t="s">
        <v>213</v>
      </c>
      <c r="M1703" s="53" t="s">
        <v>213</v>
      </c>
    </row>
    <row r="1704" spans="1:13" x14ac:dyDescent="0.3">
      <c r="A1704" s="37">
        <v>90</v>
      </c>
      <c r="B1704" s="38" t="s">
        <v>1173</v>
      </c>
      <c r="C1704" s="51">
        <v>7891045006231</v>
      </c>
      <c r="D1704" s="40" t="s">
        <v>1169</v>
      </c>
      <c r="E1704" s="40"/>
      <c r="F1704" s="40">
        <v>462</v>
      </c>
      <c r="G1704" s="38"/>
      <c r="H1704" s="38" t="s">
        <v>1170</v>
      </c>
      <c r="I1704" s="38" t="s">
        <v>424</v>
      </c>
      <c r="J1704" s="38" t="s">
        <v>947</v>
      </c>
      <c r="K1704" s="56">
        <v>0.41</v>
      </c>
      <c r="L1704" s="52" t="s">
        <v>213</v>
      </c>
      <c r="M1704" s="53" t="s">
        <v>213</v>
      </c>
    </row>
    <row r="1705" spans="1:13" x14ac:dyDescent="0.3">
      <c r="A1705" s="37">
        <v>90</v>
      </c>
      <c r="B1705" s="38" t="s">
        <v>1174</v>
      </c>
      <c r="C1705" s="51">
        <v>7891268100501</v>
      </c>
      <c r="D1705" s="40" t="s">
        <v>1169</v>
      </c>
      <c r="E1705" s="40"/>
      <c r="F1705" s="40">
        <v>126</v>
      </c>
      <c r="G1705" s="38"/>
      <c r="H1705" s="38" t="s">
        <v>1175</v>
      </c>
      <c r="I1705" s="38" t="s">
        <v>424</v>
      </c>
      <c r="J1705" s="38" t="s">
        <v>947</v>
      </c>
      <c r="K1705" s="38" t="s">
        <v>1176</v>
      </c>
      <c r="L1705" s="52" t="s">
        <v>213</v>
      </c>
      <c r="M1705" s="53" t="s">
        <v>213</v>
      </c>
    </row>
    <row r="1706" spans="1:13" x14ac:dyDescent="0.3">
      <c r="A1706" s="37">
        <v>90</v>
      </c>
      <c r="B1706" s="38" t="s">
        <v>1177</v>
      </c>
      <c r="C1706" s="51">
        <v>7891268103342</v>
      </c>
      <c r="D1706" s="40" t="s">
        <v>1169</v>
      </c>
      <c r="E1706" s="40"/>
      <c r="F1706" s="40">
        <v>930</v>
      </c>
      <c r="G1706" s="38"/>
      <c r="H1706" s="38" t="s">
        <v>1178</v>
      </c>
      <c r="I1706" s="38" t="s">
        <v>1179</v>
      </c>
      <c r="J1706" s="38" t="s">
        <v>1180</v>
      </c>
      <c r="K1706" s="38" t="s">
        <v>1181</v>
      </c>
      <c r="L1706" s="52" t="s">
        <v>213</v>
      </c>
      <c r="M1706" s="53" t="s">
        <v>213</v>
      </c>
    </row>
    <row r="1707" spans="1:13" x14ac:dyDescent="0.3">
      <c r="A1707" s="37">
        <v>90</v>
      </c>
      <c r="B1707" s="38" t="s">
        <v>1177</v>
      </c>
      <c r="C1707" s="51">
        <v>7891268103342</v>
      </c>
      <c r="D1707" s="40" t="s">
        <v>1169</v>
      </c>
      <c r="E1707" s="40"/>
      <c r="F1707" s="40">
        <v>998</v>
      </c>
      <c r="G1707" s="38"/>
      <c r="H1707" s="38" t="s">
        <v>1182</v>
      </c>
      <c r="I1707" s="38" t="s">
        <v>1179</v>
      </c>
      <c r="J1707" s="38" t="s">
        <v>1180</v>
      </c>
      <c r="K1707" s="38" t="s">
        <v>1183</v>
      </c>
      <c r="L1707" s="52" t="s">
        <v>213</v>
      </c>
      <c r="M1707" s="53" t="s">
        <v>213</v>
      </c>
    </row>
    <row r="1708" spans="1:13" x14ac:dyDescent="0.3">
      <c r="A1708" s="37">
        <v>90</v>
      </c>
      <c r="B1708" s="38" t="s">
        <v>1184</v>
      </c>
      <c r="C1708" s="51">
        <v>7891268118087</v>
      </c>
      <c r="D1708" s="40" t="s">
        <v>1169</v>
      </c>
      <c r="E1708" s="40"/>
      <c r="F1708" s="40">
        <v>423</v>
      </c>
      <c r="G1708" s="38"/>
      <c r="H1708" s="38" t="s">
        <v>1185</v>
      </c>
      <c r="I1708" s="38" t="s">
        <v>1186</v>
      </c>
      <c r="J1708" s="38" t="s">
        <v>1014</v>
      </c>
      <c r="K1708" s="38" t="s">
        <v>1187</v>
      </c>
      <c r="L1708" s="52" t="s">
        <v>213</v>
      </c>
      <c r="M1708" s="53" t="s">
        <v>213</v>
      </c>
    </row>
    <row r="1709" spans="1:13" x14ac:dyDescent="0.3">
      <c r="A1709" s="37">
        <v>90</v>
      </c>
      <c r="B1709" s="38" t="s">
        <v>1188</v>
      </c>
      <c r="C1709" s="51">
        <v>7891268118087</v>
      </c>
      <c r="D1709" s="40" t="s">
        <v>1169</v>
      </c>
      <c r="E1709" s="40"/>
      <c r="F1709" s="40">
        <v>423</v>
      </c>
      <c r="G1709" s="38"/>
      <c r="H1709" s="38" t="s">
        <v>1185</v>
      </c>
      <c r="I1709" s="38" t="s">
        <v>1186</v>
      </c>
      <c r="J1709" s="38" t="s">
        <v>1014</v>
      </c>
      <c r="K1709" s="38" t="s">
        <v>1187</v>
      </c>
      <c r="L1709" s="52" t="s">
        <v>213</v>
      </c>
      <c r="M1709" s="53" t="s">
        <v>213</v>
      </c>
    </row>
    <row r="1710" spans="1:13" x14ac:dyDescent="0.3">
      <c r="A1710" s="37">
        <v>90</v>
      </c>
      <c r="B1710" s="38" t="s">
        <v>1184</v>
      </c>
      <c r="C1710" s="51">
        <v>7891268118087</v>
      </c>
      <c r="D1710" s="40" t="s">
        <v>1169</v>
      </c>
      <c r="E1710" s="40"/>
      <c r="F1710" s="40">
        <v>929</v>
      </c>
      <c r="G1710" s="38"/>
      <c r="H1710" s="38" t="s">
        <v>1189</v>
      </c>
      <c r="I1710" s="38" t="s">
        <v>1186</v>
      </c>
      <c r="J1710" s="38" t="s">
        <v>1014</v>
      </c>
      <c r="K1710" s="38" t="s">
        <v>1187</v>
      </c>
      <c r="L1710" s="52" t="s">
        <v>213</v>
      </c>
      <c r="M1710" s="53" t="s">
        <v>213</v>
      </c>
    </row>
    <row r="1711" spans="1:13" x14ac:dyDescent="0.3">
      <c r="A1711" s="37">
        <v>90</v>
      </c>
      <c r="B1711" s="38" t="s">
        <v>1188</v>
      </c>
      <c r="C1711" s="51">
        <v>7891268118087</v>
      </c>
      <c r="D1711" s="40" t="s">
        <v>1169</v>
      </c>
      <c r="E1711" s="40"/>
      <c r="F1711" s="40">
        <v>929</v>
      </c>
      <c r="G1711" s="38"/>
      <c r="H1711" s="38" t="s">
        <v>1189</v>
      </c>
      <c r="I1711" s="38" t="s">
        <v>1186</v>
      </c>
      <c r="J1711" s="38" t="s">
        <v>1014</v>
      </c>
      <c r="K1711" s="38" t="s">
        <v>1187</v>
      </c>
      <c r="L1711" s="52" t="s">
        <v>213</v>
      </c>
      <c r="M1711" s="53" t="s">
        <v>213</v>
      </c>
    </row>
    <row r="1712" spans="1:13" x14ac:dyDescent="0.3">
      <c r="A1712" s="37">
        <v>90</v>
      </c>
      <c r="B1712" s="38" t="s">
        <v>1190</v>
      </c>
      <c r="C1712" s="51">
        <v>7891268118100</v>
      </c>
      <c r="D1712" s="40" t="s">
        <v>1169</v>
      </c>
      <c r="E1712" s="40"/>
      <c r="F1712" s="40">
        <v>423</v>
      </c>
      <c r="G1712" s="38"/>
      <c r="H1712" s="38" t="s">
        <v>1185</v>
      </c>
      <c r="I1712" s="38" t="s">
        <v>1186</v>
      </c>
      <c r="J1712" s="38" t="s">
        <v>1014</v>
      </c>
      <c r="K1712" s="38" t="s">
        <v>1187</v>
      </c>
      <c r="L1712" s="52" t="s">
        <v>213</v>
      </c>
      <c r="M1712" s="53" t="s">
        <v>213</v>
      </c>
    </row>
    <row r="1713" spans="1:13" x14ac:dyDescent="0.3">
      <c r="A1713" s="37">
        <v>90</v>
      </c>
      <c r="B1713" s="38" t="s">
        <v>1191</v>
      </c>
      <c r="C1713" s="51">
        <v>7891268118100</v>
      </c>
      <c r="D1713" s="40" t="s">
        <v>1169</v>
      </c>
      <c r="E1713" s="40"/>
      <c r="F1713" s="40">
        <v>423</v>
      </c>
      <c r="G1713" s="38"/>
      <c r="H1713" s="38" t="s">
        <v>1185</v>
      </c>
      <c r="I1713" s="38" t="s">
        <v>1186</v>
      </c>
      <c r="J1713" s="38" t="s">
        <v>1014</v>
      </c>
      <c r="K1713" s="38" t="s">
        <v>1187</v>
      </c>
      <c r="L1713" s="52" t="s">
        <v>213</v>
      </c>
      <c r="M1713" s="53" t="s">
        <v>213</v>
      </c>
    </row>
    <row r="1714" spans="1:13" x14ac:dyDescent="0.3">
      <c r="A1714" s="37">
        <v>90</v>
      </c>
      <c r="B1714" s="38" t="s">
        <v>1190</v>
      </c>
      <c r="C1714" s="51">
        <v>7891268118100</v>
      </c>
      <c r="D1714" s="40" t="s">
        <v>1169</v>
      </c>
      <c r="E1714" s="40"/>
      <c r="F1714" s="40">
        <v>430</v>
      </c>
      <c r="G1714" s="38"/>
      <c r="H1714" s="38" t="s">
        <v>1192</v>
      </c>
      <c r="I1714" s="38" t="s">
        <v>1193</v>
      </c>
      <c r="J1714" s="38" t="s">
        <v>1166</v>
      </c>
      <c r="K1714" s="56">
        <v>0.43</v>
      </c>
      <c r="L1714" s="52" t="s">
        <v>213</v>
      </c>
      <c r="M1714" s="53" t="s">
        <v>213</v>
      </c>
    </row>
    <row r="1715" spans="1:13" x14ac:dyDescent="0.3">
      <c r="A1715" s="37">
        <v>90</v>
      </c>
      <c r="B1715" s="38" t="s">
        <v>1191</v>
      </c>
      <c r="C1715" s="51">
        <v>7891268118100</v>
      </c>
      <c r="D1715" s="40" t="s">
        <v>1169</v>
      </c>
      <c r="E1715" s="40"/>
      <c r="F1715" s="40">
        <v>430</v>
      </c>
      <c r="G1715" s="38"/>
      <c r="H1715" s="38" t="s">
        <v>1192</v>
      </c>
      <c r="I1715" s="38" t="s">
        <v>1193</v>
      </c>
      <c r="J1715" s="38" t="s">
        <v>1166</v>
      </c>
      <c r="K1715" s="56">
        <v>0.43</v>
      </c>
      <c r="L1715" s="52" t="s">
        <v>213</v>
      </c>
      <c r="M1715" s="53" t="s">
        <v>213</v>
      </c>
    </row>
    <row r="1716" spans="1:13" x14ac:dyDescent="0.3">
      <c r="A1716" s="37">
        <v>90</v>
      </c>
      <c r="B1716" s="38" t="s">
        <v>1190</v>
      </c>
      <c r="C1716" s="51">
        <v>7891268118100</v>
      </c>
      <c r="D1716" s="40" t="s">
        <v>1169</v>
      </c>
      <c r="E1716" s="40"/>
      <c r="F1716" s="40">
        <v>929</v>
      </c>
      <c r="G1716" s="38"/>
      <c r="H1716" s="38" t="s">
        <v>1189</v>
      </c>
      <c r="I1716" s="38" t="s">
        <v>1186</v>
      </c>
      <c r="J1716" s="38" t="s">
        <v>1014</v>
      </c>
      <c r="K1716" s="38" t="s">
        <v>1187</v>
      </c>
      <c r="L1716" s="52" t="s">
        <v>213</v>
      </c>
      <c r="M1716" s="53" t="s">
        <v>213</v>
      </c>
    </row>
    <row r="1717" spans="1:13" x14ac:dyDescent="0.3">
      <c r="A1717" s="37">
        <v>90</v>
      </c>
      <c r="B1717" s="38" t="s">
        <v>1191</v>
      </c>
      <c r="C1717" s="51">
        <v>7891268118100</v>
      </c>
      <c r="D1717" s="40" t="s">
        <v>1169</v>
      </c>
      <c r="E1717" s="40"/>
      <c r="F1717" s="40">
        <v>929</v>
      </c>
      <c r="G1717" s="38"/>
      <c r="H1717" s="38" t="s">
        <v>1189</v>
      </c>
      <c r="I1717" s="38" t="s">
        <v>1186</v>
      </c>
      <c r="J1717" s="38" t="s">
        <v>1014</v>
      </c>
      <c r="K1717" s="38" t="s">
        <v>1187</v>
      </c>
      <c r="L1717" s="52" t="s">
        <v>213</v>
      </c>
      <c r="M1717" s="53" t="s">
        <v>213</v>
      </c>
    </row>
    <row r="1718" spans="1:13" x14ac:dyDescent="0.3">
      <c r="A1718" s="37">
        <v>90</v>
      </c>
      <c r="B1718" s="38" t="s">
        <v>1194</v>
      </c>
      <c r="C1718" s="51">
        <v>7891268148725</v>
      </c>
      <c r="D1718" s="40" t="s">
        <v>1169</v>
      </c>
      <c r="E1718" s="40"/>
      <c r="F1718" s="40">
        <v>232</v>
      </c>
      <c r="G1718" s="38"/>
      <c r="H1718" s="38" t="s">
        <v>1195</v>
      </c>
      <c r="I1718" s="38" t="s">
        <v>424</v>
      </c>
      <c r="J1718" s="38" t="s">
        <v>947</v>
      </c>
      <c r="K1718" s="56">
        <v>0.28000000000000003</v>
      </c>
      <c r="L1718" s="52" t="s">
        <v>213</v>
      </c>
      <c r="M1718" s="53" t="s">
        <v>213</v>
      </c>
    </row>
    <row r="1719" spans="1:13" x14ac:dyDescent="0.3">
      <c r="A1719" s="37">
        <v>90</v>
      </c>
      <c r="B1719" s="38" t="s">
        <v>1196</v>
      </c>
      <c r="C1719" s="51">
        <v>7891268148725</v>
      </c>
      <c r="D1719" s="40" t="s">
        <v>1169</v>
      </c>
      <c r="E1719" s="40"/>
      <c r="F1719" s="40">
        <v>232</v>
      </c>
      <c r="G1719" s="38"/>
      <c r="H1719" s="38" t="s">
        <v>1195</v>
      </c>
      <c r="I1719" s="38" t="s">
        <v>424</v>
      </c>
      <c r="J1719" s="38" t="s">
        <v>947</v>
      </c>
      <c r="K1719" s="56">
        <v>0.28000000000000003</v>
      </c>
      <c r="L1719" s="52" t="s">
        <v>213</v>
      </c>
      <c r="M1719" s="53" t="s">
        <v>213</v>
      </c>
    </row>
    <row r="1720" spans="1:13" x14ac:dyDescent="0.3">
      <c r="A1720" s="37">
        <v>90</v>
      </c>
      <c r="B1720" s="38" t="s">
        <v>1197</v>
      </c>
      <c r="C1720" s="51">
        <v>7891268148725</v>
      </c>
      <c r="D1720" s="40" t="s">
        <v>1169</v>
      </c>
      <c r="E1720" s="40"/>
      <c r="F1720" s="40">
        <v>232</v>
      </c>
      <c r="G1720" s="38"/>
      <c r="H1720" s="38" t="s">
        <v>1195</v>
      </c>
      <c r="I1720" s="38" t="s">
        <v>424</v>
      </c>
      <c r="J1720" s="38" t="s">
        <v>947</v>
      </c>
      <c r="K1720" s="56">
        <v>0.28000000000000003</v>
      </c>
      <c r="L1720" s="52" t="s">
        <v>213</v>
      </c>
      <c r="M1720" s="53" t="s">
        <v>213</v>
      </c>
    </row>
    <row r="1721" spans="1:13" x14ac:dyDescent="0.3">
      <c r="A1721" s="37">
        <v>90</v>
      </c>
      <c r="B1721" s="38" t="s">
        <v>1198</v>
      </c>
      <c r="C1721" s="51">
        <v>7891268148756</v>
      </c>
      <c r="D1721" s="40" t="s">
        <v>1169</v>
      </c>
      <c r="E1721" s="40"/>
      <c r="F1721" s="40">
        <v>232</v>
      </c>
      <c r="G1721" s="38"/>
      <c r="H1721" s="38" t="s">
        <v>1195</v>
      </c>
      <c r="I1721" s="38" t="s">
        <v>424</v>
      </c>
      <c r="J1721" s="38" t="s">
        <v>947</v>
      </c>
      <c r="K1721" s="56">
        <v>0.38</v>
      </c>
      <c r="L1721" s="52" t="s">
        <v>213</v>
      </c>
      <c r="M1721" s="53" t="s">
        <v>213</v>
      </c>
    </row>
    <row r="1722" spans="1:13" x14ac:dyDescent="0.3">
      <c r="A1722" s="37">
        <v>90</v>
      </c>
      <c r="B1722" s="38" t="s">
        <v>1199</v>
      </c>
      <c r="C1722" s="51">
        <v>7891268148756</v>
      </c>
      <c r="D1722" s="40" t="s">
        <v>1169</v>
      </c>
      <c r="E1722" s="40"/>
      <c r="F1722" s="40">
        <v>232</v>
      </c>
      <c r="G1722" s="38"/>
      <c r="H1722" s="38" t="s">
        <v>1195</v>
      </c>
      <c r="I1722" s="38" t="s">
        <v>424</v>
      </c>
      <c r="J1722" s="38" t="s">
        <v>947</v>
      </c>
      <c r="K1722" s="56">
        <v>0.38</v>
      </c>
      <c r="L1722" s="52" t="s">
        <v>213</v>
      </c>
      <c r="M1722" s="53" t="s">
        <v>213</v>
      </c>
    </row>
    <row r="1723" spans="1:13" x14ac:dyDescent="0.3">
      <c r="A1723" s="37">
        <v>90</v>
      </c>
      <c r="B1723" s="38" t="s">
        <v>1200</v>
      </c>
      <c r="C1723" s="51">
        <v>7891268148756</v>
      </c>
      <c r="D1723" s="40" t="s">
        <v>1169</v>
      </c>
      <c r="E1723" s="40"/>
      <c r="F1723" s="40">
        <v>232</v>
      </c>
      <c r="G1723" s="38"/>
      <c r="H1723" s="38" t="s">
        <v>1195</v>
      </c>
      <c r="I1723" s="38" t="s">
        <v>424</v>
      </c>
      <c r="J1723" s="38" t="s">
        <v>947</v>
      </c>
      <c r="K1723" s="56">
        <v>0.38</v>
      </c>
      <c r="L1723" s="52" t="s">
        <v>213</v>
      </c>
      <c r="M1723" s="53" t="s">
        <v>213</v>
      </c>
    </row>
    <row r="1724" spans="1:13" x14ac:dyDescent="0.3">
      <c r="A1724" s="37">
        <v>90</v>
      </c>
      <c r="B1724" s="38" t="s">
        <v>1201</v>
      </c>
      <c r="C1724" s="51">
        <v>7891268148800</v>
      </c>
      <c r="D1724" s="40" t="s">
        <v>1169</v>
      </c>
      <c r="E1724" s="40"/>
      <c r="F1724" s="40">
        <v>232</v>
      </c>
      <c r="G1724" s="38"/>
      <c r="H1724" s="38" t="s">
        <v>1195</v>
      </c>
      <c r="I1724" s="38" t="s">
        <v>424</v>
      </c>
      <c r="J1724" s="38" t="s">
        <v>947</v>
      </c>
      <c r="K1724" s="56">
        <v>0.26</v>
      </c>
      <c r="L1724" s="52" t="s">
        <v>213</v>
      </c>
      <c r="M1724" s="53" t="s">
        <v>213</v>
      </c>
    </row>
    <row r="1725" spans="1:13" x14ac:dyDescent="0.3">
      <c r="A1725" s="37">
        <v>90</v>
      </c>
      <c r="B1725" s="38" t="s">
        <v>1202</v>
      </c>
      <c r="C1725" s="51">
        <v>7891268148800</v>
      </c>
      <c r="D1725" s="40" t="s">
        <v>1169</v>
      </c>
      <c r="E1725" s="40"/>
      <c r="F1725" s="40">
        <v>232</v>
      </c>
      <c r="G1725" s="38"/>
      <c r="H1725" s="38" t="s">
        <v>1195</v>
      </c>
      <c r="I1725" s="38" t="s">
        <v>424</v>
      </c>
      <c r="J1725" s="38" t="s">
        <v>947</v>
      </c>
      <c r="K1725" s="56">
        <v>0.26</v>
      </c>
      <c r="L1725" s="52" t="s">
        <v>213</v>
      </c>
      <c r="M1725" s="53" t="s">
        <v>213</v>
      </c>
    </row>
    <row r="1726" spans="1:13" x14ac:dyDescent="0.3">
      <c r="A1726" s="37">
        <v>90</v>
      </c>
      <c r="B1726" s="38" t="s">
        <v>1203</v>
      </c>
      <c r="C1726" s="51">
        <v>7891268148800</v>
      </c>
      <c r="D1726" s="40" t="s">
        <v>1169</v>
      </c>
      <c r="E1726" s="40"/>
      <c r="F1726" s="40">
        <v>232</v>
      </c>
      <c r="G1726" s="38"/>
      <c r="H1726" s="38" t="s">
        <v>1195</v>
      </c>
      <c r="I1726" s="38" t="s">
        <v>424</v>
      </c>
      <c r="J1726" s="38" t="s">
        <v>947</v>
      </c>
      <c r="K1726" s="56">
        <v>0.26</v>
      </c>
      <c r="L1726" s="52" t="s">
        <v>213</v>
      </c>
      <c r="M1726" s="53" t="s">
        <v>213</v>
      </c>
    </row>
    <row r="1727" spans="1:13" x14ac:dyDescent="0.3">
      <c r="A1727" s="37">
        <v>90</v>
      </c>
      <c r="B1727" s="38" t="s">
        <v>1204</v>
      </c>
      <c r="C1727" s="51">
        <v>7891268148831</v>
      </c>
      <c r="D1727" s="40" t="s">
        <v>1169</v>
      </c>
      <c r="E1727" s="40"/>
      <c r="F1727" s="40">
        <v>232</v>
      </c>
      <c r="G1727" s="38"/>
      <c r="H1727" s="38" t="s">
        <v>1195</v>
      </c>
      <c r="I1727" s="38" t="s">
        <v>424</v>
      </c>
      <c r="J1727" s="38" t="s">
        <v>947</v>
      </c>
      <c r="K1727" s="56">
        <v>0.35</v>
      </c>
      <c r="L1727" s="52" t="s">
        <v>213</v>
      </c>
      <c r="M1727" s="53" t="s">
        <v>213</v>
      </c>
    </row>
    <row r="1728" spans="1:13" x14ac:dyDescent="0.3">
      <c r="A1728" s="37">
        <v>90</v>
      </c>
      <c r="B1728" s="38" t="s">
        <v>1205</v>
      </c>
      <c r="C1728" s="51">
        <v>7891268148831</v>
      </c>
      <c r="D1728" s="40" t="s">
        <v>1169</v>
      </c>
      <c r="E1728" s="40"/>
      <c r="F1728" s="40">
        <v>232</v>
      </c>
      <c r="G1728" s="38"/>
      <c r="H1728" s="38" t="s">
        <v>1195</v>
      </c>
      <c r="I1728" s="38" t="s">
        <v>424</v>
      </c>
      <c r="J1728" s="38" t="s">
        <v>947</v>
      </c>
      <c r="K1728" s="56">
        <v>0.35</v>
      </c>
      <c r="L1728" s="52" t="s">
        <v>213</v>
      </c>
      <c r="M1728" s="53" t="s">
        <v>213</v>
      </c>
    </row>
    <row r="1729" spans="1:13" x14ac:dyDescent="0.3">
      <c r="A1729" s="37">
        <v>90</v>
      </c>
      <c r="B1729" s="38" t="s">
        <v>1206</v>
      </c>
      <c r="C1729" s="51">
        <v>7891268148862</v>
      </c>
      <c r="D1729" s="40" t="s">
        <v>1169</v>
      </c>
      <c r="E1729" s="40"/>
      <c r="F1729" s="40">
        <v>232</v>
      </c>
      <c r="G1729" s="38"/>
      <c r="H1729" s="38" t="s">
        <v>1195</v>
      </c>
      <c r="I1729" s="38" t="s">
        <v>424</v>
      </c>
      <c r="J1729" s="38" t="s">
        <v>947</v>
      </c>
      <c r="K1729" s="56">
        <v>0</v>
      </c>
      <c r="L1729" s="52" t="s">
        <v>213</v>
      </c>
      <c r="M1729" s="53" t="s">
        <v>213</v>
      </c>
    </row>
    <row r="1730" spans="1:13" x14ac:dyDescent="0.3">
      <c r="A1730" s="37">
        <v>90</v>
      </c>
      <c r="B1730" s="38" t="s">
        <v>1207</v>
      </c>
      <c r="C1730" s="51">
        <v>7891268148862</v>
      </c>
      <c r="D1730" s="40" t="s">
        <v>1169</v>
      </c>
      <c r="E1730" s="40"/>
      <c r="F1730" s="40">
        <v>232</v>
      </c>
      <c r="G1730" s="38"/>
      <c r="H1730" s="38" t="s">
        <v>1195</v>
      </c>
      <c r="I1730" s="38" t="s">
        <v>424</v>
      </c>
      <c r="J1730" s="38" t="s">
        <v>947</v>
      </c>
      <c r="K1730" s="56">
        <v>0</v>
      </c>
      <c r="L1730" s="52" t="s">
        <v>213</v>
      </c>
      <c r="M1730" s="53" t="s">
        <v>213</v>
      </c>
    </row>
    <row r="1731" spans="1:13" x14ac:dyDescent="0.3">
      <c r="A1731" s="37">
        <v>90</v>
      </c>
      <c r="B1731" s="38" t="s">
        <v>1208</v>
      </c>
      <c r="C1731" s="51">
        <v>7891268148862</v>
      </c>
      <c r="D1731" s="40" t="s">
        <v>1169</v>
      </c>
      <c r="E1731" s="40"/>
      <c r="F1731" s="40">
        <v>232</v>
      </c>
      <c r="G1731" s="38"/>
      <c r="H1731" s="38" t="s">
        <v>1195</v>
      </c>
      <c r="I1731" s="38" t="s">
        <v>424</v>
      </c>
      <c r="J1731" s="38" t="s">
        <v>947</v>
      </c>
      <c r="K1731" s="56">
        <v>0</v>
      </c>
      <c r="L1731" s="52" t="s">
        <v>213</v>
      </c>
      <c r="M1731" s="53" t="s">
        <v>213</v>
      </c>
    </row>
    <row r="1732" spans="1:13" x14ac:dyDescent="0.3">
      <c r="A1732" s="37">
        <v>90</v>
      </c>
      <c r="B1732" s="38" t="s">
        <v>1209</v>
      </c>
      <c r="C1732" s="51">
        <v>7891268148923</v>
      </c>
      <c r="D1732" s="40" t="s">
        <v>1169</v>
      </c>
      <c r="E1732" s="40"/>
      <c r="F1732" s="40">
        <v>232</v>
      </c>
      <c r="G1732" s="38"/>
      <c r="H1732" s="38" t="s">
        <v>1195</v>
      </c>
      <c r="I1732" s="38" t="s">
        <v>424</v>
      </c>
      <c r="J1732" s="38" t="s">
        <v>947</v>
      </c>
      <c r="K1732" s="56">
        <v>0</v>
      </c>
      <c r="L1732" s="52" t="s">
        <v>213</v>
      </c>
      <c r="M1732" s="53" t="s">
        <v>213</v>
      </c>
    </row>
    <row r="1733" spans="1:13" x14ac:dyDescent="0.3">
      <c r="A1733" s="37">
        <v>90</v>
      </c>
      <c r="B1733" s="38" t="s">
        <v>1210</v>
      </c>
      <c r="C1733" s="51">
        <v>7891268148923</v>
      </c>
      <c r="D1733" s="40" t="s">
        <v>1169</v>
      </c>
      <c r="E1733" s="40"/>
      <c r="F1733" s="40">
        <v>232</v>
      </c>
      <c r="G1733" s="38"/>
      <c r="H1733" s="38" t="s">
        <v>1195</v>
      </c>
      <c r="I1733" s="38" t="s">
        <v>424</v>
      </c>
      <c r="J1733" s="38" t="s">
        <v>947</v>
      </c>
      <c r="K1733" s="56">
        <v>0</v>
      </c>
      <c r="L1733" s="52" t="s">
        <v>213</v>
      </c>
      <c r="M1733" s="53" t="s">
        <v>213</v>
      </c>
    </row>
    <row r="1734" spans="1:13" x14ac:dyDescent="0.3">
      <c r="A1734" s="37">
        <v>90</v>
      </c>
      <c r="B1734" s="38" t="s">
        <v>1211</v>
      </c>
      <c r="C1734" s="51">
        <v>7891268148923</v>
      </c>
      <c r="D1734" s="40" t="s">
        <v>1169</v>
      </c>
      <c r="E1734" s="40"/>
      <c r="F1734" s="40">
        <v>232</v>
      </c>
      <c r="G1734" s="38"/>
      <c r="H1734" s="38" t="s">
        <v>1195</v>
      </c>
      <c r="I1734" s="38" t="s">
        <v>424</v>
      </c>
      <c r="J1734" s="38" t="s">
        <v>947</v>
      </c>
      <c r="K1734" s="56">
        <v>0</v>
      </c>
      <c r="L1734" s="52" t="s">
        <v>213</v>
      </c>
      <c r="M1734" s="53" t="s">
        <v>213</v>
      </c>
    </row>
    <row r="1735" spans="1:13" x14ac:dyDescent="0.3">
      <c r="A1735" s="37">
        <v>90</v>
      </c>
      <c r="B1735" s="38" t="s">
        <v>1212</v>
      </c>
      <c r="C1735" s="51">
        <v>7891268148961</v>
      </c>
      <c r="D1735" s="40" t="s">
        <v>1169</v>
      </c>
      <c r="E1735" s="40"/>
      <c r="F1735" s="40">
        <v>232</v>
      </c>
      <c r="G1735" s="38"/>
      <c r="H1735" s="38" t="s">
        <v>1195</v>
      </c>
      <c r="I1735" s="38" t="s">
        <v>424</v>
      </c>
      <c r="J1735" s="38" t="s">
        <v>947</v>
      </c>
      <c r="K1735" s="56">
        <v>0</v>
      </c>
      <c r="L1735" s="52" t="s">
        <v>213</v>
      </c>
      <c r="M1735" s="53" t="s">
        <v>213</v>
      </c>
    </row>
    <row r="1736" spans="1:13" x14ac:dyDescent="0.3">
      <c r="A1736" s="37">
        <v>90</v>
      </c>
      <c r="B1736" s="38" t="s">
        <v>1213</v>
      </c>
      <c r="C1736" s="51">
        <v>7891268148961</v>
      </c>
      <c r="D1736" s="40" t="s">
        <v>1169</v>
      </c>
      <c r="E1736" s="40"/>
      <c r="F1736" s="40">
        <v>232</v>
      </c>
      <c r="G1736" s="38"/>
      <c r="H1736" s="38" t="s">
        <v>1195</v>
      </c>
      <c r="I1736" s="38" t="s">
        <v>424</v>
      </c>
      <c r="J1736" s="38" t="s">
        <v>947</v>
      </c>
      <c r="K1736" s="56">
        <v>0</v>
      </c>
      <c r="L1736" s="52" t="s">
        <v>213</v>
      </c>
      <c r="M1736" s="53" t="s">
        <v>213</v>
      </c>
    </row>
    <row r="1737" spans="1:13" x14ac:dyDescent="0.3">
      <c r="A1737" s="37">
        <v>90</v>
      </c>
      <c r="B1737" s="38" t="s">
        <v>1214</v>
      </c>
      <c r="C1737" s="51">
        <v>7891268148961</v>
      </c>
      <c r="D1737" s="40" t="s">
        <v>1169</v>
      </c>
      <c r="E1737" s="40"/>
      <c r="F1737" s="40">
        <v>232</v>
      </c>
      <c r="G1737" s="38"/>
      <c r="H1737" s="38" t="s">
        <v>1195</v>
      </c>
      <c r="I1737" s="38" t="s">
        <v>424</v>
      </c>
      <c r="J1737" s="38" t="s">
        <v>947</v>
      </c>
      <c r="K1737" s="56">
        <v>0</v>
      </c>
      <c r="L1737" s="52" t="s">
        <v>213</v>
      </c>
      <c r="M1737" s="53" t="s">
        <v>213</v>
      </c>
    </row>
    <row r="1738" spans="1:13" x14ac:dyDescent="0.3">
      <c r="A1738" s="37">
        <v>90</v>
      </c>
      <c r="B1738" s="38" t="s">
        <v>1215</v>
      </c>
      <c r="C1738" s="51">
        <v>7891268149012</v>
      </c>
      <c r="D1738" s="40" t="s">
        <v>1169</v>
      </c>
      <c r="E1738" s="40"/>
      <c r="F1738" s="40">
        <v>232</v>
      </c>
      <c r="G1738" s="38"/>
      <c r="H1738" s="38" t="s">
        <v>1195</v>
      </c>
      <c r="I1738" s="38" t="s">
        <v>424</v>
      </c>
      <c r="J1738" s="38" t="s">
        <v>947</v>
      </c>
      <c r="K1738" s="56">
        <v>0</v>
      </c>
      <c r="L1738" s="52" t="s">
        <v>213</v>
      </c>
      <c r="M1738" s="53" t="s">
        <v>213</v>
      </c>
    </row>
    <row r="1739" spans="1:13" x14ac:dyDescent="0.3">
      <c r="A1739" s="37">
        <v>90</v>
      </c>
      <c r="B1739" s="38" t="s">
        <v>1216</v>
      </c>
      <c r="C1739" s="51">
        <v>7891268149012</v>
      </c>
      <c r="D1739" s="40" t="s">
        <v>1169</v>
      </c>
      <c r="E1739" s="40"/>
      <c r="F1739" s="40">
        <v>232</v>
      </c>
      <c r="G1739" s="38"/>
      <c r="H1739" s="38" t="s">
        <v>1195</v>
      </c>
      <c r="I1739" s="38" t="s">
        <v>424</v>
      </c>
      <c r="J1739" s="38" t="s">
        <v>947</v>
      </c>
      <c r="K1739" s="56">
        <v>0</v>
      </c>
      <c r="L1739" s="52" t="s">
        <v>213</v>
      </c>
      <c r="M1739" s="53" t="s">
        <v>213</v>
      </c>
    </row>
    <row r="1740" spans="1:13" x14ac:dyDescent="0.3">
      <c r="A1740" s="37">
        <v>52</v>
      </c>
      <c r="B1740" s="38" t="s">
        <v>1217</v>
      </c>
      <c r="C1740" s="51">
        <v>8902220114937</v>
      </c>
      <c r="D1740" s="40" t="s">
        <v>1218</v>
      </c>
      <c r="E1740" s="40"/>
      <c r="F1740" s="40">
        <v>583</v>
      </c>
      <c r="G1740" s="38"/>
      <c r="H1740" s="38" t="s">
        <v>1219</v>
      </c>
      <c r="I1740" s="38" t="s">
        <v>88</v>
      </c>
      <c r="J1740" s="38">
        <v>4</v>
      </c>
      <c r="K1740" s="56">
        <v>0.4</v>
      </c>
      <c r="L1740" s="52" t="s">
        <v>213</v>
      </c>
      <c r="M1740" s="53" t="s">
        <v>213</v>
      </c>
    </row>
    <row r="1741" spans="1:13" x14ac:dyDescent="0.3">
      <c r="A1741" s="37">
        <v>52</v>
      </c>
      <c r="B1741" s="38" t="s">
        <v>1220</v>
      </c>
      <c r="C1741" s="51">
        <v>8902220116214</v>
      </c>
      <c r="D1741" s="40" t="s">
        <v>1218</v>
      </c>
      <c r="E1741" s="40"/>
      <c r="F1741" s="40">
        <v>583</v>
      </c>
      <c r="G1741" s="38"/>
      <c r="H1741" s="38" t="s">
        <v>1219</v>
      </c>
      <c r="I1741" s="38" t="s">
        <v>88</v>
      </c>
      <c r="J1741" s="38">
        <v>4</v>
      </c>
      <c r="K1741" s="56">
        <v>0.4</v>
      </c>
      <c r="L1741" s="52" t="s">
        <v>213</v>
      </c>
      <c r="M1741" s="53" t="s">
        <v>213</v>
      </c>
    </row>
    <row r="1742" spans="1:13" x14ac:dyDescent="0.3">
      <c r="A1742" s="37">
        <v>45</v>
      </c>
      <c r="B1742" s="38" t="s">
        <v>1221</v>
      </c>
      <c r="C1742" s="51">
        <v>4030729003521</v>
      </c>
      <c r="D1742" s="40" t="s">
        <v>1222</v>
      </c>
      <c r="E1742" s="40"/>
      <c r="F1742" s="40">
        <v>508</v>
      </c>
      <c r="G1742" s="38"/>
      <c r="H1742" s="38" t="s">
        <v>1223</v>
      </c>
      <c r="I1742" s="38" t="s">
        <v>342</v>
      </c>
      <c r="J1742" s="38" t="s">
        <v>1224</v>
      </c>
      <c r="K1742" s="38" t="s">
        <v>749</v>
      </c>
      <c r="L1742" s="52" t="s">
        <v>213</v>
      </c>
      <c r="M1742" s="53" t="s">
        <v>213</v>
      </c>
    </row>
    <row r="1743" spans="1:13" x14ac:dyDescent="0.3">
      <c r="A1743" s="37">
        <v>45</v>
      </c>
      <c r="B1743" s="38" t="s">
        <v>1225</v>
      </c>
      <c r="C1743" s="51">
        <v>4030729003545</v>
      </c>
      <c r="D1743" s="40" t="s">
        <v>1222</v>
      </c>
      <c r="E1743" s="40"/>
      <c r="F1743" s="40">
        <v>508</v>
      </c>
      <c r="G1743" s="38"/>
      <c r="H1743" s="38" t="s">
        <v>1223</v>
      </c>
      <c r="I1743" s="38" t="s">
        <v>342</v>
      </c>
      <c r="J1743" s="38" t="s">
        <v>1224</v>
      </c>
      <c r="K1743" s="38" t="s">
        <v>1226</v>
      </c>
      <c r="L1743" s="52" t="s">
        <v>213</v>
      </c>
      <c r="M1743" s="53" t="s">
        <v>213</v>
      </c>
    </row>
    <row r="1744" spans="1:13" x14ac:dyDescent="0.3">
      <c r="A1744" s="37">
        <v>45</v>
      </c>
      <c r="B1744" s="38" t="s">
        <v>1227</v>
      </c>
      <c r="C1744" s="51">
        <v>4030729003569</v>
      </c>
      <c r="D1744" s="40" t="s">
        <v>1222</v>
      </c>
      <c r="E1744" s="40"/>
      <c r="F1744" s="40">
        <v>508</v>
      </c>
      <c r="G1744" s="38"/>
      <c r="H1744" s="38" t="s">
        <v>1223</v>
      </c>
      <c r="I1744" s="38" t="s">
        <v>342</v>
      </c>
      <c r="J1744" s="38" t="s">
        <v>1224</v>
      </c>
      <c r="K1744" s="38" t="s">
        <v>1228</v>
      </c>
      <c r="L1744" s="52" t="s">
        <v>213</v>
      </c>
      <c r="M1744" s="53" t="s">
        <v>213</v>
      </c>
    </row>
    <row r="1745" spans="1:13" x14ac:dyDescent="0.3">
      <c r="A1745" s="37">
        <v>45</v>
      </c>
      <c r="B1745" s="38" t="s">
        <v>1229</v>
      </c>
      <c r="C1745" s="51">
        <v>5413787003792</v>
      </c>
      <c r="D1745" s="40" t="s">
        <v>1222</v>
      </c>
      <c r="E1745" s="40"/>
      <c r="F1745" s="40">
        <v>507</v>
      </c>
      <c r="G1745" s="38"/>
      <c r="H1745" s="38" t="s">
        <v>1230</v>
      </c>
      <c r="I1745" s="38" t="s">
        <v>342</v>
      </c>
      <c r="J1745" s="38" t="s">
        <v>764</v>
      </c>
      <c r="K1745" s="38" t="s">
        <v>1231</v>
      </c>
      <c r="L1745" s="52" t="s">
        <v>213</v>
      </c>
      <c r="M1745" s="53" t="s">
        <v>213</v>
      </c>
    </row>
    <row r="1746" spans="1:13" x14ac:dyDescent="0.3">
      <c r="A1746" s="37">
        <v>45</v>
      </c>
      <c r="B1746" s="38" t="s">
        <v>1232</v>
      </c>
      <c r="C1746" s="51">
        <v>5413787004799</v>
      </c>
      <c r="D1746" s="40" t="s">
        <v>1222</v>
      </c>
      <c r="E1746" s="40"/>
      <c r="F1746" s="40">
        <v>507</v>
      </c>
      <c r="G1746" s="38"/>
      <c r="H1746" s="38" t="s">
        <v>1230</v>
      </c>
      <c r="I1746" s="38" t="s">
        <v>342</v>
      </c>
      <c r="J1746" s="38" t="s">
        <v>764</v>
      </c>
      <c r="K1746" s="38" t="s">
        <v>1233</v>
      </c>
      <c r="L1746" s="52" t="s">
        <v>213</v>
      </c>
      <c r="M1746" s="53" t="s">
        <v>213</v>
      </c>
    </row>
    <row r="1747" spans="1:13" x14ac:dyDescent="0.3">
      <c r="A1747" s="37">
        <v>45</v>
      </c>
      <c r="B1747" s="38" t="s">
        <v>1232</v>
      </c>
      <c r="C1747" s="51">
        <v>5413787004799</v>
      </c>
      <c r="D1747" s="40" t="s">
        <v>1222</v>
      </c>
      <c r="E1747" s="40"/>
      <c r="F1747" s="40">
        <v>943</v>
      </c>
      <c r="G1747" s="38"/>
      <c r="H1747" s="38" t="s">
        <v>1234</v>
      </c>
      <c r="I1747" s="38" t="s">
        <v>342</v>
      </c>
      <c r="J1747" s="38" t="s">
        <v>1235</v>
      </c>
      <c r="K1747" s="38" t="s">
        <v>1233</v>
      </c>
      <c r="L1747" s="52" t="s">
        <v>213</v>
      </c>
      <c r="M1747" s="53" t="s">
        <v>213</v>
      </c>
    </row>
    <row r="1748" spans="1:13" x14ac:dyDescent="0.3">
      <c r="A1748" s="37">
        <v>45</v>
      </c>
      <c r="B1748" s="38" t="s">
        <v>1236</v>
      </c>
      <c r="C1748" s="51">
        <v>5413787005796</v>
      </c>
      <c r="D1748" s="40" t="s">
        <v>1222</v>
      </c>
      <c r="E1748" s="40"/>
      <c r="F1748" s="40">
        <v>507</v>
      </c>
      <c r="G1748" s="38"/>
      <c r="H1748" s="38" t="s">
        <v>1230</v>
      </c>
      <c r="I1748" s="38" t="s">
        <v>342</v>
      </c>
      <c r="J1748" s="38" t="s">
        <v>764</v>
      </c>
      <c r="K1748" s="38" t="s">
        <v>1233</v>
      </c>
      <c r="L1748" s="52" t="s">
        <v>213</v>
      </c>
      <c r="M1748" s="53" t="s">
        <v>213</v>
      </c>
    </row>
    <row r="1749" spans="1:13" x14ac:dyDescent="0.3">
      <c r="A1749" s="37">
        <v>45</v>
      </c>
      <c r="B1749" s="38" t="s">
        <v>1237</v>
      </c>
      <c r="C1749" s="51">
        <v>5413787006793</v>
      </c>
      <c r="D1749" s="40" t="s">
        <v>1222</v>
      </c>
      <c r="E1749" s="40"/>
      <c r="F1749" s="40">
        <v>507</v>
      </c>
      <c r="G1749" s="38"/>
      <c r="H1749" s="38" t="s">
        <v>1230</v>
      </c>
      <c r="I1749" s="38" t="s">
        <v>342</v>
      </c>
      <c r="J1749" s="38" t="s">
        <v>764</v>
      </c>
      <c r="K1749" s="38" t="s">
        <v>749</v>
      </c>
      <c r="L1749" s="52" t="s">
        <v>213</v>
      </c>
      <c r="M1749" s="53" t="s">
        <v>213</v>
      </c>
    </row>
    <row r="1750" spans="1:13" x14ac:dyDescent="0.3">
      <c r="A1750" s="37">
        <v>45</v>
      </c>
      <c r="B1750" s="38" t="s">
        <v>1238</v>
      </c>
      <c r="C1750" s="51">
        <v>5413787008797</v>
      </c>
      <c r="D1750" s="40" t="s">
        <v>1222</v>
      </c>
      <c r="E1750" s="40"/>
      <c r="F1750" s="40">
        <v>388</v>
      </c>
      <c r="G1750" s="38"/>
      <c r="H1750" s="38" t="s">
        <v>1239</v>
      </c>
      <c r="I1750" s="38" t="s">
        <v>342</v>
      </c>
      <c r="J1750" s="38" t="s">
        <v>764</v>
      </c>
      <c r="K1750" s="38" t="s">
        <v>1240</v>
      </c>
      <c r="L1750" s="52" t="s">
        <v>213</v>
      </c>
      <c r="M1750" s="53" t="s">
        <v>213</v>
      </c>
    </row>
    <row r="1751" spans="1:13" x14ac:dyDescent="0.3">
      <c r="A1751" s="37">
        <v>45</v>
      </c>
      <c r="B1751" s="38" t="s">
        <v>1241</v>
      </c>
      <c r="C1751" s="51">
        <v>5413787010790</v>
      </c>
      <c r="D1751" s="40" t="s">
        <v>1222</v>
      </c>
      <c r="E1751" s="40"/>
      <c r="F1751" s="40">
        <v>388</v>
      </c>
      <c r="G1751" s="38"/>
      <c r="H1751" s="38" t="s">
        <v>1239</v>
      </c>
      <c r="I1751" s="38" t="s">
        <v>342</v>
      </c>
      <c r="J1751" s="38" t="s">
        <v>764</v>
      </c>
      <c r="K1751" s="38" t="s">
        <v>1242</v>
      </c>
      <c r="L1751" s="52" t="s">
        <v>213</v>
      </c>
      <c r="M1751" s="53" t="s">
        <v>213</v>
      </c>
    </row>
    <row r="1752" spans="1:13" x14ac:dyDescent="0.3">
      <c r="A1752" s="37">
        <v>45</v>
      </c>
      <c r="B1752" s="38" t="s">
        <v>1243</v>
      </c>
      <c r="C1752" s="51">
        <v>5413787012794</v>
      </c>
      <c r="D1752" s="40" t="s">
        <v>1222</v>
      </c>
      <c r="E1752" s="40"/>
      <c r="F1752" s="40">
        <v>388</v>
      </c>
      <c r="G1752" s="38"/>
      <c r="H1752" s="38" t="s">
        <v>1239</v>
      </c>
      <c r="I1752" s="38" t="s">
        <v>342</v>
      </c>
      <c r="J1752" s="38" t="s">
        <v>764</v>
      </c>
      <c r="K1752" s="38" t="s">
        <v>1244</v>
      </c>
      <c r="L1752" s="52" t="s">
        <v>213</v>
      </c>
      <c r="M1752" s="53" t="s">
        <v>213</v>
      </c>
    </row>
    <row r="1753" spans="1:13" x14ac:dyDescent="0.3">
      <c r="A1753" s="37">
        <v>87</v>
      </c>
      <c r="B1753" s="38" t="s">
        <v>1245</v>
      </c>
      <c r="C1753" s="51">
        <v>7896004734057</v>
      </c>
      <c r="D1753" s="40" t="s">
        <v>1246</v>
      </c>
      <c r="E1753" s="40"/>
      <c r="F1753" s="40">
        <v>962</v>
      </c>
      <c r="G1753" s="38"/>
      <c r="H1753" s="38" t="s">
        <v>1247</v>
      </c>
      <c r="I1753" s="38" t="s">
        <v>88</v>
      </c>
      <c r="J1753" s="38">
        <v>3</v>
      </c>
      <c r="K1753" s="56">
        <v>0.3</v>
      </c>
      <c r="L1753" s="52" t="s">
        <v>213</v>
      </c>
      <c r="M1753" s="53" t="s">
        <v>213</v>
      </c>
    </row>
    <row r="1754" spans="1:13" x14ac:dyDescent="0.3">
      <c r="A1754" s="37">
        <v>87</v>
      </c>
      <c r="B1754" s="38" t="s">
        <v>1248</v>
      </c>
      <c r="C1754" s="51">
        <v>7896004734064</v>
      </c>
      <c r="D1754" s="40" t="s">
        <v>1246</v>
      </c>
      <c r="E1754" s="40"/>
      <c r="F1754" s="40">
        <v>962</v>
      </c>
      <c r="G1754" s="38"/>
      <c r="H1754" s="38" t="s">
        <v>1247</v>
      </c>
      <c r="I1754" s="38" t="s">
        <v>88</v>
      </c>
      <c r="J1754" s="38">
        <v>3</v>
      </c>
      <c r="K1754" s="56">
        <v>0.3</v>
      </c>
      <c r="L1754" s="52" t="s">
        <v>213</v>
      </c>
      <c r="M1754" s="53" t="s">
        <v>213</v>
      </c>
    </row>
    <row r="1755" spans="1:13" x14ac:dyDescent="0.3">
      <c r="A1755" s="37">
        <v>87</v>
      </c>
      <c r="B1755" s="38" t="s">
        <v>1248</v>
      </c>
      <c r="C1755" s="51">
        <v>7896004734064</v>
      </c>
      <c r="D1755" s="40" t="s">
        <v>1246</v>
      </c>
      <c r="E1755" s="40"/>
      <c r="F1755" s="40">
        <v>967</v>
      </c>
      <c r="G1755" s="38"/>
      <c r="H1755" s="38" t="s">
        <v>1249</v>
      </c>
      <c r="I1755" s="38" t="s">
        <v>88</v>
      </c>
      <c r="J1755" s="38">
        <v>3</v>
      </c>
      <c r="K1755" s="56">
        <v>0.99990000000000001</v>
      </c>
      <c r="L1755" s="52" t="s">
        <v>213</v>
      </c>
      <c r="M1755" s="53" t="s">
        <v>213</v>
      </c>
    </row>
    <row r="1756" spans="1:13" x14ac:dyDescent="0.3">
      <c r="A1756" s="37">
        <v>87</v>
      </c>
      <c r="B1756" s="38" t="s">
        <v>1250</v>
      </c>
      <c r="C1756" s="51">
        <v>7896004745053</v>
      </c>
      <c r="D1756" s="40" t="s">
        <v>1246</v>
      </c>
      <c r="E1756" s="40"/>
      <c r="F1756" s="40">
        <v>964</v>
      </c>
      <c r="G1756" s="38"/>
      <c r="H1756" s="38" t="s">
        <v>1251</v>
      </c>
      <c r="I1756" s="38" t="s">
        <v>88</v>
      </c>
      <c r="J1756" s="38">
        <v>2</v>
      </c>
      <c r="K1756" s="56">
        <v>0.44</v>
      </c>
      <c r="L1756" s="52" t="s">
        <v>213</v>
      </c>
      <c r="M1756" s="53" t="s">
        <v>213</v>
      </c>
    </row>
    <row r="1757" spans="1:13" x14ac:dyDescent="0.3">
      <c r="A1757" s="37">
        <v>87</v>
      </c>
      <c r="B1757" s="38" t="s">
        <v>1252</v>
      </c>
      <c r="C1757" s="51">
        <v>7896004758480</v>
      </c>
      <c r="D1757" s="40" t="s">
        <v>1246</v>
      </c>
      <c r="E1757" s="40"/>
      <c r="F1757" s="40">
        <v>664</v>
      </c>
      <c r="G1757" s="38"/>
      <c r="H1757" s="38" t="s">
        <v>1253</v>
      </c>
      <c r="I1757" s="38" t="s">
        <v>1254</v>
      </c>
      <c r="J1757" s="38">
        <v>6</v>
      </c>
      <c r="K1757" s="38" t="s">
        <v>1255</v>
      </c>
      <c r="L1757" s="52" t="s">
        <v>213</v>
      </c>
      <c r="M1757" s="53" t="s">
        <v>213</v>
      </c>
    </row>
    <row r="1758" spans="1:13" x14ac:dyDescent="0.3">
      <c r="A1758" s="37">
        <v>87</v>
      </c>
      <c r="B1758" s="38" t="s">
        <v>1256</v>
      </c>
      <c r="C1758" s="51">
        <v>7896004759517</v>
      </c>
      <c r="D1758" s="40" t="s">
        <v>1246</v>
      </c>
      <c r="E1758" s="40"/>
      <c r="F1758" s="40">
        <v>964</v>
      </c>
      <c r="G1758" s="38"/>
      <c r="H1758" s="38" t="s">
        <v>1251</v>
      </c>
      <c r="I1758" s="38" t="s">
        <v>88</v>
      </c>
      <c r="J1758" s="38">
        <v>2</v>
      </c>
      <c r="K1758" s="56">
        <v>0.38</v>
      </c>
      <c r="L1758" s="52" t="s">
        <v>213</v>
      </c>
      <c r="M1758" s="53" t="s">
        <v>213</v>
      </c>
    </row>
    <row r="1759" spans="1:13" x14ac:dyDescent="0.3">
      <c r="A1759" s="37">
        <v>87</v>
      </c>
      <c r="B1759" s="38" t="s">
        <v>1257</v>
      </c>
      <c r="C1759" s="51">
        <v>7896004819709</v>
      </c>
      <c r="D1759" s="40" t="s">
        <v>1246</v>
      </c>
      <c r="E1759" s="40"/>
      <c r="F1759" s="40">
        <v>963</v>
      </c>
      <c r="G1759" s="38"/>
      <c r="H1759" s="38" t="s">
        <v>1258</v>
      </c>
      <c r="I1759" s="38" t="s">
        <v>286</v>
      </c>
      <c r="J1759" s="38">
        <v>2</v>
      </c>
      <c r="K1759" s="38">
        <v>138</v>
      </c>
      <c r="L1759" s="52" t="s">
        <v>213</v>
      </c>
      <c r="M1759" s="53" t="s">
        <v>213</v>
      </c>
    </row>
    <row r="1760" spans="1:13" x14ac:dyDescent="0.3">
      <c r="A1760" s="37">
        <v>87</v>
      </c>
      <c r="B1760" s="38" t="s">
        <v>1259</v>
      </c>
      <c r="C1760" s="51">
        <v>7896004819716</v>
      </c>
      <c r="D1760" s="40" t="s">
        <v>1246</v>
      </c>
      <c r="E1760" s="40"/>
      <c r="F1760" s="40">
        <v>963</v>
      </c>
      <c r="G1760" s="38"/>
      <c r="H1760" s="38" t="s">
        <v>1258</v>
      </c>
      <c r="I1760" s="38" t="s">
        <v>286</v>
      </c>
      <c r="J1760" s="38">
        <v>2</v>
      </c>
      <c r="K1760" s="38">
        <v>299</v>
      </c>
      <c r="L1760" s="52" t="s">
        <v>213</v>
      </c>
      <c r="M1760" s="53" t="s">
        <v>213</v>
      </c>
    </row>
    <row r="1761" spans="1:13" x14ac:dyDescent="0.3">
      <c r="A1761" s="37">
        <v>87</v>
      </c>
      <c r="B1761" s="38" t="s">
        <v>1260</v>
      </c>
      <c r="C1761" s="51">
        <v>7896004819914</v>
      </c>
      <c r="D1761" s="40" t="s">
        <v>1246</v>
      </c>
      <c r="E1761" s="40"/>
      <c r="F1761" s="40">
        <v>980</v>
      </c>
      <c r="G1761" s="38"/>
      <c r="H1761" s="38" t="s">
        <v>1261</v>
      </c>
      <c r="I1761" s="38" t="s">
        <v>480</v>
      </c>
      <c r="J1761" s="49" t="s">
        <v>213</v>
      </c>
      <c r="K1761" s="38" t="s">
        <v>480</v>
      </c>
      <c r="L1761" s="49" t="s">
        <v>213</v>
      </c>
      <c r="M1761" s="54" t="s">
        <v>213</v>
      </c>
    </row>
    <row r="1762" spans="1:13" x14ac:dyDescent="0.3">
      <c r="A1762" s="37">
        <v>87</v>
      </c>
      <c r="B1762" s="38" t="s">
        <v>1262</v>
      </c>
      <c r="C1762" s="51">
        <v>7896004819921</v>
      </c>
      <c r="D1762" s="40" t="s">
        <v>1246</v>
      </c>
      <c r="E1762" s="40"/>
      <c r="F1762" s="40">
        <v>979</v>
      </c>
      <c r="G1762" s="38"/>
      <c r="H1762" s="38" t="s">
        <v>1263</v>
      </c>
      <c r="I1762" s="38" t="s">
        <v>480</v>
      </c>
      <c r="J1762" s="49" t="s">
        <v>213</v>
      </c>
      <c r="K1762" s="38" t="s">
        <v>480</v>
      </c>
      <c r="L1762" s="49" t="s">
        <v>213</v>
      </c>
      <c r="M1762" s="54" t="s">
        <v>213</v>
      </c>
    </row>
    <row r="1763" spans="1:13" x14ac:dyDescent="0.3">
      <c r="A1763" s="37">
        <v>24</v>
      </c>
      <c r="B1763" s="38" t="s">
        <v>1264</v>
      </c>
      <c r="C1763" s="51">
        <v>7891045013611</v>
      </c>
      <c r="D1763" s="40" t="s">
        <v>74</v>
      </c>
      <c r="E1763" s="40"/>
      <c r="F1763" s="40">
        <v>463</v>
      </c>
      <c r="G1763" s="38"/>
      <c r="H1763" s="38" t="s">
        <v>1265</v>
      </c>
      <c r="I1763" s="38" t="s">
        <v>424</v>
      </c>
      <c r="J1763" s="38" t="s">
        <v>947</v>
      </c>
      <c r="K1763" s="56">
        <v>0.2</v>
      </c>
      <c r="L1763" s="52" t="s">
        <v>213</v>
      </c>
      <c r="M1763" s="53" t="s">
        <v>213</v>
      </c>
    </row>
    <row r="1764" spans="1:13" x14ac:dyDescent="0.3">
      <c r="A1764" s="37">
        <v>24</v>
      </c>
      <c r="B1764" s="38" t="s">
        <v>1266</v>
      </c>
      <c r="C1764" s="51">
        <v>7891045013611</v>
      </c>
      <c r="D1764" s="40" t="s">
        <v>74</v>
      </c>
      <c r="E1764" s="40"/>
      <c r="F1764" s="40">
        <v>463</v>
      </c>
      <c r="G1764" s="38"/>
      <c r="H1764" s="38" t="s">
        <v>1265</v>
      </c>
      <c r="I1764" s="38" t="s">
        <v>424</v>
      </c>
      <c r="J1764" s="38" t="s">
        <v>947</v>
      </c>
      <c r="K1764" s="56">
        <v>0.2</v>
      </c>
      <c r="L1764" s="52" t="s">
        <v>213</v>
      </c>
      <c r="M1764" s="53" t="s">
        <v>213</v>
      </c>
    </row>
    <row r="1765" spans="1:13" x14ac:dyDescent="0.3">
      <c r="A1765" s="37">
        <v>24</v>
      </c>
      <c r="B1765" s="38" t="s">
        <v>1264</v>
      </c>
      <c r="C1765" s="51">
        <v>7891045013611</v>
      </c>
      <c r="D1765" s="40" t="s">
        <v>74</v>
      </c>
      <c r="E1765" s="40"/>
      <c r="F1765" s="40">
        <v>693</v>
      </c>
      <c r="G1765" s="38"/>
      <c r="H1765" s="38" t="s">
        <v>1267</v>
      </c>
      <c r="I1765" s="38" t="s">
        <v>424</v>
      </c>
      <c r="J1765" s="38" t="s">
        <v>947</v>
      </c>
      <c r="K1765" s="56">
        <v>0.44</v>
      </c>
      <c r="L1765" s="52" t="s">
        <v>213</v>
      </c>
      <c r="M1765" s="53" t="s">
        <v>213</v>
      </c>
    </row>
    <row r="1766" spans="1:13" x14ac:dyDescent="0.3">
      <c r="A1766" s="37">
        <v>24</v>
      </c>
      <c r="B1766" s="38" t="s">
        <v>1266</v>
      </c>
      <c r="C1766" s="51">
        <v>7891045013611</v>
      </c>
      <c r="D1766" s="40" t="s">
        <v>74</v>
      </c>
      <c r="E1766" s="40"/>
      <c r="F1766" s="40">
        <v>693</v>
      </c>
      <c r="G1766" s="38"/>
      <c r="H1766" s="38" t="s">
        <v>1267</v>
      </c>
      <c r="I1766" s="38" t="s">
        <v>424</v>
      </c>
      <c r="J1766" s="38" t="s">
        <v>947</v>
      </c>
      <c r="K1766" s="56">
        <v>0.44</v>
      </c>
      <c r="L1766" s="52" t="s">
        <v>213</v>
      </c>
      <c r="M1766" s="53" t="s">
        <v>213</v>
      </c>
    </row>
    <row r="1767" spans="1:13" x14ac:dyDescent="0.3">
      <c r="A1767" s="37">
        <v>24</v>
      </c>
      <c r="B1767" s="38" t="s">
        <v>1268</v>
      </c>
      <c r="C1767" s="51">
        <v>7891045013628</v>
      </c>
      <c r="D1767" s="40" t="s">
        <v>74</v>
      </c>
      <c r="E1767" s="40"/>
      <c r="F1767" s="40">
        <v>257</v>
      </c>
      <c r="G1767" s="38"/>
      <c r="H1767" s="38" t="s">
        <v>1269</v>
      </c>
      <c r="I1767" s="38" t="s">
        <v>1186</v>
      </c>
      <c r="J1767" s="38" t="s">
        <v>947</v>
      </c>
      <c r="K1767" s="38" t="s">
        <v>1270</v>
      </c>
      <c r="L1767" s="52" t="s">
        <v>213</v>
      </c>
      <c r="M1767" s="53" t="s">
        <v>213</v>
      </c>
    </row>
    <row r="1768" spans="1:13" x14ac:dyDescent="0.3">
      <c r="A1768" s="37">
        <v>24</v>
      </c>
      <c r="B1768" s="38" t="s">
        <v>1271</v>
      </c>
      <c r="C1768" s="51">
        <v>7891045013628</v>
      </c>
      <c r="D1768" s="40" t="s">
        <v>74</v>
      </c>
      <c r="E1768" s="40"/>
      <c r="F1768" s="40">
        <v>257</v>
      </c>
      <c r="G1768" s="38"/>
      <c r="H1768" s="38" t="s">
        <v>1269</v>
      </c>
      <c r="I1768" s="38" t="s">
        <v>1186</v>
      </c>
      <c r="J1768" s="38" t="s">
        <v>947</v>
      </c>
      <c r="K1768" s="38" t="s">
        <v>1270</v>
      </c>
      <c r="L1768" s="52" t="s">
        <v>213</v>
      </c>
      <c r="M1768" s="53" t="s">
        <v>213</v>
      </c>
    </row>
    <row r="1769" spans="1:13" x14ac:dyDescent="0.3">
      <c r="A1769" s="37">
        <v>24</v>
      </c>
      <c r="B1769" s="38" t="s">
        <v>1268</v>
      </c>
      <c r="C1769" s="51">
        <v>7891045013628</v>
      </c>
      <c r="D1769" s="40" t="s">
        <v>74</v>
      </c>
      <c r="E1769" s="40"/>
      <c r="F1769" s="40">
        <v>463</v>
      </c>
      <c r="G1769" s="38"/>
      <c r="H1769" s="38" t="s">
        <v>1265</v>
      </c>
      <c r="I1769" s="38" t="s">
        <v>424</v>
      </c>
      <c r="J1769" s="38" t="s">
        <v>947</v>
      </c>
      <c r="K1769" s="56">
        <v>0.56000000000000005</v>
      </c>
      <c r="L1769" s="52" t="s">
        <v>213</v>
      </c>
      <c r="M1769" s="53" t="s">
        <v>213</v>
      </c>
    </row>
    <row r="1770" spans="1:13" x14ac:dyDescent="0.3">
      <c r="A1770" s="37">
        <v>24</v>
      </c>
      <c r="B1770" s="38" t="s">
        <v>1271</v>
      </c>
      <c r="C1770" s="51">
        <v>7891045013628</v>
      </c>
      <c r="D1770" s="40" t="s">
        <v>74</v>
      </c>
      <c r="E1770" s="40"/>
      <c r="F1770" s="40">
        <v>463</v>
      </c>
      <c r="G1770" s="38"/>
      <c r="H1770" s="38" t="s">
        <v>1265</v>
      </c>
      <c r="I1770" s="38" t="s">
        <v>424</v>
      </c>
      <c r="J1770" s="38" t="s">
        <v>947</v>
      </c>
      <c r="K1770" s="56">
        <v>0.56000000000000005</v>
      </c>
      <c r="L1770" s="52" t="s">
        <v>213</v>
      </c>
      <c r="M1770" s="53" t="s">
        <v>213</v>
      </c>
    </row>
    <row r="1771" spans="1:13" x14ac:dyDescent="0.3">
      <c r="A1771" s="37">
        <v>24</v>
      </c>
      <c r="B1771" s="38" t="s">
        <v>1272</v>
      </c>
      <c r="C1771" s="51">
        <v>7891045013635</v>
      </c>
      <c r="D1771" s="40" t="s">
        <v>74</v>
      </c>
      <c r="E1771" s="40"/>
      <c r="F1771" s="40">
        <v>257</v>
      </c>
      <c r="G1771" s="38"/>
      <c r="H1771" s="38" t="s">
        <v>1269</v>
      </c>
      <c r="I1771" s="38" t="s">
        <v>1186</v>
      </c>
      <c r="J1771" s="38" t="s">
        <v>1133</v>
      </c>
      <c r="K1771" s="38" t="s">
        <v>1270</v>
      </c>
      <c r="L1771" s="52" t="s">
        <v>213</v>
      </c>
      <c r="M1771" s="53" t="s">
        <v>213</v>
      </c>
    </row>
    <row r="1772" spans="1:13" x14ac:dyDescent="0.3">
      <c r="A1772" s="37">
        <v>24</v>
      </c>
      <c r="B1772" s="38" t="s">
        <v>1273</v>
      </c>
      <c r="C1772" s="51">
        <v>7891045013635</v>
      </c>
      <c r="D1772" s="40" t="s">
        <v>74</v>
      </c>
      <c r="E1772" s="40"/>
      <c r="F1772" s="40">
        <v>257</v>
      </c>
      <c r="G1772" s="38"/>
      <c r="H1772" s="38" t="s">
        <v>1269</v>
      </c>
      <c r="I1772" s="38" t="s">
        <v>1186</v>
      </c>
      <c r="J1772" s="38" t="s">
        <v>1133</v>
      </c>
      <c r="K1772" s="38" t="s">
        <v>1270</v>
      </c>
      <c r="L1772" s="52" t="s">
        <v>213</v>
      </c>
      <c r="M1772" s="53" t="s">
        <v>213</v>
      </c>
    </row>
    <row r="1773" spans="1:13" x14ac:dyDescent="0.3">
      <c r="A1773" s="37">
        <v>24</v>
      </c>
      <c r="B1773" s="38" t="s">
        <v>1272</v>
      </c>
      <c r="C1773" s="51">
        <v>7891045013635</v>
      </c>
      <c r="D1773" s="40" t="s">
        <v>74</v>
      </c>
      <c r="E1773" s="40"/>
      <c r="F1773" s="40">
        <v>463</v>
      </c>
      <c r="G1773" s="38"/>
      <c r="H1773" s="38" t="s">
        <v>1265</v>
      </c>
      <c r="I1773" s="38" t="s">
        <v>424</v>
      </c>
      <c r="J1773" s="38" t="s">
        <v>947</v>
      </c>
      <c r="K1773" s="56">
        <v>0.44</v>
      </c>
      <c r="L1773" s="52" t="s">
        <v>213</v>
      </c>
      <c r="M1773" s="53" t="s">
        <v>213</v>
      </c>
    </row>
    <row r="1774" spans="1:13" x14ac:dyDescent="0.3">
      <c r="A1774" s="37">
        <v>24</v>
      </c>
      <c r="B1774" s="38" t="s">
        <v>1273</v>
      </c>
      <c r="C1774" s="51">
        <v>7891045013635</v>
      </c>
      <c r="D1774" s="40" t="s">
        <v>74</v>
      </c>
      <c r="E1774" s="40"/>
      <c r="F1774" s="40">
        <v>463</v>
      </c>
      <c r="G1774" s="38"/>
      <c r="H1774" s="38" t="s">
        <v>1265</v>
      </c>
      <c r="I1774" s="38" t="s">
        <v>424</v>
      </c>
      <c r="J1774" s="38" t="s">
        <v>947</v>
      </c>
      <c r="K1774" s="56">
        <v>0.44</v>
      </c>
      <c r="L1774" s="52" t="s">
        <v>213</v>
      </c>
      <c r="M1774" s="53" t="s">
        <v>213</v>
      </c>
    </row>
    <row r="1775" spans="1:13" x14ac:dyDescent="0.3">
      <c r="A1775" s="37">
        <v>24</v>
      </c>
      <c r="B1775" s="38" t="s">
        <v>1274</v>
      </c>
      <c r="C1775" s="51">
        <v>7891268102048</v>
      </c>
      <c r="D1775" s="40" t="s">
        <v>74</v>
      </c>
      <c r="E1775" s="40"/>
      <c r="F1775" s="40">
        <v>257</v>
      </c>
      <c r="G1775" s="38"/>
      <c r="H1775" s="38" t="s">
        <v>1269</v>
      </c>
      <c r="I1775" s="38" t="s">
        <v>1186</v>
      </c>
      <c r="J1775" s="38" t="s">
        <v>1133</v>
      </c>
      <c r="K1775" s="38" t="s">
        <v>1270</v>
      </c>
      <c r="L1775" s="52" t="s">
        <v>213</v>
      </c>
      <c r="M1775" s="53" t="s">
        <v>213</v>
      </c>
    </row>
    <row r="1776" spans="1:13" x14ac:dyDescent="0.3">
      <c r="A1776" s="37">
        <v>24</v>
      </c>
      <c r="B1776" s="38" t="s">
        <v>1275</v>
      </c>
      <c r="C1776" s="51">
        <v>7891268102048</v>
      </c>
      <c r="D1776" s="40" t="s">
        <v>74</v>
      </c>
      <c r="E1776" s="40"/>
      <c r="F1776" s="40">
        <v>257</v>
      </c>
      <c r="G1776" s="38"/>
      <c r="H1776" s="38" t="s">
        <v>1269</v>
      </c>
      <c r="I1776" s="38" t="s">
        <v>1186</v>
      </c>
      <c r="J1776" s="38" t="s">
        <v>1133</v>
      </c>
      <c r="K1776" s="38" t="s">
        <v>1270</v>
      </c>
      <c r="L1776" s="52" t="s">
        <v>213</v>
      </c>
      <c r="M1776" s="53" t="s">
        <v>213</v>
      </c>
    </row>
    <row r="1777" spans="1:13" x14ac:dyDescent="0.3">
      <c r="A1777" s="37">
        <v>24</v>
      </c>
      <c r="B1777" s="38" t="s">
        <v>1274</v>
      </c>
      <c r="C1777" s="51">
        <v>7891268102048</v>
      </c>
      <c r="D1777" s="40" t="s">
        <v>74</v>
      </c>
      <c r="E1777" s="40"/>
      <c r="F1777" s="40">
        <v>461</v>
      </c>
      <c r="G1777" s="38"/>
      <c r="H1777" s="38" t="s">
        <v>1276</v>
      </c>
      <c r="I1777" s="38" t="s">
        <v>424</v>
      </c>
      <c r="J1777" s="38" t="s">
        <v>947</v>
      </c>
      <c r="K1777" s="56">
        <v>0.39</v>
      </c>
      <c r="L1777" s="52" t="s">
        <v>213</v>
      </c>
      <c r="M1777" s="53" t="s">
        <v>213</v>
      </c>
    </row>
    <row r="1778" spans="1:13" x14ac:dyDescent="0.3">
      <c r="A1778" s="37">
        <v>24</v>
      </c>
      <c r="B1778" s="38" t="s">
        <v>1275</v>
      </c>
      <c r="C1778" s="51">
        <v>7891268102048</v>
      </c>
      <c r="D1778" s="40" t="s">
        <v>74</v>
      </c>
      <c r="E1778" s="40"/>
      <c r="F1778" s="40">
        <v>461</v>
      </c>
      <c r="G1778" s="38"/>
      <c r="H1778" s="38" t="s">
        <v>1276</v>
      </c>
      <c r="I1778" s="38" t="s">
        <v>424</v>
      </c>
      <c r="J1778" s="38" t="s">
        <v>947</v>
      </c>
      <c r="K1778" s="56">
        <v>0.39</v>
      </c>
      <c r="L1778" s="52" t="s">
        <v>213</v>
      </c>
      <c r="M1778" s="53" t="s">
        <v>213</v>
      </c>
    </row>
    <row r="1779" spans="1:13" x14ac:dyDescent="0.3">
      <c r="A1779" s="37">
        <v>24</v>
      </c>
      <c r="B1779" s="38" t="s">
        <v>1277</v>
      </c>
      <c r="C1779" s="51">
        <v>7891268107500</v>
      </c>
      <c r="D1779" s="40" t="s">
        <v>74</v>
      </c>
      <c r="E1779" s="40"/>
      <c r="F1779" s="40">
        <v>478</v>
      </c>
      <c r="G1779" s="38"/>
      <c r="H1779" s="38" t="s">
        <v>1278</v>
      </c>
      <c r="I1779" s="38" t="s">
        <v>311</v>
      </c>
      <c r="J1779" s="38" t="s">
        <v>947</v>
      </c>
      <c r="K1779" s="38" t="s">
        <v>1279</v>
      </c>
      <c r="L1779" s="52" t="s">
        <v>213</v>
      </c>
      <c r="M1779" s="53" t="s">
        <v>213</v>
      </c>
    </row>
    <row r="1780" spans="1:13" x14ac:dyDescent="0.3">
      <c r="A1780" s="37">
        <v>24</v>
      </c>
      <c r="B1780" s="38" t="s">
        <v>1280</v>
      </c>
      <c r="C1780" s="51">
        <v>7891268107500</v>
      </c>
      <c r="D1780" s="40" t="s">
        <v>74</v>
      </c>
      <c r="E1780" s="40"/>
      <c r="F1780" s="40">
        <v>478</v>
      </c>
      <c r="G1780" s="38"/>
      <c r="H1780" s="38" t="s">
        <v>1278</v>
      </c>
      <c r="I1780" s="38" t="s">
        <v>311</v>
      </c>
      <c r="J1780" s="38" t="s">
        <v>947</v>
      </c>
      <c r="K1780" s="38" t="s">
        <v>1279</v>
      </c>
      <c r="L1780" s="52" t="s">
        <v>213</v>
      </c>
      <c r="M1780" s="53" t="s">
        <v>213</v>
      </c>
    </row>
    <row r="1781" spans="1:13" x14ac:dyDescent="0.3">
      <c r="A1781" s="37">
        <v>24</v>
      </c>
      <c r="B1781" s="38" t="s">
        <v>1281</v>
      </c>
      <c r="C1781" s="51">
        <v>7891268107609</v>
      </c>
      <c r="D1781" s="40" t="s">
        <v>74</v>
      </c>
      <c r="E1781" s="40" t="str">
        <f>B1781&amp;H1781</f>
        <v>XALATAN 0,005% 0,005% CPSXALATAN 2016</v>
      </c>
      <c r="F1781" s="40">
        <v>477</v>
      </c>
      <c r="G1781" s="38"/>
      <c r="H1781" s="38" t="s">
        <v>1282</v>
      </c>
      <c r="I1781" s="38" t="s">
        <v>311</v>
      </c>
      <c r="J1781" s="38" t="s">
        <v>947</v>
      </c>
      <c r="K1781" s="38" t="s">
        <v>1283</v>
      </c>
      <c r="L1781" s="52" t="s">
        <v>213</v>
      </c>
      <c r="M1781" s="53" t="s">
        <v>213</v>
      </c>
    </row>
    <row r="1782" spans="1:13" x14ac:dyDescent="0.3">
      <c r="A1782" s="37">
        <v>24</v>
      </c>
      <c r="B1782" s="38" t="s">
        <v>48</v>
      </c>
      <c r="C1782" s="51">
        <v>7891268107609</v>
      </c>
      <c r="D1782" s="40" t="s">
        <v>74</v>
      </c>
      <c r="E1782" s="40" t="str">
        <f t="shared" ref="E1782:E1786" si="0">B1782&amp;H1782</f>
        <v>Xalatan Sol. Oftalmica 2.5 ml 1 frascoXALATAN 2016</v>
      </c>
      <c r="F1782" s="40">
        <v>477</v>
      </c>
      <c r="G1782" s="38"/>
      <c r="H1782" s="38" t="s">
        <v>1282</v>
      </c>
      <c r="I1782" s="38" t="s">
        <v>311</v>
      </c>
      <c r="J1782" s="38" t="s">
        <v>947</v>
      </c>
      <c r="K1782" s="38" t="s">
        <v>1283</v>
      </c>
      <c r="L1782" s="52" t="s">
        <v>213</v>
      </c>
      <c r="M1782" s="53" t="s">
        <v>213</v>
      </c>
    </row>
    <row r="1783" spans="1:13" x14ac:dyDescent="0.3">
      <c r="A1783" s="37">
        <v>24</v>
      </c>
      <c r="B1783" s="38" t="s">
        <v>1281</v>
      </c>
      <c r="C1783" s="51">
        <v>7891268107609</v>
      </c>
      <c r="D1783" s="40" t="s">
        <v>74</v>
      </c>
      <c r="E1783" s="40" t="str">
        <f t="shared" si="0"/>
        <v>XALATAN 0,005% 0,005% CPSXALATAN 2020</v>
      </c>
      <c r="F1783" s="40">
        <v>969</v>
      </c>
      <c r="G1783" s="38"/>
      <c r="H1783" s="38" t="s">
        <v>1284</v>
      </c>
      <c r="I1783" s="38" t="s">
        <v>31</v>
      </c>
      <c r="J1783" s="38" t="s">
        <v>1166</v>
      </c>
      <c r="K1783" s="56">
        <v>0.5</v>
      </c>
      <c r="L1783" s="52" t="s">
        <v>213</v>
      </c>
      <c r="M1783" s="53" t="s">
        <v>213</v>
      </c>
    </row>
    <row r="1784" spans="1:13" x14ac:dyDescent="0.3">
      <c r="A1784" s="37">
        <v>24</v>
      </c>
      <c r="B1784" s="38" t="s">
        <v>48</v>
      </c>
      <c r="C1784" s="51">
        <v>7891268107609</v>
      </c>
      <c r="D1784" s="40" t="s">
        <v>74</v>
      </c>
      <c r="E1784" s="40" t="str">
        <f t="shared" si="0"/>
        <v>Xalatan Sol. Oftalmica 2.5 ml 1 frascoXALATAN 2020</v>
      </c>
      <c r="F1784" s="40">
        <v>969</v>
      </c>
      <c r="G1784" s="38"/>
      <c r="H1784" s="38" t="s">
        <v>1284</v>
      </c>
      <c r="I1784" s="38" t="s">
        <v>31</v>
      </c>
      <c r="J1784" s="38" t="s">
        <v>1166</v>
      </c>
      <c r="K1784" s="56">
        <v>0.5</v>
      </c>
      <c r="L1784" s="52" t="s">
        <v>213</v>
      </c>
      <c r="M1784" s="53" t="s">
        <v>213</v>
      </c>
    </row>
    <row r="1785" spans="1:13" x14ac:dyDescent="0.3">
      <c r="A1785" s="37">
        <v>24</v>
      </c>
      <c r="B1785" s="38" t="s">
        <v>1281</v>
      </c>
      <c r="C1785" s="51">
        <v>7891268107609</v>
      </c>
      <c r="D1785" s="40" t="s">
        <v>74</v>
      </c>
      <c r="E1785" s="40" t="str">
        <f t="shared" si="0"/>
        <v>XALATAN 0,005% 0,005% CPSXALATAN</v>
      </c>
      <c r="F1785" s="40">
        <v>970</v>
      </c>
      <c r="G1785" s="38"/>
      <c r="H1785" s="38" t="s">
        <v>1285</v>
      </c>
      <c r="I1785" s="38" t="s">
        <v>311</v>
      </c>
      <c r="J1785" s="38" t="s">
        <v>1014</v>
      </c>
      <c r="K1785" s="38" t="s">
        <v>1279</v>
      </c>
      <c r="L1785" s="52" t="s">
        <v>213</v>
      </c>
      <c r="M1785" s="53" t="s">
        <v>213</v>
      </c>
    </row>
    <row r="1786" spans="1:13" x14ac:dyDescent="0.3">
      <c r="A1786" s="37">
        <v>24</v>
      </c>
      <c r="B1786" s="38" t="s">
        <v>48</v>
      </c>
      <c r="C1786" s="51">
        <v>7891268107609</v>
      </c>
      <c r="D1786" s="40" t="s">
        <v>74</v>
      </c>
      <c r="E1786" s="40" t="str">
        <f t="shared" si="0"/>
        <v>Xalatan Sol. Oftalmica 2.5 ml 1 frascoXALATAN</v>
      </c>
      <c r="F1786" s="40">
        <v>970</v>
      </c>
      <c r="G1786" s="38"/>
      <c r="H1786" s="38" t="s">
        <v>1285</v>
      </c>
      <c r="I1786" s="38" t="s">
        <v>311</v>
      </c>
      <c r="J1786" s="38" t="s">
        <v>1014</v>
      </c>
      <c r="K1786" s="38" t="s">
        <v>1279</v>
      </c>
      <c r="L1786" s="52" t="s">
        <v>213</v>
      </c>
      <c r="M1786" s="53" t="s">
        <v>213</v>
      </c>
    </row>
    <row r="1787" spans="1:13" x14ac:dyDescent="0.3">
      <c r="A1787" s="37">
        <v>24</v>
      </c>
      <c r="B1787" s="38" t="s">
        <v>1286</v>
      </c>
      <c r="C1787" s="51">
        <v>7891268109122</v>
      </c>
      <c r="D1787" s="40" t="s">
        <v>74</v>
      </c>
      <c r="E1787" s="40"/>
      <c r="F1787" s="40">
        <v>257</v>
      </c>
      <c r="G1787" s="38"/>
      <c r="H1787" s="38" t="s">
        <v>1269</v>
      </c>
      <c r="I1787" s="38" t="s">
        <v>1186</v>
      </c>
      <c r="J1787" s="38" t="s">
        <v>947</v>
      </c>
      <c r="K1787" s="38" t="s">
        <v>1270</v>
      </c>
      <c r="L1787" s="52" t="s">
        <v>213</v>
      </c>
      <c r="M1787" s="53" t="s">
        <v>213</v>
      </c>
    </row>
    <row r="1788" spans="1:13" x14ac:dyDescent="0.3">
      <c r="A1788" s="37">
        <v>24</v>
      </c>
      <c r="B1788" s="38" t="s">
        <v>1287</v>
      </c>
      <c r="C1788" s="51">
        <v>7891268109122</v>
      </c>
      <c r="D1788" s="40" t="s">
        <v>74</v>
      </c>
      <c r="E1788" s="40"/>
      <c r="F1788" s="40">
        <v>257</v>
      </c>
      <c r="G1788" s="38"/>
      <c r="H1788" s="38" t="s">
        <v>1269</v>
      </c>
      <c r="I1788" s="38" t="s">
        <v>1186</v>
      </c>
      <c r="J1788" s="38" t="s">
        <v>947</v>
      </c>
      <c r="K1788" s="38" t="s">
        <v>1270</v>
      </c>
      <c r="L1788" s="52" t="s">
        <v>213</v>
      </c>
      <c r="M1788" s="53" t="s">
        <v>213</v>
      </c>
    </row>
    <row r="1789" spans="1:13" x14ac:dyDescent="0.3">
      <c r="A1789" s="37">
        <v>24</v>
      </c>
      <c r="B1789" s="38" t="s">
        <v>1286</v>
      </c>
      <c r="C1789" s="51">
        <v>7891268109122</v>
      </c>
      <c r="D1789" s="40" t="s">
        <v>74</v>
      </c>
      <c r="E1789" s="40"/>
      <c r="F1789" s="40">
        <v>466</v>
      </c>
      <c r="G1789" s="38"/>
      <c r="H1789" s="38" t="s">
        <v>1288</v>
      </c>
      <c r="I1789" s="38" t="s">
        <v>424</v>
      </c>
      <c r="J1789" s="38" t="s">
        <v>1036</v>
      </c>
      <c r="K1789" s="56">
        <v>0.55000000000000004</v>
      </c>
      <c r="L1789" s="52" t="s">
        <v>213</v>
      </c>
      <c r="M1789" s="53" t="s">
        <v>213</v>
      </c>
    </row>
    <row r="1790" spans="1:13" x14ac:dyDescent="0.3">
      <c r="A1790" s="37">
        <v>24</v>
      </c>
      <c r="B1790" s="38" t="s">
        <v>1287</v>
      </c>
      <c r="C1790" s="51">
        <v>7891268109122</v>
      </c>
      <c r="D1790" s="40" t="s">
        <v>74</v>
      </c>
      <c r="E1790" s="40"/>
      <c r="F1790" s="40">
        <v>466</v>
      </c>
      <c r="G1790" s="38"/>
      <c r="H1790" s="38" t="s">
        <v>1288</v>
      </c>
      <c r="I1790" s="38" t="s">
        <v>424</v>
      </c>
      <c r="J1790" s="38" t="s">
        <v>1036</v>
      </c>
      <c r="K1790" s="56">
        <v>0.55000000000000004</v>
      </c>
      <c r="L1790" s="52" t="s">
        <v>213</v>
      </c>
      <c r="M1790" s="53" t="s">
        <v>213</v>
      </c>
    </row>
    <row r="1791" spans="1:13" x14ac:dyDescent="0.3">
      <c r="A1791" s="37">
        <v>24</v>
      </c>
      <c r="B1791" s="38" t="s">
        <v>1289</v>
      </c>
      <c r="C1791" s="51">
        <v>7891268114713</v>
      </c>
      <c r="D1791" s="40" t="s">
        <v>74</v>
      </c>
      <c r="E1791" s="40"/>
      <c r="F1791" s="40">
        <v>146</v>
      </c>
      <c r="G1791" s="38"/>
      <c r="H1791" s="38" t="s">
        <v>1290</v>
      </c>
      <c r="I1791" s="38" t="s">
        <v>424</v>
      </c>
      <c r="J1791" s="38" t="s">
        <v>947</v>
      </c>
      <c r="K1791" s="56">
        <v>0.3</v>
      </c>
      <c r="L1791" s="52" t="s">
        <v>213</v>
      </c>
      <c r="M1791" s="53" t="s">
        <v>213</v>
      </c>
    </row>
    <row r="1792" spans="1:13" x14ac:dyDescent="0.3">
      <c r="A1792" s="37">
        <v>24</v>
      </c>
      <c r="B1792" s="38" t="s">
        <v>1291</v>
      </c>
      <c r="C1792" s="51">
        <v>7891268114713</v>
      </c>
      <c r="D1792" s="40" t="s">
        <v>74</v>
      </c>
      <c r="E1792" s="40"/>
      <c r="F1792" s="40">
        <v>146</v>
      </c>
      <c r="G1792" s="38"/>
      <c r="H1792" s="38" t="s">
        <v>1290</v>
      </c>
      <c r="I1792" s="38" t="s">
        <v>424</v>
      </c>
      <c r="J1792" s="38" t="s">
        <v>947</v>
      </c>
      <c r="K1792" s="56">
        <v>0.3</v>
      </c>
      <c r="L1792" s="52" t="s">
        <v>213</v>
      </c>
      <c r="M1792" s="53" t="s">
        <v>213</v>
      </c>
    </row>
    <row r="1793" spans="1:13" x14ac:dyDescent="0.3">
      <c r="A1793" s="37">
        <v>24</v>
      </c>
      <c r="B1793" s="38" t="s">
        <v>1292</v>
      </c>
      <c r="C1793" s="51">
        <v>7891268114737</v>
      </c>
      <c r="D1793" s="40" t="s">
        <v>74</v>
      </c>
      <c r="E1793" s="40"/>
      <c r="F1793" s="40">
        <v>146</v>
      </c>
      <c r="G1793" s="38"/>
      <c r="H1793" s="38" t="s">
        <v>1290</v>
      </c>
      <c r="I1793" s="38" t="s">
        <v>424</v>
      </c>
      <c r="J1793" s="38" t="s">
        <v>947</v>
      </c>
      <c r="K1793" s="56">
        <v>0.3</v>
      </c>
      <c r="L1793" s="52" t="s">
        <v>213</v>
      </c>
      <c r="M1793" s="53" t="s">
        <v>213</v>
      </c>
    </row>
    <row r="1794" spans="1:13" x14ac:dyDescent="0.3">
      <c r="A1794" s="37">
        <v>24</v>
      </c>
      <c r="B1794" s="38" t="s">
        <v>1293</v>
      </c>
      <c r="C1794" s="51">
        <v>7891268114737</v>
      </c>
      <c r="D1794" s="40" t="s">
        <v>74</v>
      </c>
      <c r="E1794" s="40"/>
      <c r="F1794" s="40">
        <v>146</v>
      </c>
      <c r="G1794" s="38"/>
      <c r="H1794" s="38" t="s">
        <v>1290</v>
      </c>
      <c r="I1794" s="38" t="s">
        <v>424</v>
      </c>
      <c r="J1794" s="38" t="s">
        <v>947</v>
      </c>
      <c r="K1794" s="56">
        <v>0.3</v>
      </c>
      <c r="L1794" s="52" t="s">
        <v>213</v>
      </c>
      <c r="M1794" s="53" t="s">
        <v>213</v>
      </c>
    </row>
    <row r="1795" spans="1:13" x14ac:dyDescent="0.3">
      <c r="A1795" s="37">
        <v>24</v>
      </c>
      <c r="B1795" s="38" t="s">
        <v>1294</v>
      </c>
      <c r="C1795" s="51">
        <v>7891268116250</v>
      </c>
      <c r="D1795" s="40" t="s">
        <v>74</v>
      </c>
      <c r="E1795" s="40"/>
      <c r="F1795" s="40">
        <v>184</v>
      </c>
      <c r="G1795" s="38"/>
      <c r="H1795" s="38" t="s">
        <v>1295</v>
      </c>
      <c r="I1795" s="38" t="s">
        <v>424</v>
      </c>
      <c r="J1795" s="38" t="s">
        <v>1296</v>
      </c>
      <c r="K1795" s="56">
        <v>0.31</v>
      </c>
      <c r="L1795" s="52" t="s">
        <v>213</v>
      </c>
      <c r="M1795" s="53" t="s">
        <v>213</v>
      </c>
    </row>
    <row r="1796" spans="1:13" x14ac:dyDescent="0.3">
      <c r="A1796" s="37">
        <v>24</v>
      </c>
      <c r="B1796" s="38" t="s">
        <v>1297</v>
      </c>
      <c r="C1796" s="51">
        <v>7891268116250</v>
      </c>
      <c r="D1796" s="40" t="s">
        <v>74</v>
      </c>
      <c r="E1796" s="40"/>
      <c r="F1796" s="40">
        <v>184</v>
      </c>
      <c r="G1796" s="38"/>
      <c r="H1796" s="38" t="s">
        <v>1295</v>
      </c>
      <c r="I1796" s="38" t="s">
        <v>424</v>
      </c>
      <c r="J1796" s="38" t="s">
        <v>1296</v>
      </c>
      <c r="K1796" s="56">
        <v>0.31</v>
      </c>
      <c r="L1796" s="52" t="s">
        <v>213</v>
      </c>
      <c r="M1796" s="53" t="s">
        <v>213</v>
      </c>
    </row>
    <row r="1797" spans="1:13" x14ac:dyDescent="0.3">
      <c r="A1797" s="37">
        <v>24</v>
      </c>
      <c r="B1797" s="38" t="s">
        <v>1294</v>
      </c>
      <c r="C1797" s="51">
        <v>7891268116250</v>
      </c>
      <c r="D1797" s="40" t="s">
        <v>74</v>
      </c>
      <c r="E1797" s="40"/>
      <c r="F1797" s="40">
        <v>257</v>
      </c>
      <c r="G1797" s="38"/>
      <c r="H1797" s="38" t="s">
        <v>1269</v>
      </c>
      <c r="I1797" s="38" t="s">
        <v>1186</v>
      </c>
      <c r="J1797" s="38" t="s">
        <v>1036</v>
      </c>
      <c r="K1797" s="38" t="s">
        <v>1270</v>
      </c>
      <c r="L1797" s="52" t="s">
        <v>213</v>
      </c>
      <c r="M1797" s="53" t="s">
        <v>213</v>
      </c>
    </row>
    <row r="1798" spans="1:13" x14ac:dyDescent="0.3">
      <c r="A1798" s="37">
        <v>24</v>
      </c>
      <c r="B1798" s="38" t="s">
        <v>1297</v>
      </c>
      <c r="C1798" s="51">
        <v>7891268116250</v>
      </c>
      <c r="D1798" s="40" t="s">
        <v>74</v>
      </c>
      <c r="E1798" s="40"/>
      <c r="F1798" s="40">
        <v>257</v>
      </c>
      <c r="G1798" s="38"/>
      <c r="H1798" s="38" t="s">
        <v>1269</v>
      </c>
      <c r="I1798" s="38" t="s">
        <v>1186</v>
      </c>
      <c r="J1798" s="38" t="s">
        <v>1036</v>
      </c>
      <c r="K1798" s="38" t="s">
        <v>1270</v>
      </c>
      <c r="L1798" s="52" t="s">
        <v>213</v>
      </c>
      <c r="M1798" s="53" t="s">
        <v>213</v>
      </c>
    </row>
    <row r="1799" spans="1:13" x14ac:dyDescent="0.3">
      <c r="A1799" s="37">
        <v>24</v>
      </c>
      <c r="B1799" s="38" t="s">
        <v>1298</v>
      </c>
      <c r="C1799" s="51">
        <v>7891268116359</v>
      </c>
      <c r="D1799" s="40" t="s">
        <v>74</v>
      </c>
      <c r="E1799" s="40"/>
      <c r="F1799" s="40">
        <v>184</v>
      </c>
      <c r="G1799" s="38"/>
      <c r="H1799" s="38" t="s">
        <v>1295</v>
      </c>
      <c r="I1799" s="38" t="s">
        <v>424</v>
      </c>
      <c r="J1799" s="38" t="s">
        <v>1296</v>
      </c>
      <c r="K1799" s="56">
        <v>0.31</v>
      </c>
      <c r="L1799" s="52" t="s">
        <v>213</v>
      </c>
      <c r="M1799" s="53" t="s">
        <v>213</v>
      </c>
    </row>
    <row r="1800" spans="1:13" x14ac:dyDescent="0.3">
      <c r="A1800" s="37">
        <v>24</v>
      </c>
      <c r="B1800" s="38" t="s">
        <v>1299</v>
      </c>
      <c r="C1800" s="51">
        <v>7891268116359</v>
      </c>
      <c r="D1800" s="40" t="s">
        <v>74</v>
      </c>
      <c r="E1800" s="40"/>
      <c r="F1800" s="40">
        <v>184</v>
      </c>
      <c r="G1800" s="38"/>
      <c r="H1800" s="38" t="s">
        <v>1295</v>
      </c>
      <c r="I1800" s="38" t="s">
        <v>424</v>
      </c>
      <c r="J1800" s="38" t="s">
        <v>1296</v>
      </c>
      <c r="K1800" s="56">
        <v>0.31</v>
      </c>
      <c r="L1800" s="52" t="s">
        <v>213</v>
      </c>
      <c r="M1800" s="53" t="s">
        <v>213</v>
      </c>
    </row>
    <row r="1801" spans="1:13" x14ac:dyDescent="0.3">
      <c r="A1801" s="37">
        <v>24</v>
      </c>
      <c r="B1801" s="38" t="s">
        <v>1298</v>
      </c>
      <c r="C1801" s="51">
        <v>7891268116359</v>
      </c>
      <c r="D1801" s="40" t="s">
        <v>74</v>
      </c>
      <c r="E1801" s="40"/>
      <c r="F1801" s="40">
        <v>257</v>
      </c>
      <c r="G1801" s="38"/>
      <c r="H1801" s="38" t="s">
        <v>1269</v>
      </c>
      <c r="I1801" s="38" t="s">
        <v>1186</v>
      </c>
      <c r="J1801" s="38" t="s">
        <v>1036</v>
      </c>
      <c r="K1801" s="38" t="s">
        <v>1270</v>
      </c>
      <c r="L1801" s="52" t="s">
        <v>213</v>
      </c>
      <c r="M1801" s="53" t="s">
        <v>213</v>
      </c>
    </row>
    <row r="1802" spans="1:13" x14ac:dyDescent="0.3">
      <c r="A1802" s="37">
        <v>24</v>
      </c>
      <c r="B1802" s="38" t="s">
        <v>1299</v>
      </c>
      <c r="C1802" s="51">
        <v>7891268116359</v>
      </c>
      <c r="D1802" s="40" t="s">
        <v>74</v>
      </c>
      <c r="E1802" s="40"/>
      <c r="F1802" s="40">
        <v>257</v>
      </c>
      <c r="G1802" s="38"/>
      <c r="H1802" s="38" t="s">
        <v>1269</v>
      </c>
      <c r="I1802" s="38" t="s">
        <v>1186</v>
      </c>
      <c r="J1802" s="38" t="s">
        <v>1036</v>
      </c>
      <c r="K1802" s="38" t="s">
        <v>1270</v>
      </c>
      <c r="L1802" s="52" t="s">
        <v>213</v>
      </c>
      <c r="M1802" s="53" t="s">
        <v>213</v>
      </c>
    </row>
    <row r="1803" spans="1:13" x14ac:dyDescent="0.3">
      <c r="A1803" s="37">
        <v>24</v>
      </c>
      <c r="B1803" s="38" t="s">
        <v>1300</v>
      </c>
      <c r="C1803" s="51">
        <v>7891268117110</v>
      </c>
      <c r="D1803" s="40" t="s">
        <v>74</v>
      </c>
      <c r="E1803" s="40"/>
      <c r="F1803" s="40">
        <v>628</v>
      </c>
      <c r="G1803" s="38"/>
      <c r="H1803" s="38" t="s">
        <v>1301</v>
      </c>
      <c r="I1803" s="38" t="s">
        <v>311</v>
      </c>
      <c r="J1803" s="38" t="s">
        <v>1302</v>
      </c>
      <c r="K1803" s="38" t="s">
        <v>1303</v>
      </c>
      <c r="L1803" s="52" t="s">
        <v>213</v>
      </c>
      <c r="M1803" s="53" t="s">
        <v>213</v>
      </c>
    </row>
    <row r="1804" spans="1:13" x14ac:dyDescent="0.3">
      <c r="A1804" s="37">
        <v>24</v>
      </c>
      <c r="B1804" s="38" t="s">
        <v>1304</v>
      </c>
      <c r="C1804" s="51">
        <v>7891268117110</v>
      </c>
      <c r="D1804" s="40" t="s">
        <v>74</v>
      </c>
      <c r="E1804" s="40"/>
      <c r="F1804" s="40">
        <v>628</v>
      </c>
      <c r="G1804" s="38"/>
      <c r="H1804" s="38" t="s">
        <v>1301</v>
      </c>
      <c r="I1804" s="38" t="s">
        <v>311</v>
      </c>
      <c r="J1804" s="38" t="s">
        <v>1302</v>
      </c>
      <c r="K1804" s="38" t="s">
        <v>1303</v>
      </c>
      <c r="L1804" s="52" t="s">
        <v>213</v>
      </c>
      <c r="M1804" s="53" t="s">
        <v>213</v>
      </c>
    </row>
    <row r="1805" spans="1:13" x14ac:dyDescent="0.3">
      <c r="A1805" s="37">
        <v>24</v>
      </c>
      <c r="B1805" s="38" t="s">
        <v>1305</v>
      </c>
      <c r="C1805" s="51">
        <v>7891268117127</v>
      </c>
      <c r="D1805" s="40" t="s">
        <v>74</v>
      </c>
      <c r="E1805" s="40"/>
      <c r="F1805" s="40">
        <v>628</v>
      </c>
      <c r="G1805" s="38"/>
      <c r="H1805" s="38" t="s">
        <v>1301</v>
      </c>
      <c r="I1805" s="38" t="s">
        <v>311</v>
      </c>
      <c r="J1805" s="38" t="s">
        <v>1302</v>
      </c>
      <c r="K1805" s="38" t="s">
        <v>1303</v>
      </c>
      <c r="L1805" s="52" t="s">
        <v>213</v>
      </c>
      <c r="M1805" s="53" t="s">
        <v>213</v>
      </c>
    </row>
    <row r="1806" spans="1:13" x14ac:dyDescent="0.3">
      <c r="A1806" s="37">
        <v>24</v>
      </c>
      <c r="B1806" s="38" t="s">
        <v>1306</v>
      </c>
      <c r="C1806" s="51">
        <v>7891268117127</v>
      </c>
      <c r="D1806" s="40" t="s">
        <v>74</v>
      </c>
      <c r="E1806" s="40"/>
      <c r="F1806" s="40">
        <v>628</v>
      </c>
      <c r="G1806" s="38"/>
      <c r="H1806" s="38" t="s">
        <v>1301</v>
      </c>
      <c r="I1806" s="38" t="s">
        <v>311</v>
      </c>
      <c r="J1806" s="38" t="s">
        <v>1302</v>
      </c>
      <c r="K1806" s="38" t="s">
        <v>1303</v>
      </c>
      <c r="L1806" s="52" t="s">
        <v>213</v>
      </c>
      <c r="M1806" s="53" t="s">
        <v>213</v>
      </c>
    </row>
    <row r="1807" spans="1:13" x14ac:dyDescent="0.3">
      <c r="A1807" s="37">
        <v>24</v>
      </c>
      <c r="B1807" s="38" t="s">
        <v>1307</v>
      </c>
      <c r="C1807" s="51">
        <v>7891268117127</v>
      </c>
      <c r="D1807" s="40" t="s">
        <v>74</v>
      </c>
      <c r="E1807" s="40"/>
      <c r="F1807" s="40">
        <v>628</v>
      </c>
      <c r="G1807" s="38"/>
      <c r="H1807" s="38" t="s">
        <v>1301</v>
      </c>
      <c r="I1807" s="38" t="s">
        <v>311</v>
      </c>
      <c r="J1807" s="38" t="s">
        <v>1302</v>
      </c>
      <c r="K1807" s="38" t="s">
        <v>1303</v>
      </c>
      <c r="L1807" s="52" t="s">
        <v>213</v>
      </c>
      <c r="M1807" s="53" t="s">
        <v>213</v>
      </c>
    </row>
    <row r="1808" spans="1:13" x14ac:dyDescent="0.3">
      <c r="A1808" s="37">
        <v>24</v>
      </c>
      <c r="B1808" s="38" t="s">
        <v>1308</v>
      </c>
      <c r="C1808" s="51">
        <v>7891268117165</v>
      </c>
      <c r="D1808" s="40" t="s">
        <v>74</v>
      </c>
      <c r="E1808" s="40"/>
      <c r="F1808" s="40">
        <v>628</v>
      </c>
      <c r="G1808" s="38"/>
      <c r="H1808" s="38" t="s">
        <v>1301</v>
      </c>
      <c r="I1808" s="38" t="s">
        <v>311</v>
      </c>
      <c r="J1808" s="38" t="s">
        <v>1302</v>
      </c>
      <c r="K1808" s="38" t="s">
        <v>1303</v>
      </c>
      <c r="L1808" s="52" t="s">
        <v>213</v>
      </c>
      <c r="M1808" s="53" t="s">
        <v>213</v>
      </c>
    </row>
    <row r="1809" spans="1:13" x14ac:dyDescent="0.3">
      <c r="A1809" s="37">
        <v>24</v>
      </c>
      <c r="B1809" s="38" t="s">
        <v>1309</v>
      </c>
      <c r="C1809" s="51">
        <v>7891268117165</v>
      </c>
      <c r="D1809" s="40" t="s">
        <v>74</v>
      </c>
      <c r="E1809" s="40"/>
      <c r="F1809" s="40">
        <v>628</v>
      </c>
      <c r="G1809" s="38"/>
      <c r="H1809" s="38" t="s">
        <v>1301</v>
      </c>
      <c r="I1809" s="38" t="s">
        <v>311</v>
      </c>
      <c r="J1809" s="38" t="s">
        <v>1302</v>
      </c>
      <c r="K1809" s="38" t="s">
        <v>1303</v>
      </c>
      <c r="L1809" s="52" t="s">
        <v>213</v>
      </c>
      <c r="M1809" s="53" t="s">
        <v>213</v>
      </c>
    </row>
    <row r="1810" spans="1:13" x14ac:dyDescent="0.3">
      <c r="A1810" s="37">
        <v>24</v>
      </c>
      <c r="B1810" s="38" t="s">
        <v>1310</v>
      </c>
      <c r="C1810" s="51">
        <v>7891268117172</v>
      </c>
      <c r="D1810" s="40" t="s">
        <v>74</v>
      </c>
      <c r="E1810" s="40"/>
      <c r="F1810" s="40">
        <v>628</v>
      </c>
      <c r="G1810" s="38"/>
      <c r="H1810" s="38" t="s">
        <v>1301</v>
      </c>
      <c r="I1810" s="38" t="s">
        <v>311</v>
      </c>
      <c r="J1810" s="38" t="s">
        <v>1302</v>
      </c>
      <c r="K1810" s="38" t="s">
        <v>1303</v>
      </c>
      <c r="L1810" s="52" t="s">
        <v>213</v>
      </c>
      <c r="M1810" s="53" t="s">
        <v>213</v>
      </c>
    </row>
    <row r="1811" spans="1:13" x14ac:dyDescent="0.3">
      <c r="A1811" s="37">
        <v>24</v>
      </c>
      <c r="B1811" s="38" t="s">
        <v>1311</v>
      </c>
      <c r="C1811" s="51">
        <v>7891268117172</v>
      </c>
      <c r="D1811" s="40" t="s">
        <v>74</v>
      </c>
      <c r="E1811" s="40"/>
      <c r="F1811" s="40">
        <v>628</v>
      </c>
      <c r="G1811" s="38"/>
      <c r="H1811" s="38" t="s">
        <v>1301</v>
      </c>
      <c r="I1811" s="38" t="s">
        <v>311</v>
      </c>
      <c r="J1811" s="38" t="s">
        <v>1302</v>
      </c>
      <c r="K1811" s="38" t="s">
        <v>1303</v>
      </c>
      <c r="L1811" s="52" t="s">
        <v>213</v>
      </c>
      <c r="M1811" s="53" t="s">
        <v>213</v>
      </c>
    </row>
    <row r="1812" spans="1:13" x14ac:dyDescent="0.3">
      <c r="A1812" s="37">
        <v>24</v>
      </c>
      <c r="B1812" s="38" t="s">
        <v>1312</v>
      </c>
      <c r="C1812" s="51">
        <v>7891268148350</v>
      </c>
      <c r="D1812" s="40" t="s">
        <v>74</v>
      </c>
      <c r="E1812" s="40"/>
      <c r="F1812" s="40">
        <v>692</v>
      </c>
      <c r="G1812" s="38"/>
      <c r="H1812" s="38" t="s">
        <v>1313</v>
      </c>
      <c r="I1812" s="38" t="s">
        <v>424</v>
      </c>
      <c r="J1812" s="38" t="s">
        <v>947</v>
      </c>
      <c r="K1812" s="56">
        <v>0.25</v>
      </c>
      <c r="L1812" s="52" t="s">
        <v>213</v>
      </c>
      <c r="M1812" s="53" t="s">
        <v>213</v>
      </c>
    </row>
    <row r="1813" spans="1:13" x14ac:dyDescent="0.3">
      <c r="A1813" s="37">
        <v>24</v>
      </c>
      <c r="B1813" s="38" t="s">
        <v>1314</v>
      </c>
      <c r="C1813" s="51">
        <v>7891268148350</v>
      </c>
      <c r="D1813" s="40" t="s">
        <v>74</v>
      </c>
      <c r="E1813" s="40"/>
      <c r="F1813" s="40">
        <v>692</v>
      </c>
      <c r="G1813" s="38"/>
      <c r="H1813" s="38" t="s">
        <v>1313</v>
      </c>
      <c r="I1813" s="38" t="s">
        <v>424</v>
      </c>
      <c r="J1813" s="38" t="s">
        <v>947</v>
      </c>
      <c r="K1813" s="56">
        <v>0.25</v>
      </c>
      <c r="L1813" s="52" t="s">
        <v>213</v>
      </c>
      <c r="M1813" s="53" t="s">
        <v>213</v>
      </c>
    </row>
    <row r="1814" spans="1:13" x14ac:dyDescent="0.3">
      <c r="A1814" s="37">
        <v>24</v>
      </c>
      <c r="B1814" s="38" t="s">
        <v>1315</v>
      </c>
      <c r="C1814" s="51">
        <v>7891268148367</v>
      </c>
      <c r="D1814" s="40" t="s">
        <v>74</v>
      </c>
      <c r="E1814" s="40"/>
      <c r="F1814" s="40">
        <v>692</v>
      </c>
      <c r="G1814" s="38"/>
      <c r="H1814" s="38" t="s">
        <v>1313</v>
      </c>
      <c r="I1814" s="38" t="s">
        <v>424</v>
      </c>
      <c r="J1814" s="38" t="s">
        <v>947</v>
      </c>
      <c r="K1814" s="56">
        <v>0.25</v>
      </c>
      <c r="L1814" s="52" t="s">
        <v>213</v>
      </c>
      <c r="M1814" s="53" t="s">
        <v>213</v>
      </c>
    </row>
    <row r="1815" spans="1:13" x14ac:dyDescent="0.3">
      <c r="A1815" s="37">
        <v>24</v>
      </c>
      <c r="B1815" s="38" t="s">
        <v>1316</v>
      </c>
      <c r="C1815" s="51">
        <v>7891268148367</v>
      </c>
      <c r="D1815" s="40" t="s">
        <v>74</v>
      </c>
      <c r="E1815" s="40"/>
      <c r="F1815" s="40">
        <v>692</v>
      </c>
      <c r="G1815" s="38"/>
      <c r="H1815" s="38" t="s">
        <v>1313</v>
      </c>
      <c r="I1815" s="38" t="s">
        <v>424</v>
      </c>
      <c r="J1815" s="38" t="s">
        <v>947</v>
      </c>
      <c r="K1815" s="56">
        <v>0.25</v>
      </c>
      <c r="L1815" s="52" t="s">
        <v>213</v>
      </c>
      <c r="M1815" s="53" t="s">
        <v>213</v>
      </c>
    </row>
    <row r="1816" spans="1:13" x14ac:dyDescent="0.3">
      <c r="A1816" s="37">
        <v>24</v>
      </c>
      <c r="B1816" s="38" t="s">
        <v>1312</v>
      </c>
      <c r="C1816" s="51">
        <v>7908236800322</v>
      </c>
      <c r="D1816" s="40" t="s">
        <v>74</v>
      </c>
      <c r="E1816" s="40"/>
      <c r="F1816" s="40">
        <v>692</v>
      </c>
      <c r="G1816" s="38"/>
      <c r="H1816" s="38" t="s">
        <v>1313</v>
      </c>
      <c r="I1816" s="38" t="s">
        <v>424</v>
      </c>
      <c r="J1816" s="38" t="s">
        <v>947</v>
      </c>
      <c r="K1816" s="56">
        <v>0.25</v>
      </c>
      <c r="L1816" s="52" t="s">
        <v>213</v>
      </c>
      <c r="M1816" s="53" t="s">
        <v>213</v>
      </c>
    </row>
    <row r="1817" spans="1:13" x14ac:dyDescent="0.3">
      <c r="A1817" s="37">
        <v>24</v>
      </c>
      <c r="B1817" s="38" t="s">
        <v>1317</v>
      </c>
      <c r="C1817" s="51">
        <v>7908236800322</v>
      </c>
      <c r="D1817" s="40" t="s">
        <v>74</v>
      </c>
      <c r="E1817" s="40"/>
      <c r="F1817" s="40">
        <v>692</v>
      </c>
      <c r="G1817" s="38"/>
      <c r="H1817" s="38" t="s">
        <v>1313</v>
      </c>
      <c r="I1817" s="38" t="s">
        <v>424</v>
      </c>
      <c r="J1817" s="38" t="s">
        <v>947</v>
      </c>
      <c r="K1817" s="56">
        <v>0.25</v>
      </c>
      <c r="L1817" s="52" t="s">
        <v>213</v>
      </c>
      <c r="M1817" s="53" t="s">
        <v>213</v>
      </c>
    </row>
    <row r="1818" spans="1:13" x14ac:dyDescent="0.3">
      <c r="A1818" s="37">
        <v>24</v>
      </c>
      <c r="B1818" s="38" t="s">
        <v>1318</v>
      </c>
      <c r="C1818" s="51">
        <v>7908236800353</v>
      </c>
      <c r="D1818" s="40" t="s">
        <v>74</v>
      </c>
      <c r="E1818" s="40"/>
      <c r="F1818" s="40">
        <v>692</v>
      </c>
      <c r="G1818" s="38"/>
      <c r="H1818" s="38" t="s">
        <v>1313</v>
      </c>
      <c r="I1818" s="38" t="s">
        <v>424</v>
      </c>
      <c r="J1818" s="38" t="s">
        <v>947</v>
      </c>
      <c r="K1818" s="56">
        <v>0.25</v>
      </c>
      <c r="L1818" s="52" t="s">
        <v>213</v>
      </c>
      <c r="M1818" s="53" t="s">
        <v>213</v>
      </c>
    </row>
    <row r="1819" spans="1:13" x14ac:dyDescent="0.3">
      <c r="A1819" s="37">
        <v>24</v>
      </c>
      <c r="B1819" s="38" t="s">
        <v>1316</v>
      </c>
      <c r="C1819" s="51">
        <v>7908236800353</v>
      </c>
      <c r="D1819" s="40" t="s">
        <v>74</v>
      </c>
      <c r="E1819" s="40"/>
      <c r="F1819" s="40">
        <v>692</v>
      </c>
      <c r="G1819" s="38"/>
      <c r="H1819" s="38" t="s">
        <v>1313</v>
      </c>
      <c r="I1819" s="38" t="s">
        <v>424</v>
      </c>
      <c r="J1819" s="38" t="s">
        <v>947</v>
      </c>
      <c r="K1819" s="56">
        <v>0.25</v>
      </c>
      <c r="L1819" s="52" t="s">
        <v>213</v>
      </c>
      <c r="M1819" s="53" t="s">
        <v>213</v>
      </c>
    </row>
    <row r="1820" spans="1:13" x14ac:dyDescent="0.3">
      <c r="A1820" s="37">
        <v>24</v>
      </c>
      <c r="B1820" s="38" t="s">
        <v>1319</v>
      </c>
      <c r="C1820" s="51">
        <v>7908236800483</v>
      </c>
      <c r="D1820" s="40" t="s">
        <v>74</v>
      </c>
      <c r="E1820" s="40"/>
      <c r="F1820" s="40">
        <v>628</v>
      </c>
      <c r="G1820" s="38"/>
      <c r="H1820" s="38" t="s">
        <v>1301</v>
      </c>
      <c r="I1820" s="38" t="s">
        <v>311</v>
      </c>
      <c r="J1820" s="38" t="s">
        <v>1302</v>
      </c>
      <c r="K1820" s="38" t="s">
        <v>1303</v>
      </c>
      <c r="L1820" s="52" t="s">
        <v>213</v>
      </c>
      <c r="M1820" s="53" t="s">
        <v>213</v>
      </c>
    </row>
    <row r="1821" spans="1:13" x14ac:dyDescent="0.3">
      <c r="A1821" s="37">
        <v>24</v>
      </c>
      <c r="B1821" s="38" t="s">
        <v>1306</v>
      </c>
      <c r="C1821" s="51">
        <v>7908236800483</v>
      </c>
      <c r="D1821" s="40" t="s">
        <v>74</v>
      </c>
      <c r="E1821" s="40"/>
      <c r="F1821" s="40">
        <v>628</v>
      </c>
      <c r="G1821" s="38"/>
      <c r="H1821" s="38" t="s">
        <v>1301</v>
      </c>
      <c r="I1821" s="38" t="s">
        <v>311</v>
      </c>
      <c r="J1821" s="38" t="s">
        <v>1302</v>
      </c>
      <c r="K1821" s="38" t="s">
        <v>1303</v>
      </c>
      <c r="L1821" s="52" t="s">
        <v>213</v>
      </c>
      <c r="M1821" s="53" t="s">
        <v>213</v>
      </c>
    </row>
    <row r="1822" spans="1:13" x14ac:dyDescent="0.3">
      <c r="A1822" s="37">
        <v>24</v>
      </c>
      <c r="B1822" s="38" t="s">
        <v>1320</v>
      </c>
      <c r="C1822" s="51">
        <v>7908236800544</v>
      </c>
      <c r="D1822" s="40" t="s">
        <v>74</v>
      </c>
      <c r="E1822" s="40"/>
      <c r="F1822" s="40">
        <v>628</v>
      </c>
      <c r="G1822" s="38"/>
      <c r="H1822" s="38" t="s">
        <v>1301</v>
      </c>
      <c r="I1822" s="38" t="s">
        <v>311</v>
      </c>
      <c r="J1822" s="38" t="s">
        <v>1302</v>
      </c>
      <c r="K1822" s="38" t="s">
        <v>1303</v>
      </c>
      <c r="L1822" s="52" t="s">
        <v>213</v>
      </c>
      <c r="M1822" s="53" t="s">
        <v>213</v>
      </c>
    </row>
    <row r="1823" spans="1:13" x14ac:dyDescent="0.3">
      <c r="A1823" s="37">
        <v>24</v>
      </c>
      <c r="B1823" s="38" t="s">
        <v>1304</v>
      </c>
      <c r="C1823" s="51">
        <v>7908236800544</v>
      </c>
      <c r="D1823" s="40" t="s">
        <v>74</v>
      </c>
      <c r="E1823" s="40"/>
      <c r="F1823" s="40">
        <v>628</v>
      </c>
      <c r="G1823" s="38"/>
      <c r="H1823" s="38" t="s">
        <v>1301</v>
      </c>
      <c r="I1823" s="38" t="s">
        <v>311</v>
      </c>
      <c r="J1823" s="38" t="s">
        <v>1302</v>
      </c>
      <c r="K1823" s="38" t="s">
        <v>1303</v>
      </c>
      <c r="L1823" s="52" t="s">
        <v>213</v>
      </c>
      <c r="M1823" s="53" t="s">
        <v>213</v>
      </c>
    </row>
    <row r="1824" spans="1:13" x14ac:dyDescent="0.3">
      <c r="A1824" s="37">
        <v>24</v>
      </c>
      <c r="B1824" s="38" t="s">
        <v>1273</v>
      </c>
      <c r="C1824" s="51">
        <v>7908236800568</v>
      </c>
      <c r="D1824" s="40" t="s">
        <v>74</v>
      </c>
      <c r="E1824" s="40"/>
      <c r="F1824" s="40">
        <v>257</v>
      </c>
      <c r="G1824" s="38"/>
      <c r="H1824" s="38" t="s">
        <v>1269</v>
      </c>
      <c r="I1824" s="38" t="s">
        <v>1186</v>
      </c>
      <c r="J1824" s="38" t="s">
        <v>1133</v>
      </c>
      <c r="K1824" s="38" t="s">
        <v>1270</v>
      </c>
      <c r="L1824" s="52" t="s">
        <v>213</v>
      </c>
      <c r="M1824" s="53" t="s">
        <v>213</v>
      </c>
    </row>
    <row r="1825" spans="1:13" x14ac:dyDescent="0.3">
      <c r="A1825" s="37">
        <v>24</v>
      </c>
      <c r="B1825" s="38" t="s">
        <v>1273</v>
      </c>
      <c r="C1825" s="51">
        <v>7908236800568</v>
      </c>
      <c r="D1825" s="40" t="s">
        <v>74</v>
      </c>
      <c r="E1825" s="40"/>
      <c r="F1825" s="40">
        <v>463</v>
      </c>
      <c r="G1825" s="38"/>
      <c r="H1825" s="38" t="s">
        <v>1265</v>
      </c>
      <c r="I1825" s="38" t="s">
        <v>424</v>
      </c>
      <c r="J1825" s="38" t="s">
        <v>947</v>
      </c>
      <c r="K1825" s="56">
        <v>0.44</v>
      </c>
      <c r="L1825" s="52" t="s">
        <v>213</v>
      </c>
      <c r="M1825" s="53" t="s">
        <v>213</v>
      </c>
    </row>
    <row r="1826" spans="1:13" x14ac:dyDescent="0.3">
      <c r="A1826" s="37">
        <v>24</v>
      </c>
      <c r="B1826" s="38" t="s">
        <v>1266</v>
      </c>
      <c r="C1826" s="51">
        <v>7908236800605</v>
      </c>
      <c r="D1826" s="40" t="s">
        <v>74</v>
      </c>
      <c r="E1826" s="40"/>
      <c r="F1826" s="40">
        <v>257</v>
      </c>
      <c r="G1826" s="38"/>
      <c r="H1826" s="38" t="s">
        <v>1269</v>
      </c>
      <c r="I1826" s="38" t="s">
        <v>1186</v>
      </c>
      <c r="J1826" s="38" t="s">
        <v>1321</v>
      </c>
      <c r="K1826" s="38" t="s">
        <v>1270</v>
      </c>
      <c r="L1826" s="52" t="s">
        <v>213</v>
      </c>
      <c r="M1826" s="53" t="s">
        <v>213</v>
      </c>
    </row>
    <row r="1827" spans="1:13" x14ac:dyDescent="0.3">
      <c r="A1827" s="37">
        <v>24</v>
      </c>
      <c r="B1827" s="38" t="s">
        <v>1266</v>
      </c>
      <c r="C1827" s="51">
        <v>7908236800605</v>
      </c>
      <c r="D1827" s="40" t="s">
        <v>74</v>
      </c>
      <c r="E1827" s="40"/>
      <c r="F1827" s="40">
        <v>463</v>
      </c>
      <c r="G1827" s="38"/>
      <c r="H1827" s="38" t="s">
        <v>1265</v>
      </c>
      <c r="I1827" s="38" t="s">
        <v>424</v>
      </c>
      <c r="J1827" s="38" t="s">
        <v>947</v>
      </c>
      <c r="K1827" s="56">
        <v>0.2</v>
      </c>
      <c r="L1827" s="52" t="s">
        <v>213</v>
      </c>
      <c r="M1827" s="53" t="s">
        <v>213</v>
      </c>
    </row>
    <row r="1828" spans="1:13" x14ac:dyDescent="0.3">
      <c r="A1828" s="37">
        <v>24</v>
      </c>
      <c r="B1828" s="38" t="s">
        <v>1266</v>
      </c>
      <c r="C1828" s="51">
        <v>7908236800605</v>
      </c>
      <c r="D1828" s="40" t="s">
        <v>74</v>
      </c>
      <c r="E1828" s="40"/>
      <c r="F1828" s="40">
        <v>693</v>
      </c>
      <c r="G1828" s="38"/>
      <c r="H1828" s="38" t="s">
        <v>1267</v>
      </c>
      <c r="I1828" s="38" t="s">
        <v>424</v>
      </c>
      <c r="J1828" s="38" t="s">
        <v>947</v>
      </c>
      <c r="K1828" s="56">
        <v>0.44</v>
      </c>
      <c r="L1828" s="52" t="s">
        <v>213</v>
      </c>
      <c r="M1828" s="53" t="s">
        <v>213</v>
      </c>
    </row>
    <row r="1829" spans="1:13" x14ac:dyDescent="0.3">
      <c r="A1829" s="37">
        <v>24</v>
      </c>
      <c r="B1829" s="38" t="s">
        <v>1271</v>
      </c>
      <c r="C1829" s="51">
        <v>7908236800629</v>
      </c>
      <c r="D1829" s="40" t="s">
        <v>74</v>
      </c>
      <c r="E1829" s="40"/>
      <c r="F1829" s="40">
        <v>257</v>
      </c>
      <c r="G1829" s="38"/>
      <c r="H1829" s="38" t="s">
        <v>1269</v>
      </c>
      <c r="I1829" s="38" t="s">
        <v>1186</v>
      </c>
      <c r="J1829" s="38" t="s">
        <v>947</v>
      </c>
      <c r="K1829" s="38" t="s">
        <v>1270</v>
      </c>
      <c r="L1829" s="52" t="s">
        <v>213</v>
      </c>
      <c r="M1829" s="53" t="s">
        <v>213</v>
      </c>
    </row>
    <row r="1830" spans="1:13" x14ac:dyDescent="0.3">
      <c r="A1830" s="37">
        <v>24</v>
      </c>
      <c r="B1830" s="38" t="s">
        <v>1271</v>
      </c>
      <c r="C1830" s="51">
        <v>7908236800629</v>
      </c>
      <c r="D1830" s="40" t="s">
        <v>74</v>
      </c>
      <c r="E1830" s="40"/>
      <c r="F1830" s="40">
        <v>463</v>
      </c>
      <c r="G1830" s="38"/>
      <c r="H1830" s="38" t="s">
        <v>1265</v>
      </c>
      <c r="I1830" s="38" t="s">
        <v>424</v>
      </c>
      <c r="J1830" s="38" t="s">
        <v>947</v>
      </c>
      <c r="K1830" s="56">
        <v>0.56000000000000005</v>
      </c>
      <c r="L1830" s="52" t="s">
        <v>213</v>
      </c>
      <c r="M1830" s="53" t="s">
        <v>213</v>
      </c>
    </row>
    <row r="1831" spans="1:13" x14ac:dyDescent="0.3">
      <c r="A1831" s="37">
        <v>24</v>
      </c>
      <c r="B1831" s="38" t="s">
        <v>1275</v>
      </c>
      <c r="C1831" s="51">
        <v>7908236800711</v>
      </c>
      <c r="D1831" s="40" t="s">
        <v>74</v>
      </c>
      <c r="E1831" s="40"/>
      <c r="F1831" s="40">
        <v>461</v>
      </c>
      <c r="G1831" s="38"/>
      <c r="H1831" s="38" t="s">
        <v>1276</v>
      </c>
      <c r="I1831" s="38" t="s">
        <v>424</v>
      </c>
      <c r="J1831" s="38" t="s">
        <v>1133</v>
      </c>
      <c r="K1831" s="56">
        <v>0.39</v>
      </c>
      <c r="L1831" s="52" t="s">
        <v>213</v>
      </c>
      <c r="M1831" s="53" t="s">
        <v>213</v>
      </c>
    </row>
    <row r="1832" spans="1:13" x14ac:dyDescent="0.3">
      <c r="A1832" s="37">
        <v>24</v>
      </c>
      <c r="B1832" s="38" t="s">
        <v>1289</v>
      </c>
      <c r="C1832" s="51">
        <v>7908236800759</v>
      </c>
      <c r="D1832" s="40" t="s">
        <v>74</v>
      </c>
      <c r="E1832" s="40"/>
      <c r="F1832" s="40">
        <v>146</v>
      </c>
      <c r="G1832" s="38"/>
      <c r="H1832" s="38" t="s">
        <v>1290</v>
      </c>
      <c r="I1832" s="38" t="s">
        <v>424</v>
      </c>
      <c r="J1832" s="38" t="s">
        <v>947</v>
      </c>
      <c r="K1832" s="56">
        <v>0.3</v>
      </c>
      <c r="L1832" s="52" t="s">
        <v>213</v>
      </c>
      <c r="M1832" s="53" t="s">
        <v>213</v>
      </c>
    </row>
    <row r="1833" spans="1:13" x14ac:dyDescent="0.3">
      <c r="A1833" s="37">
        <v>24</v>
      </c>
      <c r="B1833" s="38" t="s">
        <v>1292</v>
      </c>
      <c r="C1833" s="51">
        <v>7908236800766</v>
      </c>
      <c r="D1833" s="40" t="s">
        <v>74</v>
      </c>
      <c r="E1833" s="40"/>
      <c r="F1833" s="40">
        <v>146</v>
      </c>
      <c r="G1833" s="38"/>
      <c r="H1833" s="38" t="s">
        <v>1290</v>
      </c>
      <c r="I1833" s="38" t="s">
        <v>424</v>
      </c>
      <c r="J1833" s="38" t="s">
        <v>947</v>
      </c>
      <c r="K1833" s="56">
        <v>0.3</v>
      </c>
      <c r="L1833" s="52" t="s">
        <v>213</v>
      </c>
      <c r="M1833" s="53" t="s">
        <v>213</v>
      </c>
    </row>
    <row r="1834" spans="1:13" x14ac:dyDescent="0.3">
      <c r="A1834" s="37">
        <v>24</v>
      </c>
      <c r="B1834" s="38" t="s">
        <v>1309</v>
      </c>
      <c r="C1834" s="51">
        <v>7908236800773</v>
      </c>
      <c r="D1834" s="40" t="s">
        <v>74</v>
      </c>
      <c r="E1834" s="40"/>
      <c r="F1834" s="40">
        <v>628</v>
      </c>
      <c r="G1834" s="38"/>
      <c r="H1834" s="38" t="s">
        <v>1301</v>
      </c>
      <c r="I1834" s="38" t="s">
        <v>311</v>
      </c>
      <c r="J1834" s="38" t="s">
        <v>1302</v>
      </c>
      <c r="K1834" s="38" t="s">
        <v>1303</v>
      </c>
      <c r="L1834" s="52" t="s">
        <v>213</v>
      </c>
      <c r="M1834" s="53" t="s">
        <v>213</v>
      </c>
    </row>
    <row r="1835" spans="1:13" x14ac:dyDescent="0.3">
      <c r="A1835" s="37">
        <v>24</v>
      </c>
      <c r="B1835" s="38" t="s">
        <v>1311</v>
      </c>
      <c r="C1835" s="51">
        <v>7908236800797</v>
      </c>
      <c r="D1835" s="40" t="s">
        <v>74</v>
      </c>
      <c r="E1835" s="40"/>
      <c r="F1835" s="40">
        <v>628</v>
      </c>
      <c r="G1835" s="38"/>
      <c r="H1835" s="38" t="s">
        <v>1301</v>
      </c>
      <c r="I1835" s="38" t="s">
        <v>311</v>
      </c>
      <c r="J1835" s="38" t="s">
        <v>1302</v>
      </c>
      <c r="K1835" s="38" t="s">
        <v>1303</v>
      </c>
      <c r="L1835" s="52" t="s">
        <v>213</v>
      </c>
      <c r="M1835" s="53" t="s">
        <v>213</v>
      </c>
    </row>
    <row r="1836" spans="1:13" x14ac:dyDescent="0.3">
      <c r="A1836" s="37">
        <v>24</v>
      </c>
      <c r="B1836" s="38" t="s">
        <v>1280</v>
      </c>
      <c r="C1836" s="51">
        <v>7908236800841</v>
      </c>
      <c r="D1836" s="40" t="s">
        <v>74</v>
      </c>
      <c r="E1836" s="40" t="str">
        <f>B1836&amp;H1836</f>
        <v>Xalacom 2.5 ml 1 frascoXALACOM 2016</v>
      </c>
      <c r="F1836" s="40">
        <v>478</v>
      </c>
      <c r="G1836" s="38" t="str">
        <f>E1836&amp;F1836</f>
        <v>Xalacom 2.5 ml 1 frascoXALACOM 2016478</v>
      </c>
      <c r="H1836" s="38" t="s">
        <v>1278</v>
      </c>
      <c r="I1836" s="38" t="s">
        <v>311</v>
      </c>
      <c r="J1836" s="38" t="s">
        <v>947</v>
      </c>
      <c r="K1836" s="38" t="s">
        <v>1279</v>
      </c>
      <c r="L1836" s="52" t="s">
        <v>213</v>
      </c>
      <c r="M1836" s="53" t="s">
        <v>213</v>
      </c>
    </row>
    <row r="1837" spans="1:13" x14ac:dyDescent="0.3">
      <c r="A1837" s="37">
        <v>24</v>
      </c>
      <c r="B1837" s="38" t="s">
        <v>48</v>
      </c>
      <c r="C1837" s="51">
        <v>7908236800858</v>
      </c>
      <c r="D1837" s="40" t="s">
        <v>74</v>
      </c>
      <c r="E1837" s="40" t="str">
        <f>B1837&amp;H1837</f>
        <v>Xalatan Sol. Oftalmica 2.5 ml 1 frascoXALATAN 2016</v>
      </c>
      <c r="F1837" s="40">
        <v>477</v>
      </c>
      <c r="G1837" s="38" t="str">
        <f t="shared" ref="G1837:G1839" si="1">E1837&amp;F1837</f>
        <v>Xalatan Sol. Oftalmica 2.5 ml 1 frascoXALATAN 2016477</v>
      </c>
      <c r="H1837" s="38" t="s">
        <v>1282</v>
      </c>
      <c r="I1837" s="38" t="s">
        <v>311</v>
      </c>
      <c r="J1837" s="38" t="s">
        <v>1133</v>
      </c>
      <c r="K1837" s="38" t="s">
        <v>1283</v>
      </c>
      <c r="L1837" s="52" t="s">
        <v>213</v>
      </c>
      <c r="M1837" s="53" t="s">
        <v>213</v>
      </c>
    </row>
    <row r="1838" spans="1:13" x14ac:dyDescent="0.3">
      <c r="A1838" s="37">
        <v>24</v>
      </c>
      <c r="B1838" s="38" t="s">
        <v>48</v>
      </c>
      <c r="C1838" s="51">
        <v>7908236800858</v>
      </c>
      <c r="D1838" s="40" t="s">
        <v>74</v>
      </c>
      <c r="E1838" s="40" t="str">
        <f>B1838&amp;H1838</f>
        <v>Xalatan Sol. Oftalmica 2.5 ml 1 frascoXALATAN 2020</v>
      </c>
      <c r="F1838" s="40">
        <v>969</v>
      </c>
      <c r="G1838" s="38" t="str">
        <f t="shared" si="1"/>
        <v>Xalatan Sol. Oftalmica 2.5 ml 1 frascoXALATAN 2020969</v>
      </c>
      <c r="H1838" s="38" t="s">
        <v>1284</v>
      </c>
      <c r="I1838" s="38" t="s">
        <v>31</v>
      </c>
      <c r="J1838" s="38" t="s">
        <v>1166</v>
      </c>
      <c r="K1838" s="56">
        <v>0.5</v>
      </c>
      <c r="L1838" s="52" t="s">
        <v>213</v>
      </c>
      <c r="M1838" s="53" t="s">
        <v>213</v>
      </c>
    </row>
    <row r="1839" spans="1:13" x14ac:dyDescent="0.3">
      <c r="A1839" s="37">
        <v>24</v>
      </c>
      <c r="B1839" s="38" t="s">
        <v>48</v>
      </c>
      <c r="C1839" s="51">
        <v>7908236800858</v>
      </c>
      <c r="D1839" s="40" t="s">
        <v>74</v>
      </c>
      <c r="E1839" s="40" t="str">
        <f>B1839&amp;H1839</f>
        <v>Xalatan Sol. Oftalmica 2.5 ml 1 frascoXALATAN</v>
      </c>
      <c r="F1839" s="40">
        <v>970</v>
      </c>
      <c r="G1839" s="38" t="str">
        <f t="shared" si="1"/>
        <v>Xalatan Sol. Oftalmica 2.5 ml 1 frascoXALATAN970</v>
      </c>
      <c r="H1839" s="38" t="s">
        <v>1285</v>
      </c>
      <c r="I1839" s="38" t="s">
        <v>311</v>
      </c>
      <c r="J1839" s="38" t="s">
        <v>1014</v>
      </c>
      <c r="K1839" s="38" t="s">
        <v>1279</v>
      </c>
      <c r="L1839" s="52" t="s">
        <v>213</v>
      </c>
      <c r="M1839" s="53" t="s">
        <v>213</v>
      </c>
    </row>
    <row r="1840" spans="1:13" ht="15" thickBot="1" x14ac:dyDescent="0.35">
      <c r="A1840" s="57">
        <v>24</v>
      </c>
      <c r="B1840" s="58" t="s">
        <v>1286</v>
      </c>
      <c r="C1840" s="59">
        <v>7908236800988</v>
      </c>
      <c r="D1840" s="60" t="s">
        <v>74</v>
      </c>
      <c r="E1840" s="40" t="str">
        <f>B1840&amp;H1840</f>
        <v>Carduran 4 MG 30 CPRCARDURAN 2016</v>
      </c>
      <c r="F1840" s="60">
        <v>466</v>
      </c>
      <c r="G1840" s="58"/>
      <c r="H1840" s="58" t="s">
        <v>1288</v>
      </c>
      <c r="I1840" s="58" t="s">
        <v>424</v>
      </c>
      <c r="J1840" s="58" t="s">
        <v>947</v>
      </c>
      <c r="K1840" s="61">
        <v>0.55000000000000004</v>
      </c>
      <c r="L1840" s="62" t="s">
        <v>213</v>
      </c>
      <c r="M1840" s="63" t="s">
        <v>213</v>
      </c>
    </row>
  </sheetData>
  <autoFilter ref="A1:M1" xr:uid="{94579012-A1A5-47CB-AD71-675D998ABA66}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C67A31FAA4B614F8020D9C64AE86F2B" ma:contentTypeVersion="2" ma:contentTypeDescription="Crie um novo documento." ma:contentTypeScope="" ma:versionID="af55860b7b4c07bb9b65a47487bb0e15">
  <xsd:schema xmlns:xsd="http://www.w3.org/2001/XMLSchema" xmlns:xs="http://www.w3.org/2001/XMLSchema" xmlns:p="http://schemas.microsoft.com/office/2006/metadata/properties" xmlns:ns2="ec946daf-c068-4378-a2f0-0d6d87a5f10b" targetNamespace="http://schemas.microsoft.com/office/2006/metadata/properties" ma:root="true" ma:fieldsID="09b3196f4a495da72d9ef89f473aa798" ns2:_="">
    <xsd:import namespace="ec946daf-c068-4378-a2f0-0d6d87a5f1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946daf-c068-4378-a2f0-0d6d87a5f1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6794FEE6-AC77-46C8-8277-B83C968AEC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c946daf-c068-4378-a2f0-0d6d87a5f1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5B2DB4F-EA98-4AF2-88CB-FFD9FE9905F9}">
  <ds:schemaRefs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  <ds:schemaRef ds:uri="http://www.w3.org/XML/1998/namespace"/>
    <ds:schemaRef ds:uri="http://schemas.microsoft.com/office/2006/documentManagement/types"/>
    <ds:schemaRef ds:uri="ec946daf-c068-4378-a2f0-0d6d87a5f10b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F757AD05-F7E6-4C51-B7E4-802D4A28196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B5D6A55-2463-4FC1-B45D-0BA0C0BB61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20</vt:i4>
      </vt:variant>
    </vt:vector>
  </HeadingPairs>
  <TitlesOfParts>
    <vt:vector size="20" baseType="lpstr">
      <vt:lpstr>CONSOLIDADO</vt:lpstr>
      <vt:lpstr>OCORRENCIAS</vt:lpstr>
      <vt:lpstr>ANALISE</vt:lpstr>
      <vt:lpstr>RAIA</vt:lpstr>
      <vt:lpstr>DROGASIL</vt:lpstr>
      <vt:lpstr>DSP</vt:lpstr>
      <vt:lpstr>PACHECO</vt:lpstr>
      <vt:lpstr>PANVEL</vt:lpstr>
      <vt:lpstr>ONOFRE</vt:lpstr>
      <vt:lpstr>QUALIDOC</vt:lpstr>
      <vt:lpstr>DROGAL</vt:lpstr>
      <vt:lpstr>P.MENOS</vt:lpstr>
      <vt:lpstr>TAB PROD</vt:lpstr>
      <vt:lpstr>DNE</vt:lpstr>
      <vt:lpstr>NISSEI</vt:lpstr>
      <vt:lpstr>EXTRAFARMA</vt:lpstr>
      <vt:lpstr>DROGAO</vt:lpstr>
      <vt:lpstr>VENÂNCIO</vt:lpstr>
      <vt:lpstr>INSUMOS</vt:lpstr>
      <vt:lpstr>TABELA DE PRODUTOS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Pedro Henrique Alves Duraes Macedo</dc:creator>
  <cp:keywords/>
  <dc:description/>
  <cp:lastModifiedBy>thoni</cp:lastModifiedBy>
  <cp:revision/>
  <dcterms:created xsi:type="dcterms:W3CDTF">2021-07-06T15:00:37Z</dcterms:created>
  <dcterms:modified xsi:type="dcterms:W3CDTF">2021-12-13T13:49:14Z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0x010100AC67A31FAA4B614F8020D9C64AE86F2B</vt:lpwstr>
  </property>
</Properties>
</file>